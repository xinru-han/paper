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94f4e7d3a245fde/科研/CASM/CASM20260514/"/>
    </mc:Choice>
  </mc:AlternateContent>
  <xr:revisionPtr revIDLastSave="9" documentId="11_C7917A23B06607273DAF2CB7F21FA5BA7D11A687" xr6:coauthVersionLast="47" xr6:coauthVersionMax="47" xr10:uidLastSave="{338E7AB9-567D-4D4A-9016-D60665DBEBA6}"/>
  <bookViews>
    <workbookView xWindow="-120" yWindow="-120" windowWidth="29040" windowHeight="15840" tabRatio="806" firstSheet="44" activeTab="62" xr2:uid="{00000000-000D-0000-FFFF-FFFF00000000}"/>
  </bookViews>
  <sheets>
    <sheet name="INDEX" sheetId="1" r:id="rId1"/>
    <sheet name="结果整理" sheetId="152" state="hidden" r:id="rId2"/>
    <sheet name="结果" sheetId="151" state="hidden" r:id="rId3"/>
    <sheet name="KOULX" sheetId="117" r:id="rId4"/>
    <sheet name="GUWUX" sheetId="118" r:id="rId5"/>
    <sheet name="LISHX" sheetId="119" r:id="rId6"/>
    <sheet name="PGDPX" sheetId="175" r:id="rId7"/>
    <sheet name="CO2EX" sheetId="174" r:id="rId8"/>
    <sheet name="POPUX" sheetId="173" r:id="rId9"/>
    <sheet name="ENGYX" sheetId="154" r:id="rId10"/>
    <sheet name="RICEX" sheetId="66" r:id="rId11"/>
    <sheet name="WHEAX" sheetId="69" r:id="rId12"/>
    <sheet name="MAIZX" sheetId="68" r:id="rId13"/>
    <sheet name="BARLX" sheetId="120" r:id="rId14"/>
    <sheet name="POTAX" sheetId="150" r:id="rId15"/>
    <sheet name="SOYSX" sheetId="72" r:id="rId16"/>
    <sheet name="SOYOX" sheetId="121" r:id="rId17"/>
    <sheet name="SOYMX" sheetId="122" r:id="rId18"/>
    <sheet name="RAPSX" sheetId="123" r:id="rId19"/>
    <sheet name="RAPOX" sheetId="124" r:id="rId20"/>
    <sheet name="RAPMX" sheetId="125" r:id="rId21"/>
    <sheet name="GRDSX" sheetId="126" r:id="rId22"/>
    <sheet name="GRDOX" sheetId="127" r:id="rId23"/>
    <sheet name="GRDMX" sheetId="128" r:id="rId24"/>
    <sheet name="COTTX" sheetId="129" r:id="rId25"/>
    <sheet name="SUGAX" sheetId="130" r:id="rId26"/>
    <sheet name="VEGTX" sheetId="133" r:id="rId27"/>
    <sheet name="SORGX" sheetId="134" r:id="rId28"/>
    <sheet name="OTGRX" sheetId="177" r:id="rId29"/>
    <sheet name="FRTOX" sheetId="135" r:id="rId30"/>
    <sheet name="BEEFX" sheetId="136" r:id="rId31"/>
    <sheet name="CATBX" sheetId="137" r:id="rId32"/>
    <sheet name="CATOX" sheetId="138" r:id="rId33"/>
    <sheet name="CATTX" sheetId="139" r:id="rId34"/>
    <sheet name="PORKX" sheetId="140" r:id="rId35"/>
    <sheet name="PIGBX" sheetId="141" r:id="rId36"/>
    <sheet name="PIGOX" sheetId="142" r:id="rId37"/>
    <sheet name="PIGTX" sheetId="143" r:id="rId38"/>
    <sheet name="SHGMX" sheetId="144" r:id="rId39"/>
    <sheet name="CHKMX" sheetId="145" r:id="rId40"/>
    <sheet name="EGGSX" sheetId="146" r:id="rId41"/>
    <sheet name="MILKX" sheetId="147" r:id="rId42"/>
    <sheet name="FISHX" sheetId="149" r:id="rId43"/>
    <sheet name="TOSLX" sheetId="155" r:id="rId44"/>
    <sheet name="PRODX" sheetId="156" r:id="rId45"/>
    <sheet name="AREAX" sheetId="157" r:id="rId46"/>
    <sheet name="YILDX" sheetId="158" r:id="rId47"/>
    <sheet name="NIMPX" sheetId="159" r:id="rId48"/>
    <sheet name="TODMX" sheetId="160" r:id="rId49"/>
    <sheet name="FOODX" sheetId="161" r:id="rId50"/>
    <sheet name="PFODX" sheetId="162" r:id="rId51"/>
    <sheet name="FEEDX" sheetId="163" r:id="rId52"/>
    <sheet name="PROCX" sheetId="164" r:id="rId53"/>
    <sheet name="SEED" sheetId="165" r:id="rId54"/>
    <sheet name="WASTX" sheetId="166" r:id="rId55"/>
    <sheet name="OTHEX" sheetId="167" r:id="rId56"/>
    <sheet name="STOCX" sheetId="168" r:id="rId57"/>
    <sheet name="NEXPX" sheetId="169" r:id="rId58"/>
    <sheet name="DOMDX" sheetId="170" r:id="rId59"/>
    <sheet name="PRICX" sheetId="171" r:id="rId60"/>
    <sheet name="SEEDX" sheetId="172" r:id="rId61"/>
    <sheet name="DFODX" sheetId="176" r:id="rId62"/>
    <sheet name="CRSHX" sheetId="178" r:id="rId63"/>
    <sheet name="能量" sheetId="153" r:id="rId64"/>
  </sheets>
  <definedNames>
    <definedName name="新建文本文档" localSheetId="0">INDEX!$G$6:$H$21</definedName>
  </definedNames>
  <calcPr calcId="191029"/>
</workbook>
</file>

<file path=xl/calcChain.xml><?xml version="1.0" encoding="utf-8"?>
<calcChain xmlns="http://schemas.openxmlformats.org/spreadsheetml/2006/main">
  <c r="O24" i="153" l="1"/>
  <c r="N24" i="153"/>
  <c r="M24" i="153"/>
  <c r="L24" i="153"/>
  <c r="K24" i="153"/>
  <c r="O23" i="153"/>
  <c r="N23" i="153"/>
  <c r="M23" i="153"/>
  <c r="L23" i="153"/>
  <c r="K23" i="153"/>
  <c r="O22" i="153"/>
  <c r="N22" i="153"/>
  <c r="M22" i="153"/>
  <c r="L22" i="153"/>
  <c r="K22" i="153"/>
  <c r="O21" i="153"/>
  <c r="N21" i="153"/>
  <c r="M21" i="153"/>
  <c r="L21" i="153"/>
  <c r="K21" i="153"/>
  <c r="O20" i="153"/>
  <c r="N20" i="153"/>
  <c r="M20" i="153"/>
  <c r="L20" i="153"/>
  <c r="K20" i="153"/>
  <c r="O19" i="153"/>
  <c r="N19" i="153"/>
  <c r="M19" i="153"/>
  <c r="L19" i="153"/>
  <c r="K19" i="153"/>
  <c r="O18" i="153"/>
  <c r="N18" i="153"/>
  <c r="M18" i="153"/>
  <c r="L18" i="153"/>
  <c r="K18" i="153"/>
  <c r="O17" i="153"/>
  <c r="N17" i="153"/>
  <c r="M17" i="153"/>
  <c r="L17" i="153"/>
  <c r="K17" i="153"/>
  <c r="O16" i="153"/>
  <c r="N16" i="153"/>
  <c r="M16" i="153"/>
  <c r="L16" i="153"/>
  <c r="K16" i="153"/>
  <c r="O13" i="153"/>
  <c r="N13" i="153"/>
  <c r="M13" i="153"/>
  <c r="L13" i="153"/>
  <c r="K13" i="153"/>
  <c r="O11" i="153"/>
  <c r="N11" i="153"/>
  <c r="M11" i="153"/>
  <c r="L11" i="153"/>
  <c r="K11" i="153"/>
  <c r="O10" i="153"/>
  <c r="N10" i="153"/>
  <c r="M10" i="153"/>
  <c r="L10" i="153"/>
  <c r="K10" i="153"/>
  <c r="O8" i="153"/>
  <c r="N8" i="153"/>
  <c r="M8" i="153"/>
  <c r="L8" i="153"/>
  <c r="K8" i="153"/>
  <c r="N5" i="153"/>
  <c r="M5" i="153"/>
  <c r="L5" i="153"/>
  <c r="K5" i="153"/>
  <c r="N4" i="153"/>
  <c r="M4" i="153"/>
  <c r="L4" i="153"/>
  <c r="K4" i="153"/>
  <c r="O3" i="153"/>
  <c r="N3" i="153"/>
  <c r="M3" i="153"/>
  <c r="L3" i="153"/>
  <c r="K3" i="153"/>
  <c r="H17" i="163"/>
  <c r="H16" i="163"/>
  <c r="H15" i="163"/>
  <c r="H14" i="163"/>
  <c r="H13" i="163"/>
  <c r="H12" i="163"/>
  <c r="H11" i="163"/>
  <c r="H10" i="163"/>
  <c r="H9" i="163"/>
  <c r="H8" i="163"/>
  <c r="I122" i="162"/>
  <c r="I121" i="162"/>
  <c r="I120" i="162"/>
  <c r="H74" i="162"/>
  <c r="I74" i="162" s="1"/>
  <c r="H73" i="162"/>
  <c r="I73" i="162" s="1"/>
  <c r="H72" i="162"/>
  <c r="I72" i="162" s="1"/>
  <c r="H71" i="162"/>
  <c r="I71" i="162" s="1"/>
  <c r="H70" i="162"/>
  <c r="I70" i="162" s="1"/>
  <c r="H69" i="162"/>
  <c r="I69" i="162" s="1"/>
  <c r="F40" i="162"/>
  <c r="E40" i="162"/>
  <c r="F39" i="162"/>
  <c r="E39" i="162"/>
  <c r="F38" i="162"/>
  <c r="E38" i="162"/>
  <c r="F37" i="162"/>
  <c r="E37" i="162"/>
  <c r="F36" i="162"/>
  <c r="E36" i="162"/>
  <c r="F35" i="162"/>
  <c r="E35" i="162"/>
  <c r="F34" i="162"/>
  <c r="E34" i="162"/>
  <c r="F33" i="162"/>
  <c r="E33" i="162"/>
  <c r="F32" i="162"/>
  <c r="E32" i="162"/>
  <c r="F31" i="162"/>
  <c r="E31" i="162"/>
  <c r="P5" i="162"/>
  <c r="M5" i="162"/>
  <c r="K5" i="162"/>
  <c r="BL4" i="162"/>
  <c r="BK4" i="162"/>
  <c r="BJ4" i="162"/>
  <c r="BI4" i="162"/>
  <c r="BH4" i="162"/>
  <c r="BG4" i="162"/>
  <c r="BF4" i="162"/>
  <c r="BE4" i="162"/>
  <c r="BD4" i="162"/>
  <c r="BC4" i="162"/>
  <c r="BB4" i="162"/>
  <c r="BA4" i="162"/>
  <c r="AZ4" i="162"/>
  <c r="AY4" i="162"/>
  <c r="AX4" i="162"/>
  <c r="AW4" i="162"/>
  <c r="AV4" i="162"/>
  <c r="AU4" i="162"/>
  <c r="AT4" i="162"/>
  <c r="AS4" i="162"/>
  <c r="AR4" i="162"/>
  <c r="AQ4" i="162"/>
  <c r="AP4" i="162"/>
  <c r="AO4" i="162"/>
  <c r="AN4" i="162"/>
  <c r="AM4" i="162"/>
  <c r="AL4" i="162"/>
  <c r="AK4" i="162"/>
  <c r="AJ4" i="162"/>
  <c r="AI4" i="162"/>
  <c r="AH4" i="162"/>
  <c r="AG4" i="162"/>
  <c r="AF4" i="162"/>
  <c r="AE4" i="162"/>
  <c r="AD4" i="162"/>
  <c r="AC4" i="162"/>
  <c r="AB4" i="162"/>
  <c r="AA4" i="162"/>
  <c r="Z4" i="162"/>
  <c r="Y4" i="162"/>
  <c r="X4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K4" i="161"/>
  <c r="M5" i="149"/>
  <c r="L5" i="149"/>
  <c r="M4" i="149"/>
  <c r="M3" i="149"/>
  <c r="L5" i="147"/>
  <c r="V4" i="146"/>
  <c r="U4" i="146"/>
  <c r="T4" i="146"/>
  <c r="S4" i="146"/>
  <c r="R4" i="146"/>
  <c r="Q4" i="146"/>
  <c r="P4" i="146"/>
  <c r="O4" i="146"/>
  <c r="N4" i="146"/>
  <c r="M4" i="146"/>
  <c r="L5" i="145"/>
  <c r="V4" i="145"/>
  <c r="U4" i="145"/>
  <c r="T4" i="145"/>
  <c r="S4" i="145"/>
  <c r="R4" i="145"/>
  <c r="Q4" i="145"/>
  <c r="P4" i="145"/>
  <c r="O4" i="145"/>
  <c r="N4" i="145"/>
  <c r="M4" i="145"/>
  <c r="L5" i="144"/>
  <c r="AB1" i="141"/>
  <c r="AA1" i="141"/>
  <c r="Z1" i="141"/>
  <c r="Y1" i="141"/>
  <c r="X1" i="141"/>
  <c r="W1" i="141"/>
  <c r="V1" i="141"/>
  <c r="U1" i="141"/>
  <c r="T1" i="141"/>
  <c r="S1" i="141"/>
  <c r="R1" i="141"/>
  <c r="Q1" i="141"/>
  <c r="P1" i="141"/>
  <c r="O1" i="141"/>
  <c r="N1" i="141"/>
  <c r="M1" i="141"/>
  <c r="L1" i="141"/>
  <c r="M5" i="140"/>
  <c r="L5" i="140"/>
  <c r="L5" i="136"/>
  <c r="M3" i="136"/>
  <c r="M4" i="136" s="1"/>
  <c r="L5" i="135"/>
  <c r="L5" i="130"/>
  <c r="X5" i="129"/>
  <c r="W5" i="129"/>
  <c r="V5" i="129"/>
  <c r="U5" i="129"/>
  <c r="T5" i="129"/>
  <c r="S5" i="129"/>
  <c r="R5" i="129"/>
  <c r="Q5" i="129"/>
  <c r="P5" i="129"/>
  <c r="O5" i="129"/>
  <c r="N5" i="129"/>
  <c r="M5" i="129"/>
  <c r="L5" i="129"/>
  <c r="W3" i="129"/>
  <c r="V3" i="129"/>
  <c r="U3" i="129"/>
  <c r="T3" i="129"/>
  <c r="S3" i="129"/>
  <c r="R3" i="129"/>
  <c r="Q3" i="129"/>
  <c r="P3" i="129"/>
  <c r="O3" i="129"/>
  <c r="N3" i="129"/>
  <c r="M3" i="129"/>
  <c r="L3" i="129"/>
  <c r="K3" i="129"/>
  <c r="L5" i="126"/>
  <c r="L5" i="123"/>
  <c r="W3" i="123"/>
  <c r="V3" i="123"/>
  <c r="U3" i="123"/>
  <c r="T3" i="123"/>
  <c r="S3" i="123"/>
  <c r="R3" i="123"/>
  <c r="Q3" i="123"/>
  <c r="P3" i="123"/>
  <c r="O3" i="123"/>
  <c r="N3" i="123"/>
  <c r="M3" i="123"/>
  <c r="L3" i="123"/>
  <c r="K3" i="123"/>
  <c r="B28" i="72"/>
  <c r="B27" i="72"/>
  <c r="B26" i="72"/>
  <c r="B25" i="72"/>
  <c r="B24" i="72"/>
  <c r="B23" i="72"/>
  <c r="B22" i="72"/>
  <c r="B21" i="72"/>
  <c r="B20" i="72"/>
  <c r="B19" i="72"/>
  <c r="B18" i="72"/>
  <c r="B17" i="72"/>
  <c r="B16" i="72"/>
  <c r="B15" i="72"/>
  <c r="B14" i="72"/>
  <c r="B13" i="72"/>
  <c r="B12" i="72"/>
  <c r="B11" i="72"/>
  <c r="B10" i="72"/>
  <c r="B9" i="72"/>
  <c r="B8" i="72"/>
  <c r="X5" i="72"/>
  <c r="S5" i="72"/>
  <c r="N5" i="72"/>
  <c r="L5" i="72"/>
  <c r="W3" i="72"/>
  <c r="V3" i="72"/>
  <c r="U3" i="72"/>
  <c r="T3" i="72"/>
  <c r="S3" i="72"/>
  <c r="R3" i="72"/>
  <c r="Q3" i="72"/>
  <c r="P3" i="72"/>
  <c r="O3" i="72"/>
  <c r="N3" i="72"/>
  <c r="M3" i="72"/>
  <c r="L3" i="72"/>
  <c r="K3" i="72"/>
  <c r="W2" i="72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B13" i="120"/>
  <c r="B12" i="120"/>
  <c r="B11" i="120"/>
  <c r="B10" i="120"/>
  <c r="B9" i="120"/>
  <c r="B8" i="120"/>
  <c r="B35" i="68"/>
  <c r="B34" i="68"/>
  <c r="B33" i="68"/>
  <c r="B32" i="68"/>
  <c r="B31" i="68"/>
  <c r="B30" i="68"/>
  <c r="B29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L5" i="68"/>
  <c r="W3" i="68"/>
  <c r="V3" i="68"/>
  <c r="U3" i="68"/>
  <c r="T3" i="68"/>
  <c r="S3" i="68"/>
  <c r="R3" i="68"/>
  <c r="Q3" i="68"/>
  <c r="P3" i="68"/>
  <c r="O3" i="68"/>
  <c r="N3" i="68"/>
  <c r="M3" i="68"/>
  <c r="L3" i="68"/>
  <c r="K3" i="68"/>
  <c r="L5" i="69"/>
  <c r="W3" i="69"/>
  <c r="V3" i="69"/>
  <c r="U3" i="69"/>
  <c r="T3" i="69"/>
  <c r="S3" i="69"/>
  <c r="R3" i="69"/>
  <c r="Q3" i="69"/>
  <c r="P3" i="69"/>
  <c r="O3" i="69"/>
  <c r="N3" i="69"/>
  <c r="M3" i="69"/>
  <c r="L3" i="69"/>
  <c r="K3" i="69"/>
  <c r="L5" i="66"/>
  <c r="L4" i="66" s="1"/>
  <c r="W3" i="66"/>
  <c r="V3" i="66"/>
  <c r="U3" i="66"/>
  <c r="T3" i="66"/>
  <c r="S3" i="66"/>
  <c r="R3" i="66"/>
  <c r="Q3" i="66"/>
  <c r="P3" i="66"/>
  <c r="O3" i="66"/>
  <c r="N3" i="66"/>
  <c r="M3" i="66"/>
  <c r="L3" i="66"/>
  <c r="K3" i="66"/>
  <c r="B35" i="119"/>
  <c r="B34" i="119"/>
  <c r="B33" i="119"/>
  <c r="B32" i="119"/>
  <c r="B31" i="119"/>
  <c r="B30" i="119"/>
  <c r="B29" i="119"/>
  <c r="B28" i="119"/>
  <c r="B27" i="119"/>
  <c r="B26" i="119"/>
  <c r="B25" i="119"/>
  <c r="B23" i="119"/>
  <c r="B22" i="119"/>
  <c r="B21" i="119"/>
  <c r="B20" i="119"/>
  <c r="B19" i="119"/>
  <c r="B18" i="119"/>
  <c r="B17" i="119"/>
  <c r="B16" i="119"/>
  <c r="B15" i="119"/>
  <c r="B14" i="119"/>
  <c r="B13" i="119"/>
  <c r="B12" i="119"/>
  <c r="B11" i="119"/>
  <c r="B10" i="119"/>
  <c r="B9" i="119"/>
  <c r="B8" i="119"/>
  <c r="Y5" i="119"/>
  <c r="AA4" i="119"/>
  <c r="X4" i="119"/>
  <c r="W4" i="119"/>
  <c r="V4" i="119"/>
  <c r="M4" i="119"/>
  <c r="X2" i="119"/>
  <c r="X1" i="119" s="1"/>
  <c r="B34" i="118"/>
  <c r="B33" i="118"/>
  <c r="B32" i="118"/>
  <c r="B31" i="118"/>
  <c r="B30" i="118"/>
  <c r="B29" i="118"/>
  <c r="B28" i="118"/>
  <c r="B27" i="118"/>
  <c r="B26" i="118"/>
  <c r="B25" i="118"/>
  <c r="B24" i="118"/>
  <c r="B23" i="118"/>
  <c r="B22" i="118"/>
  <c r="B21" i="118"/>
  <c r="B20" i="118"/>
  <c r="B19" i="118"/>
  <c r="B18" i="118"/>
  <c r="B17" i="118"/>
  <c r="B16" i="118"/>
  <c r="B15" i="118"/>
  <c r="B14" i="118"/>
  <c r="B13" i="118"/>
  <c r="B12" i="118"/>
  <c r="B11" i="118"/>
  <c r="B10" i="118"/>
  <c r="B9" i="118"/>
  <c r="B8" i="118"/>
  <c r="Y5" i="118"/>
  <c r="L5" i="118"/>
  <c r="B34" i="117"/>
  <c r="B33" i="117"/>
  <c r="B32" i="117"/>
  <c r="B31" i="117"/>
  <c r="B30" i="117"/>
  <c r="B29" i="117"/>
  <c r="B28" i="117"/>
  <c r="B27" i="117"/>
  <c r="B26" i="117"/>
  <c r="B25" i="117"/>
  <c r="B24" i="117"/>
  <c r="B23" i="117"/>
  <c r="B22" i="117"/>
  <c r="B21" i="117"/>
  <c r="B20" i="117"/>
  <c r="B19" i="117"/>
  <c r="B18" i="117"/>
  <c r="B17" i="117"/>
  <c r="B16" i="117"/>
  <c r="B15" i="117"/>
  <c r="B14" i="117"/>
  <c r="B13" i="117"/>
  <c r="B12" i="117"/>
  <c r="B11" i="117"/>
  <c r="B10" i="117"/>
  <c r="B9" i="117"/>
  <c r="B8" i="117"/>
  <c r="T54" i="151"/>
  <c r="S54" i="151"/>
  <c r="R54" i="151"/>
  <c r="Q54" i="151"/>
  <c r="P54" i="151"/>
  <c r="O54" i="151"/>
  <c r="N54" i="151"/>
  <c r="M54" i="151"/>
  <c r="L54" i="151"/>
  <c r="K54" i="151"/>
  <c r="J54" i="151"/>
  <c r="I54" i="151"/>
  <c r="H54" i="151"/>
  <c r="G54" i="151"/>
  <c r="F54" i="151"/>
  <c r="E54" i="151"/>
  <c r="D54" i="151"/>
  <c r="C54" i="151"/>
  <c r="B54" i="151"/>
  <c r="T53" i="151"/>
  <c r="S53" i="151"/>
  <c r="R53" i="151"/>
  <c r="Q53" i="151"/>
  <c r="P53" i="151"/>
  <c r="O53" i="151"/>
  <c r="N53" i="151"/>
  <c r="M53" i="151"/>
  <c r="L53" i="151"/>
  <c r="K53" i="151"/>
  <c r="J53" i="151"/>
  <c r="I53" i="151"/>
  <c r="H53" i="151"/>
  <c r="G53" i="151"/>
  <c r="F53" i="151"/>
  <c r="E53" i="151"/>
  <c r="D53" i="151"/>
  <c r="C53" i="151"/>
  <c r="B53" i="151"/>
  <c r="T52" i="151"/>
  <c r="S52" i="151"/>
  <c r="R52" i="151"/>
  <c r="Q52" i="151"/>
  <c r="P52" i="151"/>
  <c r="O52" i="151"/>
  <c r="N52" i="151"/>
  <c r="M52" i="151"/>
  <c r="L52" i="151"/>
  <c r="K52" i="151"/>
  <c r="J52" i="151"/>
  <c r="I52" i="151"/>
  <c r="H52" i="151"/>
  <c r="G52" i="151"/>
  <c r="F52" i="151"/>
  <c r="E52" i="151"/>
  <c r="D52" i="151"/>
  <c r="C52" i="151"/>
  <c r="B52" i="151"/>
  <c r="T51" i="151"/>
  <c r="S51" i="151"/>
  <c r="R51" i="151"/>
  <c r="Q51" i="151"/>
  <c r="P51" i="151"/>
  <c r="O51" i="151"/>
  <c r="N51" i="151"/>
  <c r="M51" i="151"/>
  <c r="L51" i="151"/>
  <c r="K51" i="151"/>
  <c r="J51" i="151"/>
  <c r="I51" i="151"/>
  <c r="H51" i="151"/>
  <c r="G51" i="151"/>
  <c r="F51" i="151"/>
  <c r="E51" i="151"/>
  <c r="D51" i="151"/>
  <c r="C51" i="151"/>
  <c r="B51" i="151"/>
  <c r="T50" i="151"/>
  <c r="S50" i="151"/>
  <c r="R50" i="151"/>
  <c r="Q50" i="151"/>
  <c r="P50" i="151"/>
  <c r="O50" i="151"/>
  <c r="N50" i="151"/>
  <c r="M50" i="151"/>
  <c r="L50" i="151"/>
  <c r="K50" i="151"/>
  <c r="J50" i="151"/>
  <c r="I50" i="151"/>
  <c r="H50" i="151"/>
  <c r="G50" i="151"/>
  <c r="F50" i="151"/>
  <c r="E50" i="151"/>
  <c r="D50" i="151"/>
  <c r="C50" i="151"/>
  <c r="B50" i="151"/>
  <c r="T49" i="151"/>
  <c r="S49" i="151"/>
  <c r="R49" i="151"/>
  <c r="Q49" i="151"/>
  <c r="P49" i="151"/>
  <c r="O49" i="151"/>
  <c r="N49" i="151"/>
  <c r="M49" i="151"/>
  <c r="L49" i="151"/>
  <c r="K49" i="151"/>
  <c r="J49" i="151"/>
  <c r="I49" i="151"/>
  <c r="H49" i="151"/>
  <c r="G49" i="151"/>
  <c r="F49" i="151"/>
  <c r="E49" i="151"/>
  <c r="D49" i="151"/>
  <c r="C49" i="151"/>
  <c r="B49" i="151"/>
  <c r="T48" i="151"/>
  <c r="S48" i="151"/>
  <c r="R48" i="151"/>
  <c r="Q48" i="151"/>
  <c r="P48" i="151"/>
  <c r="O48" i="151"/>
  <c r="N48" i="151"/>
  <c r="M48" i="151"/>
  <c r="L48" i="151"/>
  <c r="K48" i="151"/>
  <c r="J48" i="151"/>
  <c r="I48" i="151"/>
  <c r="H48" i="151"/>
  <c r="G48" i="151"/>
  <c r="F48" i="151"/>
  <c r="E48" i="151"/>
  <c r="D48" i="151"/>
  <c r="C48" i="151"/>
  <c r="B48" i="151"/>
  <c r="T47" i="151"/>
  <c r="S47" i="151"/>
  <c r="R47" i="151"/>
  <c r="Q47" i="151"/>
  <c r="P47" i="151"/>
  <c r="O47" i="151"/>
  <c r="N47" i="151"/>
  <c r="M47" i="151"/>
  <c r="L47" i="151"/>
  <c r="K47" i="151"/>
  <c r="J47" i="151"/>
  <c r="I47" i="151"/>
  <c r="H47" i="151"/>
  <c r="G47" i="151"/>
  <c r="F47" i="151"/>
  <c r="E47" i="151"/>
  <c r="D47" i="151"/>
  <c r="C47" i="151"/>
  <c r="B47" i="151"/>
  <c r="T46" i="151"/>
  <c r="S46" i="151"/>
  <c r="R46" i="151"/>
  <c r="Q46" i="151"/>
  <c r="P46" i="151"/>
  <c r="O46" i="151"/>
  <c r="N46" i="151"/>
  <c r="M46" i="151"/>
  <c r="L46" i="151"/>
  <c r="K46" i="151"/>
  <c r="J46" i="151"/>
  <c r="I46" i="151"/>
  <c r="H46" i="151"/>
  <c r="G46" i="151"/>
  <c r="F46" i="151"/>
  <c r="E46" i="151"/>
  <c r="D46" i="151"/>
  <c r="C46" i="151"/>
  <c r="B46" i="151"/>
  <c r="T45" i="151"/>
  <c r="S45" i="151"/>
  <c r="R45" i="151"/>
  <c r="Q45" i="151"/>
  <c r="P45" i="151"/>
  <c r="O45" i="151"/>
  <c r="N45" i="151"/>
  <c r="M45" i="151"/>
  <c r="L45" i="151"/>
  <c r="K45" i="151"/>
  <c r="J45" i="151"/>
  <c r="I45" i="151"/>
  <c r="H45" i="151"/>
  <c r="G45" i="151"/>
  <c r="F45" i="151"/>
  <c r="E45" i="151"/>
  <c r="D45" i="151"/>
  <c r="C45" i="151"/>
  <c r="B45" i="151"/>
  <c r="T44" i="151"/>
  <c r="S44" i="151"/>
  <c r="R44" i="151"/>
  <c r="Q44" i="151"/>
  <c r="P44" i="151"/>
  <c r="O44" i="151"/>
  <c r="N44" i="151"/>
  <c r="M44" i="151"/>
  <c r="L44" i="151"/>
  <c r="K44" i="151"/>
  <c r="J44" i="151"/>
  <c r="I44" i="151"/>
  <c r="H44" i="151"/>
  <c r="G44" i="151"/>
  <c r="F44" i="151"/>
  <c r="E44" i="151"/>
  <c r="D44" i="151"/>
  <c r="C44" i="151"/>
  <c r="B44" i="151"/>
  <c r="T43" i="151"/>
  <c r="S43" i="151"/>
  <c r="R43" i="151"/>
  <c r="Q43" i="151"/>
  <c r="P43" i="151"/>
  <c r="O43" i="151"/>
  <c r="N43" i="151"/>
  <c r="M43" i="151"/>
  <c r="L43" i="151"/>
  <c r="K43" i="151"/>
  <c r="J43" i="151"/>
  <c r="I43" i="151"/>
  <c r="H43" i="151"/>
  <c r="G43" i="151"/>
  <c r="F43" i="151"/>
  <c r="E43" i="151"/>
  <c r="D43" i="151"/>
  <c r="C43" i="151"/>
  <c r="B43" i="151"/>
  <c r="T42" i="151"/>
  <c r="S42" i="151"/>
  <c r="R42" i="151"/>
  <c r="Q42" i="151"/>
  <c r="P42" i="151"/>
  <c r="O42" i="151"/>
  <c r="N42" i="151"/>
  <c r="M42" i="151"/>
  <c r="L42" i="151"/>
  <c r="K42" i="151"/>
  <c r="J42" i="151"/>
  <c r="I42" i="151"/>
  <c r="H42" i="151"/>
  <c r="G42" i="151"/>
  <c r="F42" i="151"/>
  <c r="E42" i="151"/>
  <c r="D42" i="151"/>
  <c r="C42" i="151"/>
  <c r="B42" i="151"/>
  <c r="T41" i="151"/>
  <c r="S41" i="151"/>
  <c r="R41" i="151"/>
  <c r="Q41" i="151"/>
  <c r="P41" i="151"/>
  <c r="O41" i="151"/>
  <c r="N41" i="151"/>
  <c r="M41" i="151"/>
  <c r="L41" i="151"/>
  <c r="K41" i="151"/>
  <c r="J41" i="151"/>
  <c r="I41" i="151"/>
  <c r="H41" i="151"/>
  <c r="G41" i="151"/>
  <c r="F41" i="151"/>
  <c r="E41" i="151"/>
  <c r="D41" i="151"/>
  <c r="C41" i="151"/>
  <c r="B41" i="151"/>
  <c r="T40" i="151"/>
  <c r="S40" i="151"/>
  <c r="R40" i="151"/>
  <c r="Q40" i="151"/>
  <c r="P40" i="151"/>
  <c r="O40" i="151"/>
  <c r="N40" i="151"/>
  <c r="M40" i="151"/>
  <c r="L40" i="151"/>
  <c r="K40" i="151"/>
  <c r="J40" i="151"/>
  <c r="I40" i="151"/>
  <c r="H40" i="151"/>
  <c r="G40" i="151"/>
  <c r="F40" i="151"/>
  <c r="E40" i="151"/>
  <c r="D40" i="151"/>
  <c r="C40" i="151"/>
  <c r="B40" i="151"/>
  <c r="T39" i="151"/>
  <c r="S39" i="151"/>
  <c r="R39" i="151"/>
  <c r="Q39" i="151"/>
  <c r="P39" i="151"/>
  <c r="O39" i="151"/>
  <c r="N39" i="151"/>
  <c r="M39" i="151"/>
  <c r="L39" i="151"/>
  <c r="K39" i="151"/>
  <c r="J39" i="151"/>
  <c r="I39" i="151"/>
  <c r="H39" i="151"/>
  <c r="G39" i="151"/>
  <c r="F39" i="151"/>
  <c r="E39" i="151"/>
  <c r="D39" i="151"/>
  <c r="C39" i="151"/>
  <c r="B39" i="151"/>
  <c r="T38" i="151"/>
  <c r="S38" i="151"/>
  <c r="R38" i="151"/>
  <c r="Q38" i="151"/>
  <c r="P38" i="151"/>
  <c r="O38" i="151"/>
  <c r="N38" i="151"/>
  <c r="M38" i="151"/>
  <c r="L38" i="151"/>
  <c r="K38" i="151"/>
  <c r="J38" i="151"/>
  <c r="I38" i="151"/>
  <c r="H38" i="151"/>
  <c r="G38" i="151"/>
  <c r="F38" i="151"/>
  <c r="E38" i="151"/>
  <c r="D38" i="151"/>
  <c r="C38" i="151"/>
  <c r="B38" i="151"/>
  <c r="T37" i="151"/>
  <c r="S37" i="151"/>
  <c r="R37" i="151"/>
  <c r="Q37" i="151"/>
  <c r="P37" i="151"/>
  <c r="O37" i="151"/>
  <c r="N37" i="151"/>
  <c r="M37" i="151"/>
  <c r="L37" i="151"/>
  <c r="K37" i="151"/>
  <c r="J37" i="151"/>
  <c r="I37" i="151"/>
  <c r="H37" i="151"/>
  <c r="G37" i="151"/>
  <c r="F37" i="151"/>
  <c r="E37" i="151"/>
  <c r="D37" i="151"/>
  <c r="C37" i="151"/>
  <c r="B37" i="151"/>
  <c r="T36" i="151"/>
  <c r="S36" i="151"/>
  <c r="R36" i="151"/>
  <c r="Q36" i="151"/>
  <c r="P36" i="151"/>
  <c r="O36" i="151"/>
  <c r="N36" i="151"/>
  <c r="M36" i="151"/>
  <c r="L36" i="151"/>
  <c r="K36" i="151"/>
  <c r="J36" i="151"/>
  <c r="I36" i="151"/>
  <c r="H36" i="151"/>
  <c r="G36" i="151"/>
  <c r="F36" i="151"/>
  <c r="E36" i="151"/>
  <c r="D36" i="151"/>
  <c r="C36" i="151"/>
  <c r="B36" i="151"/>
  <c r="T35" i="151"/>
  <c r="S35" i="151"/>
  <c r="R35" i="151"/>
  <c r="Q35" i="151"/>
  <c r="P35" i="151"/>
  <c r="O35" i="151"/>
  <c r="N35" i="151"/>
  <c r="M35" i="151"/>
  <c r="L35" i="151"/>
  <c r="K35" i="151"/>
  <c r="J35" i="151"/>
  <c r="I35" i="151"/>
  <c r="H35" i="151"/>
  <c r="G35" i="151"/>
  <c r="F35" i="151"/>
  <c r="E35" i="151"/>
  <c r="D35" i="151"/>
  <c r="C35" i="151"/>
  <c r="B35" i="151"/>
  <c r="T34" i="151"/>
  <c r="S34" i="151"/>
  <c r="R34" i="151"/>
  <c r="Q34" i="151"/>
  <c r="P34" i="151"/>
  <c r="O34" i="151"/>
  <c r="N34" i="151"/>
  <c r="M34" i="151"/>
  <c r="L34" i="151"/>
  <c r="K34" i="151"/>
  <c r="J34" i="151"/>
  <c r="I34" i="151"/>
  <c r="H34" i="151"/>
  <c r="G34" i="151"/>
  <c r="F34" i="151"/>
  <c r="E34" i="151"/>
  <c r="D34" i="151"/>
  <c r="C34" i="151"/>
  <c r="B34" i="151"/>
  <c r="T33" i="151"/>
  <c r="S33" i="151"/>
  <c r="R33" i="151"/>
  <c r="Q33" i="151"/>
  <c r="P33" i="151"/>
  <c r="O33" i="151"/>
  <c r="N33" i="151"/>
  <c r="M33" i="151"/>
  <c r="L33" i="151"/>
  <c r="K33" i="151"/>
  <c r="J33" i="151"/>
  <c r="I33" i="151"/>
  <c r="H33" i="151"/>
  <c r="G33" i="151"/>
  <c r="F33" i="151"/>
  <c r="E33" i="151"/>
  <c r="D33" i="151"/>
  <c r="C33" i="151"/>
  <c r="B33" i="151"/>
  <c r="T32" i="151"/>
  <c r="S32" i="151"/>
  <c r="R32" i="151"/>
  <c r="Q32" i="151"/>
  <c r="P32" i="151"/>
  <c r="O32" i="151"/>
  <c r="N32" i="151"/>
  <c r="M32" i="151"/>
  <c r="L32" i="151"/>
  <c r="K32" i="151"/>
  <c r="J32" i="151"/>
  <c r="I32" i="151"/>
  <c r="H32" i="151"/>
  <c r="G32" i="151"/>
  <c r="F32" i="151"/>
  <c r="E32" i="151"/>
  <c r="D32" i="151"/>
  <c r="C32" i="151"/>
  <c r="B32" i="151"/>
  <c r="T31" i="151"/>
  <c r="S31" i="151"/>
  <c r="R31" i="151"/>
  <c r="Q31" i="151"/>
  <c r="P31" i="151"/>
  <c r="O31" i="151"/>
  <c r="N31" i="151"/>
  <c r="M31" i="151"/>
  <c r="L31" i="151"/>
  <c r="K31" i="151"/>
  <c r="J31" i="151"/>
  <c r="I31" i="151"/>
  <c r="H31" i="151"/>
  <c r="G31" i="151"/>
  <c r="F31" i="151"/>
  <c r="E31" i="151"/>
  <c r="D31" i="151"/>
  <c r="C31" i="151"/>
  <c r="B31" i="151"/>
  <c r="T30" i="151"/>
  <c r="S30" i="151"/>
  <c r="R30" i="151"/>
  <c r="Q30" i="151"/>
  <c r="P30" i="151"/>
  <c r="O30" i="151"/>
  <c r="N30" i="151"/>
  <c r="M30" i="151"/>
  <c r="L30" i="151"/>
  <c r="K30" i="151"/>
  <c r="J30" i="151"/>
  <c r="I30" i="151"/>
  <c r="H30" i="151"/>
  <c r="G30" i="151"/>
  <c r="F30" i="151"/>
  <c r="E30" i="151"/>
  <c r="D30" i="151"/>
  <c r="C30" i="151"/>
  <c r="B30" i="151"/>
  <c r="T29" i="151"/>
  <c r="S29" i="151"/>
  <c r="R29" i="151"/>
  <c r="Q29" i="151"/>
  <c r="P29" i="151"/>
  <c r="O29" i="151"/>
  <c r="N29" i="151"/>
  <c r="M29" i="151"/>
  <c r="L29" i="151"/>
  <c r="K29" i="151"/>
  <c r="J29" i="151"/>
  <c r="I29" i="151"/>
  <c r="H29" i="151"/>
  <c r="G29" i="151"/>
  <c r="F29" i="151"/>
  <c r="E29" i="151"/>
  <c r="D29" i="151"/>
  <c r="C29" i="151"/>
  <c r="B29" i="151"/>
  <c r="T28" i="151"/>
  <c r="S28" i="151"/>
  <c r="R28" i="151"/>
  <c r="Q28" i="151"/>
  <c r="P28" i="151"/>
  <c r="O28" i="151"/>
  <c r="N28" i="151"/>
  <c r="M28" i="151"/>
  <c r="L28" i="151"/>
  <c r="K28" i="151"/>
  <c r="J28" i="151"/>
  <c r="I28" i="151"/>
  <c r="H28" i="151"/>
  <c r="G28" i="151"/>
  <c r="F28" i="151"/>
  <c r="E28" i="151"/>
  <c r="D28" i="151"/>
  <c r="C28" i="151"/>
  <c r="B28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B27" i="151"/>
  <c r="T26" i="151"/>
  <c r="S26" i="151"/>
  <c r="R26" i="151"/>
  <c r="Q26" i="151"/>
  <c r="P26" i="151"/>
  <c r="O26" i="151"/>
  <c r="N26" i="151"/>
  <c r="M26" i="151"/>
  <c r="L26" i="151"/>
  <c r="K26" i="151"/>
  <c r="J26" i="151"/>
  <c r="I26" i="151"/>
  <c r="H26" i="151"/>
  <c r="G26" i="151"/>
  <c r="F26" i="151"/>
  <c r="E26" i="151"/>
  <c r="D26" i="151"/>
  <c r="C26" i="151"/>
  <c r="B26" i="151"/>
  <c r="T25" i="151"/>
  <c r="S25" i="151"/>
  <c r="R25" i="151"/>
  <c r="Q25" i="151"/>
  <c r="P25" i="151"/>
  <c r="O25" i="151"/>
  <c r="N25" i="151"/>
  <c r="M25" i="151"/>
  <c r="L25" i="151"/>
  <c r="K25" i="151"/>
  <c r="J25" i="151"/>
  <c r="I25" i="151"/>
  <c r="H25" i="151"/>
  <c r="G25" i="151"/>
  <c r="F25" i="151"/>
  <c r="E25" i="151"/>
  <c r="D25" i="151"/>
  <c r="C25" i="151"/>
  <c r="B25" i="151"/>
  <c r="T24" i="151"/>
  <c r="S24" i="151"/>
  <c r="R24" i="151"/>
  <c r="Q24" i="151"/>
  <c r="P24" i="151"/>
  <c r="O24" i="151"/>
  <c r="N24" i="151"/>
  <c r="M24" i="151"/>
  <c r="L24" i="151"/>
  <c r="K24" i="151"/>
  <c r="J24" i="151"/>
  <c r="I24" i="151"/>
  <c r="H24" i="151"/>
  <c r="G24" i="151"/>
  <c r="F24" i="151"/>
  <c r="E24" i="151"/>
  <c r="D24" i="151"/>
  <c r="C24" i="151"/>
  <c r="B24" i="151"/>
  <c r="T19" i="151"/>
  <c r="S19" i="151"/>
  <c r="R19" i="151"/>
  <c r="Q19" i="151"/>
  <c r="P19" i="151"/>
  <c r="O19" i="151"/>
  <c r="N19" i="151"/>
  <c r="M19" i="151"/>
  <c r="L19" i="151"/>
  <c r="K19" i="151"/>
  <c r="J19" i="151"/>
  <c r="I19" i="151"/>
  <c r="H19" i="151"/>
  <c r="G19" i="151"/>
  <c r="F19" i="151"/>
  <c r="E19" i="151"/>
  <c r="D19" i="151"/>
  <c r="C19" i="151"/>
  <c r="B19" i="151"/>
  <c r="T18" i="151"/>
  <c r="S18" i="151"/>
  <c r="R18" i="151"/>
  <c r="Q18" i="151"/>
  <c r="P18" i="151"/>
  <c r="O18" i="151"/>
  <c r="N18" i="151"/>
  <c r="M18" i="151"/>
  <c r="L18" i="151"/>
  <c r="K18" i="151"/>
  <c r="J18" i="151"/>
  <c r="I18" i="151"/>
  <c r="H18" i="151"/>
  <c r="G18" i="151"/>
  <c r="F18" i="151"/>
  <c r="E18" i="151"/>
  <c r="D18" i="151"/>
  <c r="C18" i="151"/>
  <c r="B18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B17" i="151"/>
  <c r="T16" i="151"/>
  <c r="S16" i="151"/>
  <c r="R16" i="151"/>
  <c r="Q16" i="151"/>
  <c r="P16" i="151"/>
  <c r="O16" i="151"/>
  <c r="N16" i="151"/>
  <c r="M16" i="151"/>
  <c r="L16" i="151"/>
  <c r="K16" i="151"/>
  <c r="J16" i="151"/>
  <c r="I16" i="151"/>
  <c r="H16" i="151"/>
  <c r="G16" i="151"/>
  <c r="F16" i="151"/>
  <c r="E16" i="151"/>
  <c r="D16" i="151"/>
  <c r="C16" i="151"/>
  <c r="B16" i="151"/>
  <c r="T15" i="151"/>
  <c r="S15" i="151"/>
  <c r="R15" i="151"/>
  <c r="Q15" i="151"/>
  <c r="P15" i="151"/>
  <c r="O15" i="151"/>
  <c r="N15" i="151"/>
  <c r="M15" i="151"/>
  <c r="L15" i="151"/>
  <c r="K15" i="151"/>
  <c r="J15" i="151"/>
  <c r="I15" i="151"/>
  <c r="H15" i="151"/>
  <c r="G15" i="151"/>
  <c r="F15" i="151"/>
  <c r="E15" i="151"/>
  <c r="D15" i="151"/>
  <c r="C15" i="151"/>
  <c r="B15" i="151"/>
  <c r="T14" i="151"/>
  <c r="S14" i="151"/>
  <c r="R14" i="151"/>
  <c r="Q14" i="151"/>
  <c r="P14" i="151"/>
  <c r="O14" i="151"/>
  <c r="N14" i="151"/>
  <c r="M14" i="151"/>
  <c r="L14" i="151"/>
  <c r="K14" i="151"/>
  <c r="J14" i="151"/>
  <c r="I14" i="151"/>
  <c r="H14" i="151"/>
  <c r="G14" i="151"/>
  <c r="F14" i="151"/>
  <c r="E14" i="151"/>
  <c r="D14" i="151"/>
  <c r="C14" i="151"/>
  <c r="B14" i="151"/>
  <c r="T13" i="151"/>
  <c r="S13" i="151"/>
  <c r="R13" i="151"/>
  <c r="Q13" i="151"/>
  <c r="P13" i="151"/>
  <c r="O13" i="151"/>
  <c r="N13" i="151"/>
  <c r="M13" i="151"/>
  <c r="L13" i="151"/>
  <c r="K13" i="151"/>
  <c r="J13" i="151"/>
  <c r="I13" i="151"/>
  <c r="H13" i="151"/>
  <c r="G13" i="151"/>
  <c r="F13" i="151"/>
  <c r="E13" i="151"/>
  <c r="D13" i="151"/>
  <c r="C13" i="151"/>
  <c r="B13" i="151"/>
  <c r="T12" i="151"/>
  <c r="S12" i="151"/>
  <c r="R12" i="151"/>
  <c r="Q12" i="151"/>
  <c r="P12" i="151"/>
  <c r="O12" i="151"/>
  <c r="N12" i="151"/>
  <c r="M12" i="151"/>
  <c r="L12" i="151"/>
  <c r="K12" i="151"/>
  <c r="J12" i="151"/>
  <c r="I12" i="151"/>
  <c r="H12" i="151"/>
  <c r="G12" i="151"/>
  <c r="F12" i="151"/>
  <c r="E12" i="151"/>
  <c r="D12" i="151"/>
  <c r="C12" i="151"/>
  <c r="B12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B11" i="151"/>
  <c r="T10" i="151"/>
  <c r="S10" i="151"/>
  <c r="R10" i="151"/>
  <c r="Q10" i="151"/>
  <c r="P10" i="151"/>
  <c r="O10" i="151"/>
  <c r="N10" i="151"/>
  <c r="M10" i="151"/>
  <c r="L10" i="151"/>
  <c r="K10" i="151"/>
  <c r="J10" i="151"/>
  <c r="I10" i="151"/>
  <c r="H10" i="151"/>
  <c r="G10" i="151"/>
  <c r="F10" i="151"/>
  <c r="E10" i="151"/>
  <c r="D10" i="151"/>
  <c r="C10" i="151"/>
  <c r="B10" i="151"/>
  <c r="T9" i="151"/>
  <c r="S9" i="151"/>
  <c r="R9" i="151"/>
  <c r="Q9" i="151"/>
  <c r="P9" i="151"/>
  <c r="O9" i="151"/>
  <c r="N9" i="151"/>
  <c r="M9" i="151"/>
  <c r="L9" i="151"/>
  <c r="K9" i="151"/>
  <c r="J9" i="151"/>
  <c r="I9" i="151"/>
  <c r="H9" i="151"/>
  <c r="G9" i="151"/>
  <c r="F9" i="151"/>
  <c r="E9" i="151"/>
  <c r="D9" i="151"/>
  <c r="C9" i="151"/>
  <c r="B9" i="151"/>
  <c r="T8" i="151"/>
  <c r="S8" i="151"/>
  <c r="R8" i="151"/>
  <c r="Q8" i="151"/>
  <c r="P8" i="151"/>
  <c r="O8" i="151"/>
  <c r="N8" i="151"/>
  <c r="M8" i="151"/>
  <c r="L8" i="151"/>
  <c r="K8" i="151"/>
  <c r="J8" i="151"/>
  <c r="I8" i="151"/>
  <c r="H8" i="151"/>
  <c r="G8" i="151"/>
  <c r="F8" i="151"/>
  <c r="E8" i="151"/>
  <c r="D8" i="151"/>
  <c r="C8" i="151"/>
  <c r="B8" i="151"/>
  <c r="T7" i="151"/>
  <c r="S7" i="151"/>
  <c r="R7" i="151"/>
  <c r="Q7" i="151"/>
  <c r="P7" i="151"/>
  <c r="O7" i="151"/>
  <c r="N7" i="151"/>
  <c r="M7" i="151"/>
  <c r="L7" i="151"/>
  <c r="K7" i="151"/>
  <c r="J7" i="151"/>
  <c r="I7" i="151"/>
  <c r="H7" i="151"/>
  <c r="G7" i="151"/>
  <c r="F7" i="151"/>
  <c r="E7" i="151"/>
  <c r="D7" i="151"/>
  <c r="C7" i="151"/>
  <c r="B7" i="151"/>
  <c r="T6" i="151"/>
  <c r="S6" i="151"/>
  <c r="R6" i="151"/>
  <c r="Q6" i="151"/>
  <c r="P6" i="151"/>
  <c r="O6" i="151"/>
  <c r="N6" i="151"/>
  <c r="M6" i="151"/>
  <c r="L6" i="151"/>
  <c r="K6" i="151"/>
  <c r="J6" i="151"/>
  <c r="I6" i="151"/>
  <c r="H6" i="151"/>
  <c r="G6" i="151"/>
  <c r="F6" i="151"/>
  <c r="E6" i="151"/>
  <c r="D6" i="151"/>
  <c r="C6" i="151"/>
  <c r="T5" i="151"/>
  <c r="S5" i="151"/>
  <c r="R5" i="151"/>
  <c r="Q5" i="151"/>
  <c r="P5" i="151"/>
  <c r="O5" i="151"/>
  <c r="N5" i="151"/>
  <c r="M5" i="151"/>
  <c r="L5" i="151"/>
  <c r="K5" i="151"/>
  <c r="J5" i="151"/>
  <c r="I5" i="151"/>
  <c r="H5" i="151"/>
  <c r="G5" i="151"/>
  <c r="F5" i="151"/>
  <c r="E5" i="151"/>
  <c r="D5" i="151"/>
  <c r="C5" i="15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新建文本文档1111111111111111111111111111111111111111111111111111111111111111111111111111111111111111111111111111111111111111111111111111111111111111111111111111111111111111111111111111111111111111111111111111111111111111111111111111111111111111111" type="6" refreshedVersion="2" deleted="1" background="1" saveData="1">
    <textPr sourceFile="E:\Users\Xinru Han\Desktop\新建文本文档.txt">
      <textFields>
        <textField/>
      </textFields>
    </textPr>
  </connection>
</connections>
</file>

<file path=xl/sharedStrings.xml><?xml version="1.0" encoding="utf-8"?>
<sst xmlns="http://schemas.openxmlformats.org/spreadsheetml/2006/main" count="2699" uniqueCount="383">
  <si>
    <t>rdim</t>
  </si>
  <si>
    <t>cdim</t>
  </si>
  <si>
    <t>par</t>
  </si>
  <si>
    <r>
      <rPr>
        <sz val="11"/>
        <color indexed="8"/>
        <rFont val="宋体"/>
        <charset val="134"/>
      </rPr>
      <t>K</t>
    </r>
    <r>
      <rPr>
        <sz val="11"/>
        <color indexed="8"/>
        <rFont val="宋体"/>
        <charset val="134"/>
      </rPr>
      <t>OUL</t>
    </r>
    <r>
      <rPr>
        <sz val="11"/>
        <color indexed="8"/>
        <rFont val="宋体"/>
        <charset val="134"/>
      </rPr>
      <t>X</t>
    </r>
  </si>
  <si>
    <r>
      <rPr>
        <sz val="11"/>
        <color indexed="8"/>
        <rFont val="宋体"/>
        <charset val="134"/>
      </rPr>
      <t>G</t>
    </r>
    <r>
      <rPr>
        <sz val="11"/>
        <color indexed="8"/>
        <rFont val="宋体"/>
        <charset val="134"/>
      </rPr>
      <t>UWU</t>
    </r>
    <r>
      <rPr>
        <sz val="11"/>
        <color indexed="8"/>
        <rFont val="宋体"/>
        <charset val="134"/>
      </rPr>
      <t>X</t>
    </r>
  </si>
  <si>
    <r>
      <rPr>
        <sz val="11"/>
        <color indexed="8"/>
        <rFont val="宋体"/>
        <charset val="134"/>
      </rPr>
      <t>L</t>
    </r>
    <r>
      <rPr>
        <sz val="11"/>
        <color indexed="8"/>
        <rFont val="宋体"/>
        <charset val="134"/>
      </rPr>
      <t>ISH</t>
    </r>
    <r>
      <rPr>
        <sz val="11"/>
        <color indexed="8"/>
        <rFont val="宋体"/>
        <charset val="134"/>
      </rPr>
      <t>X</t>
    </r>
  </si>
  <si>
    <t>ENGYX</t>
  </si>
  <si>
    <t>RICEX</t>
  </si>
  <si>
    <t>WHEAX</t>
  </si>
  <si>
    <t>MAIZX</t>
  </si>
  <si>
    <t>BARLX</t>
  </si>
  <si>
    <t>SOYSX</t>
  </si>
  <si>
    <t>SOYOX</t>
  </si>
  <si>
    <t>SOYMX</t>
  </si>
  <si>
    <t>RAPSX</t>
  </si>
  <si>
    <t>RAPOX</t>
  </si>
  <si>
    <t>RAPMX</t>
  </si>
  <si>
    <t>GRDSX</t>
  </si>
  <si>
    <t>GRDOX</t>
  </si>
  <si>
    <t>GRDMX</t>
  </si>
  <si>
    <t>COTTX</t>
  </si>
  <si>
    <t>SUGAX</t>
  </si>
  <si>
    <t>VEGTX</t>
  </si>
  <si>
    <t>SORGX</t>
  </si>
  <si>
    <t>FRTOX</t>
  </si>
  <si>
    <t>OTGRX</t>
  </si>
  <si>
    <t>BEEFX</t>
  </si>
  <si>
    <t>CATBX</t>
  </si>
  <si>
    <t>CATOX</t>
  </si>
  <si>
    <t>CATTX</t>
  </si>
  <si>
    <t>PORKX</t>
  </si>
  <si>
    <t>PIGBX</t>
  </si>
  <si>
    <t>PIGOX</t>
  </si>
  <si>
    <t>PIGTX</t>
  </si>
  <si>
    <t>SHGMX</t>
  </si>
  <si>
    <t>CHKMX</t>
  </si>
  <si>
    <t>EGGSX</t>
  </si>
  <si>
    <t>MILKX</t>
  </si>
  <si>
    <t>FISHX</t>
  </si>
  <si>
    <r>
      <rPr>
        <sz val="11"/>
        <color indexed="8"/>
        <rFont val="宋体"/>
        <charset val="134"/>
      </rPr>
      <t>P</t>
    </r>
    <r>
      <rPr>
        <sz val="11"/>
        <color indexed="8"/>
        <rFont val="宋体"/>
        <charset val="134"/>
      </rPr>
      <t>OTAX</t>
    </r>
  </si>
  <si>
    <t>TOSLX</t>
  </si>
  <si>
    <t>PRODX</t>
  </si>
  <si>
    <t>AREAX</t>
  </si>
  <si>
    <t>YILDX</t>
  </si>
  <si>
    <t>NIMPX</t>
  </si>
  <si>
    <t>TODMX</t>
  </si>
  <si>
    <t>FOODX</t>
  </si>
  <si>
    <t>PFODX</t>
  </si>
  <si>
    <t>FEEDX</t>
  </si>
  <si>
    <t>PROCX</t>
  </si>
  <si>
    <t>SEEDX</t>
  </si>
  <si>
    <t>WASTX</t>
  </si>
  <si>
    <t>OTHEX</t>
  </si>
  <si>
    <t>STOCX</t>
  </si>
  <si>
    <t>NEXPX</t>
  </si>
  <si>
    <t>DOMDX</t>
  </si>
  <si>
    <t>PRICX</t>
  </si>
  <si>
    <t>CO2EX</t>
  </si>
  <si>
    <t>POPUX</t>
  </si>
  <si>
    <t>PGDPX</t>
  </si>
  <si>
    <t>DFODX</t>
  </si>
  <si>
    <t>CRSHX</t>
  </si>
  <si>
    <r>
      <rPr>
        <sz val="11"/>
        <color indexed="8"/>
        <rFont val="宋体"/>
        <charset val="134"/>
      </rPr>
      <t>变化率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</si>
  <si>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1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</si>
  <si>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2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</si>
  <si>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3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</si>
  <si>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4</t>
    </r>
  </si>
  <si>
    <r>
      <rPr>
        <sz val="11"/>
        <color indexed="8"/>
        <rFont val="宋体"/>
        <charset val="134"/>
      </rPr>
      <t>情景</t>
    </r>
    <r>
      <rPr>
        <sz val="11"/>
        <color indexed="8"/>
        <rFont val="Courier New"/>
        <family val="3"/>
      </rPr>
      <t>5</t>
    </r>
  </si>
  <si>
    <r>
      <rPr>
        <sz val="11"/>
        <color indexed="8"/>
        <rFont val="宋体"/>
        <charset val="134"/>
      </rPr>
      <t>变化量</t>
    </r>
  </si>
  <si>
    <t>人均消费量</t>
  </si>
  <si>
    <t>畜禽肉</t>
  </si>
  <si>
    <t>粮食</t>
  </si>
  <si>
    <t>水稻</t>
  </si>
  <si>
    <t>BASE</t>
  </si>
  <si>
    <t>2016-2035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</si>
  <si>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</si>
  <si>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</si>
  <si>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</si>
  <si>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</si>
  <si>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</si>
  <si>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</si>
  <si>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</si>
  <si>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</si>
  <si>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</si>
  <si>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</si>
  <si>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</si>
  <si>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</si>
  <si>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稻谷种植面积（万公顷）</t>
  </si>
  <si>
    <t>AREA</t>
  </si>
  <si>
    <t>稻谷单产（千克/公顷）</t>
  </si>
  <si>
    <t>YIELD</t>
  </si>
  <si>
    <t>总供给</t>
  </si>
  <si>
    <t>TOTAL SUPPLY</t>
  </si>
  <si>
    <t>稻谷产量（万吨）</t>
  </si>
  <si>
    <t>PRODUCTION</t>
  </si>
  <si>
    <t>稻谷净进口</t>
  </si>
  <si>
    <t>NET IMPORT</t>
  </si>
  <si>
    <t>稻谷总需求（万吨）</t>
  </si>
  <si>
    <t>TOTAL DEMAND</t>
  </si>
  <si>
    <t>稻谷人均消费量（千克/人）</t>
  </si>
  <si>
    <t>PER CAPITA FOOD DEMAND</t>
  </si>
  <si>
    <t>农村居民在家人均稻谷消费量（千克/人）</t>
  </si>
  <si>
    <t>SEED DEMAND</t>
  </si>
  <si>
    <t>农村居民在外人均稻谷消费量（千克/人）</t>
  </si>
  <si>
    <t>FEED DEMAND</t>
  </si>
  <si>
    <t>城镇居民在家人均稻谷消费量（千克/人）</t>
  </si>
  <si>
    <t>PROCESSING DEMAND</t>
  </si>
  <si>
    <t>城镇居民在外人均稻谷消费量（千克/人）</t>
  </si>
  <si>
    <t>WASTE DEMAND</t>
  </si>
  <si>
    <t>农村居民稻谷口粮总消费量（万吨）</t>
  </si>
  <si>
    <t>STOCK CHANGE</t>
  </si>
  <si>
    <t>城镇居民稻谷口粮总消费量（万吨）</t>
  </si>
  <si>
    <t>DOMESTIC DEMAND</t>
  </si>
  <si>
    <t>稻谷种子消费量（万吨）</t>
  </si>
  <si>
    <t>energy</t>
  </si>
  <si>
    <t>稻谷饲料消费量（万吨）</t>
  </si>
  <si>
    <t>TOTAL FOOD DEMAND BY ALL HOUSEHOLD</t>
  </si>
  <si>
    <t>稻谷加工消费量（万吨）</t>
  </si>
  <si>
    <t>CARBON EMISSION</t>
  </si>
  <si>
    <t>稻谷损耗量（万吨）</t>
  </si>
  <si>
    <t>稻谷库存变化(万吨）</t>
  </si>
  <si>
    <t>稻谷消费者价格（元/吨）</t>
  </si>
  <si>
    <t>稻谷生产者价格（元/吨）</t>
  </si>
  <si>
    <t>食物总需求</t>
  </si>
  <si>
    <t>农村居民人均稻谷消费量（千克/人）</t>
  </si>
  <si>
    <t>城镇居民人均稻谷消费量（千克/人）</t>
  </si>
  <si>
    <t>农村居民在家稻谷口粮总消费量（万吨）</t>
  </si>
  <si>
    <t>农村居民在外稻谷口粮总消费量（万吨）</t>
  </si>
  <si>
    <t>城镇居民在家稻谷口粮总消费量（万吨）</t>
  </si>
  <si>
    <t>城镇居民在外稻谷口粮总消费量（万吨）</t>
  </si>
  <si>
    <t>CRUSH DEMAND</t>
  </si>
  <si>
    <t>OTHER DEMAND</t>
  </si>
  <si>
    <t>总人口（千人）</t>
  </si>
  <si>
    <t>汇率</t>
  </si>
  <si>
    <t>人均GDP 元</t>
  </si>
  <si>
    <t>PER CAPITA GDP</t>
  </si>
  <si>
    <t>年度增长率</t>
  </si>
  <si>
    <t>种植业的排放当量万吨</t>
  </si>
  <si>
    <t>CROP EMISSION</t>
  </si>
  <si>
    <t>养殖业的排放当量万吨</t>
  </si>
  <si>
    <t>LIVESTOCK EMISSION</t>
  </si>
  <si>
    <t>co2排放当量万吨</t>
  </si>
  <si>
    <t>TOTAL EMISSION</t>
  </si>
  <si>
    <t>TOTAL POPULATION</t>
  </si>
  <si>
    <t>城镇人口</t>
  </si>
  <si>
    <t>URBAN POPULATION</t>
  </si>
  <si>
    <t>城镇化率</t>
  </si>
  <si>
    <t>URBANIZATION RATE</t>
  </si>
  <si>
    <t>每人每天摄入量</t>
  </si>
  <si>
    <t>膳食能量</t>
  </si>
  <si>
    <t>蛋白质</t>
  </si>
  <si>
    <t>protein</t>
  </si>
  <si>
    <t>脂肪</t>
  </si>
  <si>
    <t>fat</t>
  </si>
  <si>
    <t>碳水化合物</t>
  </si>
  <si>
    <t>CARBOHYDRATE</t>
  </si>
  <si>
    <t>膳食能量构成</t>
  </si>
  <si>
    <t>ENERGY FROM PROTEIN</t>
  </si>
  <si>
    <t>ENERGY FROM FAT</t>
  </si>
  <si>
    <t>ENERGY FROM CARBOHYDRATE</t>
  </si>
  <si>
    <t>植物类食物</t>
  </si>
  <si>
    <t>ENERGY FROM PLANT</t>
  </si>
  <si>
    <t>油脂类食物</t>
  </si>
  <si>
    <t>ENERGY FROM OIL</t>
  </si>
  <si>
    <t>动物类食物</t>
  </si>
  <si>
    <t>ENERGY FROM ANIMAL</t>
  </si>
  <si>
    <t>蛋白质构成</t>
  </si>
  <si>
    <t>PROTEIN FROM PLANT</t>
  </si>
  <si>
    <t>PROTEIN FROM ANIMAL</t>
  </si>
  <si>
    <r>
      <rPr>
        <sz val="11"/>
        <color indexed="8"/>
        <rFont val="微软雅黑"/>
        <charset val="134"/>
      </rPr>
      <t>种植面积（万公顷）</t>
    </r>
  </si>
  <si>
    <r>
      <rPr>
        <sz val="11"/>
        <color indexed="8"/>
        <rFont val="微软雅黑"/>
        <charset val="134"/>
      </rPr>
      <t>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微软雅黑"/>
        <charset val="134"/>
      </rPr>
      <t>公顷）</t>
    </r>
  </si>
  <si>
    <r>
      <rPr>
        <sz val="11"/>
        <color indexed="8"/>
        <rFont val="微软雅黑"/>
        <charset val="134"/>
      </rPr>
      <t>总供给（万吨）</t>
    </r>
  </si>
  <si>
    <r>
      <rPr>
        <sz val="11"/>
        <color indexed="8"/>
        <rFont val="微软雅黑"/>
        <charset val="134"/>
      </rPr>
      <t>产量（万吨）</t>
    </r>
  </si>
  <si>
    <r>
      <rPr>
        <sz val="11"/>
        <color indexed="8"/>
        <rFont val="微软雅黑"/>
        <charset val="134"/>
      </rPr>
      <t>净进口（万吨）</t>
    </r>
  </si>
  <si>
    <r>
      <rPr>
        <sz val="11"/>
        <color indexed="8"/>
        <rFont val="微软雅黑"/>
        <charset val="134"/>
      </rPr>
      <t>总需求（万吨）</t>
    </r>
  </si>
  <si>
    <r>
      <rPr>
        <sz val="11"/>
        <color indexed="8"/>
        <rFont val="微软雅黑"/>
        <charset val="134"/>
      </rPr>
      <t>人均食用消费量（千克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微软雅黑"/>
        <charset val="134"/>
      </rPr>
      <t>人）</t>
    </r>
  </si>
  <si>
    <r>
      <rPr>
        <sz val="11"/>
        <color indexed="8"/>
        <rFont val="微软雅黑"/>
        <charset val="134"/>
      </rPr>
      <t>种子消费量（万吨）</t>
    </r>
  </si>
  <si>
    <r>
      <rPr>
        <sz val="11"/>
        <color indexed="8"/>
        <rFont val="微软雅黑"/>
        <charset val="134"/>
      </rPr>
      <t>饲料消费量（万吨）</t>
    </r>
  </si>
  <si>
    <r>
      <rPr>
        <sz val="11"/>
        <color indexed="8"/>
        <rFont val="微软雅黑"/>
        <charset val="134"/>
      </rPr>
      <t>加工消费量（万吨）</t>
    </r>
  </si>
  <si>
    <r>
      <rPr>
        <sz val="11"/>
        <color rgb="FF000000"/>
        <rFont val="微软雅黑"/>
        <charset val="134"/>
      </rPr>
      <t>损耗和浪费（万吨）</t>
    </r>
  </si>
  <si>
    <r>
      <rPr>
        <sz val="11"/>
        <color rgb="FF000000"/>
        <rFont val="微软雅黑"/>
        <charset val="134"/>
      </rPr>
      <t>库存变化（万吨）</t>
    </r>
  </si>
  <si>
    <r>
      <rPr>
        <sz val="11"/>
        <color indexed="8"/>
        <rFont val="微软雅黑"/>
        <charset val="134"/>
      </rPr>
      <t>国内消费需求（万吨）</t>
    </r>
  </si>
  <si>
    <r>
      <rPr>
        <sz val="11"/>
        <color indexed="8"/>
        <rFont val="微软雅黑"/>
        <charset val="134"/>
      </rPr>
      <t>膳食能量（千卡）</t>
    </r>
  </si>
  <si>
    <r>
      <rPr>
        <sz val="11"/>
        <color indexed="8"/>
        <rFont val="微软雅黑"/>
        <charset val="134"/>
      </rPr>
      <t>食物消费需求（万吨）</t>
    </r>
  </si>
  <si>
    <r>
      <rPr>
        <sz val="11"/>
        <color rgb="FF000000"/>
        <rFont val="微软雅黑"/>
        <charset val="134"/>
      </rPr>
      <t>碳排放（万吨）</t>
    </r>
  </si>
  <si>
    <r>
      <rPr>
        <sz val="11"/>
        <color indexed="8"/>
        <rFont val="宋体"/>
        <charset val="134"/>
      </rPr>
      <t>种植面积（万公顷）</t>
    </r>
  </si>
  <si>
    <r>
      <rPr>
        <sz val="11"/>
        <color indexed="8"/>
        <rFont val="宋体"/>
        <charset val="134"/>
      </rPr>
      <t>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公顷）</t>
    </r>
  </si>
  <si>
    <r>
      <rPr>
        <sz val="11"/>
        <color indexed="8"/>
        <rFont val="宋体"/>
        <charset val="134"/>
      </rPr>
      <t>总供给（万吨）</t>
    </r>
  </si>
  <si>
    <r>
      <rPr>
        <sz val="11"/>
        <color indexed="8"/>
        <rFont val="宋体"/>
        <charset val="134"/>
      </rPr>
      <t>产量（万吨）</t>
    </r>
  </si>
  <si>
    <r>
      <rPr>
        <sz val="11"/>
        <color indexed="8"/>
        <rFont val="宋体"/>
        <charset val="134"/>
      </rPr>
      <t>净进口（万吨）</t>
    </r>
  </si>
  <si>
    <r>
      <rPr>
        <sz val="11"/>
        <color indexed="8"/>
        <rFont val="宋体"/>
        <charset val="134"/>
      </rPr>
      <t>总需求（万吨）</t>
    </r>
  </si>
  <si>
    <r>
      <rPr>
        <sz val="11"/>
        <color indexed="8"/>
        <rFont val="宋体"/>
        <charset val="134"/>
      </rPr>
      <t>人均食用消费量（千克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</si>
  <si>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种子消费量（万吨）</t>
    </r>
  </si>
  <si>
    <r>
      <rPr>
        <sz val="11"/>
        <color indexed="8"/>
        <rFont val="宋体"/>
        <charset val="134"/>
      </rPr>
      <t>食物消费需求（万吨）</t>
    </r>
  </si>
  <si>
    <r>
      <rPr>
        <sz val="11"/>
        <color indexed="8"/>
        <rFont val="宋体"/>
        <charset val="134"/>
      </rPr>
      <t>饲料消费量（万吨）</t>
    </r>
  </si>
  <si>
    <r>
      <rPr>
        <sz val="11"/>
        <color indexed="8"/>
        <rFont val="宋体"/>
        <charset val="134"/>
      </rPr>
      <t>加工消费量（万吨）</t>
    </r>
  </si>
  <si>
    <r>
      <rPr>
        <sz val="11"/>
        <color rgb="FF000000"/>
        <rFont val="宋体"/>
        <charset val="134"/>
      </rPr>
      <t>损耗和浪费（万吨）</t>
    </r>
  </si>
  <si>
    <r>
      <rPr>
        <sz val="11"/>
        <color rgb="FF000000"/>
        <rFont val="宋体"/>
        <charset val="134"/>
      </rPr>
      <t>库存变化（万吨）</t>
    </r>
  </si>
  <si>
    <r>
      <rPr>
        <sz val="11"/>
        <color indexed="8"/>
        <rFont val="宋体"/>
        <charset val="134"/>
      </rPr>
      <t>国内消费需求（万吨）</t>
    </r>
  </si>
  <si>
    <r>
      <rPr>
        <sz val="11"/>
        <color indexed="8"/>
        <rFont val="宋体"/>
        <charset val="134"/>
      </rPr>
      <t>膳食能量（千卡）</t>
    </r>
  </si>
  <si>
    <r>
      <rPr>
        <sz val="11"/>
        <color rgb="FF000000"/>
        <rFont val="宋体"/>
        <charset val="134"/>
      </rPr>
      <t>碳排放（万吨）</t>
    </r>
  </si>
  <si>
    <r>
      <rPr>
        <sz val="11"/>
        <color indexed="8"/>
        <rFont val="宋体"/>
        <charset val="134"/>
      </rPr>
      <t>总供给</t>
    </r>
  </si>
  <si>
    <r>
      <rPr>
        <sz val="11"/>
        <color indexed="8"/>
        <rFont val="宋体"/>
        <charset val="134"/>
      </rPr>
      <t>玉米产量（万吨）</t>
    </r>
  </si>
  <si>
    <r>
      <rPr>
        <sz val="11"/>
        <color indexed="8"/>
        <rFont val="宋体"/>
        <charset val="134"/>
      </rPr>
      <t>玉米种植面积（万公顷）</t>
    </r>
  </si>
  <si>
    <r>
      <rPr>
        <sz val="11"/>
        <color indexed="8"/>
        <rFont val="宋体"/>
        <charset val="134"/>
      </rPr>
      <t>玉米单产（千克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公顷）</t>
    </r>
  </si>
  <si>
    <r>
      <rPr>
        <sz val="11"/>
        <color indexed="8"/>
        <rFont val="宋体"/>
        <charset val="134"/>
      </rPr>
      <t>玉米净进口</t>
    </r>
  </si>
  <si>
    <r>
      <rPr>
        <sz val="11"/>
        <color indexed="8"/>
        <rFont val="宋体"/>
        <charset val="134"/>
      </rPr>
      <t>玉米总需求（万吨）</t>
    </r>
  </si>
  <si>
    <r>
      <rPr>
        <sz val="11"/>
        <color indexed="8"/>
        <rFont val="宋体"/>
        <charset val="134"/>
      </rPr>
      <t>玉米人均消费量（千克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</si>
  <si>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</si>
  <si>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t xml:space="preserve">     </t>
  </si>
  <si>
    <r>
      <rPr>
        <sz val="11"/>
        <color indexed="8"/>
        <rFont val="宋体"/>
        <charset val="134"/>
      </rPr>
      <t>玉米饲料消费量（万吨）</t>
    </r>
  </si>
  <si>
    <r>
      <rPr>
        <sz val="11"/>
        <color indexed="8"/>
        <rFont val="宋体"/>
        <charset val="134"/>
      </rPr>
      <t>农村居民在外人均玉米消费量（千克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</si>
  <si>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城镇居民在家人均玉米消费量（千克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</si>
  <si>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城镇居民在外人均玉米消费量（千克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</si>
  <si>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农村居民玉米口粮总消费量（万吨）</t>
    </r>
  </si>
  <si>
    <r>
      <rPr>
        <sz val="11"/>
        <color indexed="8"/>
        <rFont val="宋体"/>
        <charset val="134"/>
      </rPr>
      <t>城镇居民玉米口粮总消费量（万吨）</t>
    </r>
  </si>
  <si>
    <r>
      <rPr>
        <sz val="11"/>
        <color indexed="8"/>
        <rFont val="宋体"/>
        <charset val="134"/>
      </rPr>
      <t>玉米种子消费量（万吨）</t>
    </r>
  </si>
  <si>
    <r>
      <rPr>
        <sz val="11"/>
        <color indexed="8"/>
        <rFont val="宋体"/>
        <charset val="134"/>
      </rPr>
      <t>玉米加工消费量（万吨）</t>
    </r>
  </si>
  <si>
    <r>
      <rPr>
        <sz val="11"/>
        <color indexed="8"/>
        <rFont val="宋体"/>
        <charset val="134"/>
      </rPr>
      <t>玉米损耗量（万吨）</t>
    </r>
  </si>
  <si>
    <r>
      <rPr>
        <sz val="11"/>
        <color indexed="8"/>
        <rFont val="宋体"/>
        <charset val="134"/>
      </rPr>
      <t>农村居民人均玉米消费量（千克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</si>
  <si>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城镇居民人均玉米消费量（千克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</si>
  <si>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农村居民在家玉米口粮总消费量（万吨）</t>
    </r>
  </si>
  <si>
    <r>
      <rPr>
        <sz val="11"/>
        <color indexed="8"/>
        <rFont val="宋体"/>
        <charset val="134"/>
      </rPr>
      <t>农村居民在外玉米口粮总消费量（万吨）</t>
    </r>
  </si>
  <si>
    <r>
      <rPr>
        <sz val="11"/>
        <color indexed="8"/>
        <rFont val="宋体"/>
        <charset val="134"/>
      </rPr>
      <t>城镇居民在家玉米口粮总消费量（万吨）</t>
    </r>
  </si>
  <si>
    <r>
      <rPr>
        <sz val="11"/>
        <color indexed="8"/>
        <rFont val="宋体"/>
        <charset val="134"/>
      </rPr>
      <t>城镇居民在外玉米口粮总消费量（万吨）</t>
    </r>
  </si>
  <si>
    <r>
      <rPr>
        <sz val="11"/>
        <color indexed="8"/>
        <rFont val="宋体"/>
        <charset val="134"/>
      </rPr>
      <t>大豆种植面积（万公顷）</t>
    </r>
  </si>
  <si>
    <r>
      <rPr>
        <sz val="11"/>
        <color indexed="8"/>
        <rFont val="宋体"/>
        <charset val="134"/>
      </rPr>
      <t>大豆单产（千克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公顷）</t>
    </r>
  </si>
  <si>
    <r>
      <rPr>
        <sz val="11"/>
        <color indexed="8"/>
        <rFont val="宋体"/>
        <charset val="134"/>
      </rPr>
      <t>大豆产量（万吨）</t>
    </r>
  </si>
  <si>
    <r>
      <rPr>
        <sz val="11"/>
        <color indexed="8"/>
        <rFont val="宋体"/>
        <charset val="134"/>
      </rPr>
      <t>大豆净进口</t>
    </r>
  </si>
  <si>
    <r>
      <rPr>
        <sz val="11"/>
        <color indexed="8"/>
        <rFont val="宋体"/>
        <charset val="134"/>
      </rPr>
      <t>大豆总需求（万吨）</t>
    </r>
  </si>
  <si>
    <r>
      <rPr>
        <sz val="11"/>
        <color indexed="8"/>
        <rFont val="宋体"/>
        <charset val="134"/>
      </rPr>
      <t>大豆人均消费量（千克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</si>
  <si>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</si>
  <si>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城镇居民在家人均大豆消费量（千克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</si>
  <si>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农村居民大豆口粮总消费量（万吨）</t>
    </r>
  </si>
  <si>
    <r>
      <rPr>
        <sz val="11"/>
        <color indexed="8"/>
        <rFont val="宋体"/>
        <charset val="134"/>
      </rPr>
      <t>城镇居民大豆口粮总消费量（万吨）</t>
    </r>
  </si>
  <si>
    <r>
      <rPr>
        <sz val="11"/>
        <color indexed="8"/>
        <rFont val="宋体"/>
        <charset val="134"/>
      </rPr>
      <t>大豆加工消费量（万吨）</t>
    </r>
  </si>
  <si>
    <r>
      <rPr>
        <sz val="11"/>
        <color indexed="8"/>
        <rFont val="宋体"/>
        <charset val="134"/>
      </rPr>
      <t>大豆损耗量（万吨）</t>
    </r>
  </si>
  <si>
    <r>
      <rPr>
        <sz val="11"/>
        <color indexed="8"/>
        <rFont val="宋体"/>
        <charset val="134"/>
      </rPr>
      <t>大豆库存变化</t>
    </r>
    <r>
      <rPr>
        <sz val="11"/>
        <color indexed="8"/>
        <rFont val="Courier New"/>
        <family val="3"/>
      </rPr>
      <t>(</t>
    </r>
    <r>
      <rPr>
        <sz val="11"/>
        <color indexed="8"/>
        <rFont val="宋体"/>
        <charset val="134"/>
      </rPr>
      <t>万吨）</t>
    </r>
  </si>
  <si>
    <r>
      <rPr>
        <sz val="11"/>
        <color indexed="8"/>
        <rFont val="宋体"/>
        <charset val="134"/>
      </rPr>
      <t>大豆消费者价格（元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吨）</t>
    </r>
  </si>
  <si>
    <r>
      <rPr>
        <sz val="11"/>
        <color indexed="8"/>
        <rFont val="宋体"/>
        <charset val="134"/>
      </rPr>
      <t>大豆生产者价格（元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吨）</t>
    </r>
  </si>
  <si>
    <r>
      <rPr>
        <sz val="11"/>
        <color indexed="8"/>
        <rFont val="宋体"/>
        <charset val="134"/>
      </rPr>
      <t>食物总需求</t>
    </r>
  </si>
  <si>
    <r>
      <rPr>
        <sz val="11"/>
        <color indexed="8"/>
        <rFont val="宋体"/>
        <charset val="134"/>
      </rPr>
      <t>农村居民人均大豆消费量（千克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</si>
  <si>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城镇居民人均大豆消费量（千克</t>
    </r>
    <r>
      <rPr>
        <sz val="11"/>
        <color indexed="8"/>
        <rFont val="Courier New"/>
        <family val="3"/>
      </rPr>
      <t>/</t>
    </r>
    <r>
      <rPr>
        <sz val="11"/>
        <color indexed="8"/>
        <rFont val="宋体"/>
        <charset val="134"/>
      </rPr>
      <t>人）</t>
    </r>
  </si>
  <si>
    <r>
      <rPr>
        <sz val="11"/>
        <color indexed="8"/>
        <rFont val="宋体"/>
        <charset val="134"/>
      </rPr>
      <t>农村居民在家大豆口粮总消费量（万吨）</t>
    </r>
  </si>
  <si>
    <r>
      <rPr>
        <sz val="11"/>
        <color indexed="8"/>
        <rFont val="宋体"/>
        <charset val="134"/>
      </rPr>
      <t>城镇居民在家大豆口粮总消费量（万吨）</t>
    </r>
  </si>
  <si>
    <t>NET EXPORT</t>
  </si>
  <si>
    <t>RICE</t>
  </si>
  <si>
    <t>WHEA</t>
  </si>
  <si>
    <t>MAIZ</t>
  </si>
  <si>
    <t>POTA</t>
  </si>
  <si>
    <t>SORG</t>
  </si>
  <si>
    <t>BARL</t>
  </si>
  <si>
    <t>SOYS</t>
  </si>
  <si>
    <t>SOYO</t>
  </si>
  <si>
    <t>SOYM</t>
  </si>
  <si>
    <t>RAPS</t>
  </si>
  <si>
    <t>RAPO</t>
  </si>
  <si>
    <t>RAPM</t>
  </si>
  <si>
    <t>GRDS</t>
  </si>
  <si>
    <t>GRDO</t>
  </si>
  <si>
    <t>GRDM</t>
  </si>
  <si>
    <t>COTT</t>
  </si>
  <si>
    <t>SUGA</t>
  </si>
  <si>
    <t>SUGC</t>
  </si>
  <si>
    <t>SUGB</t>
  </si>
  <si>
    <t>FRTO</t>
  </si>
  <si>
    <t>VEGT</t>
  </si>
  <si>
    <t>PIGM</t>
  </si>
  <si>
    <t>CATM</t>
  </si>
  <si>
    <t>SHGM</t>
  </si>
  <si>
    <t>CHKM</t>
  </si>
  <si>
    <t>EGGS</t>
  </si>
  <si>
    <t>MILK</t>
  </si>
  <si>
    <t>FISH</t>
  </si>
  <si>
    <t>OTGR</t>
  </si>
  <si>
    <t>sim1动态弹性</t>
  </si>
  <si>
    <t>sim2高人口</t>
  </si>
  <si>
    <t>能量</t>
  </si>
  <si>
    <t>可食比例</t>
  </si>
  <si>
    <t xml:space="preserve">稻谷 </t>
  </si>
  <si>
    <t>小麦</t>
  </si>
  <si>
    <t>玉米</t>
  </si>
  <si>
    <t>其他粮食</t>
  </si>
  <si>
    <t>大豆</t>
  </si>
  <si>
    <t>大豆油</t>
  </si>
  <si>
    <t>菜籽油</t>
  </si>
  <si>
    <t>花生</t>
  </si>
  <si>
    <t>花生油</t>
  </si>
  <si>
    <t>食糖</t>
  </si>
  <si>
    <t>APPL</t>
  </si>
  <si>
    <t>水果</t>
  </si>
  <si>
    <t>蔬菜</t>
  </si>
  <si>
    <t>猪肉</t>
  </si>
  <si>
    <t>牛肉</t>
  </si>
  <si>
    <t>羊肉</t>
  </si>
  <si>
    <t>鸡肉</t>
  </si>
  <si>
    <t>鸡蛋</t>
  </si>
  <si>
    <t>奶</t>
  </si>
  <si>
    <t>水产品</t>
  </si>
  <si>
    <t>下限</t>
  </si>
  <si>
    <t>上限</t>
  </si>
  <si>
    <t>平均</t>
  </si>
  <si>
    <t>油</t>
  </si>
  <si>
    <t>G/DAY</t>
  </si>
  <si>
    <t>奶及奶制品</t>
  </si>
  <si>
    <t>大豆及坚果类</t>
  </si>
  <si>
    <t>蛋类</t>
  </si>
  <si>
    <t>蔬菜类</t>
  </si>
  <si>
    <t>水果类</t>
  </si>
  <si>
    <t>谷类</t>
  </si>
  <si>
    <t>薯类</t>
  </si>
  <si>
    <t>kcal/day</t>
  </si>
  <si>
    <t>糖</t>
  </si>
  <si>
    <t>蔬菜和水果</t>
  </si>
  <si>
    <t>油脂</t>
  </si>
  <si>
    <t>肉类</t>
  </si>
  <si>
    <t>奶类和蛋类</t>
  </si>
  <si>
    <t>pr: g/day</t>
  </si>
  <si>
    <t>fat: g/day</t>
  </si>
  <si>
    <t>植物</t>
  </si>
  <si>
    <t>食用油</t>
  </si>
  <si>
    <t>动物性食物</t>
  </si>
  <si>
    <t>ch: g/day</t>
  </si>
  <si>
    <t>功能比</t>
  </si>
  <si>
    <t>SIM1</t>
  </si>
  <si>
    <t>SIM2</t>
  </si>
  <si>
    <t>SIM3</t>
  </si>
  <si>
    <t>SIM4</t>
  </si>
  <si>
    <t>2018</t>
  </si>
  <si>
    <t>2020</t>
  </si>
  <si>
    <t>2021</t>
  </si>
  <si>
    <t>2022</t>
  </si>
  <si>
    <t>2023</t>
  </si>
  <si>
    <t>家庭消费的十种食物分类及营养成分含量表（每100克食物）</t>
  </si>
  <si>
    <t>食物组</t>
  </si>
  <si>
    <t>备注</t>
  </si>
  <si>
    <t>carbohydrate</t>
  </si>
  <si>
    <t>kacl</t>
  </si>
  <si>
    <t>克</t>
  </si>
  <si>
    <t>%</t>
  </si>
  <si>
    <t>稻谷</t>
  </si>
  <si>
    <t>（1）谷物</t>
  </si>
  <si>
    <t>稻米（均值）</t>
  </si>
  <si>
    <t>小麦粉（标准粉）</t>
  </si>
  <si>
    <t>（2）油脂类</t>
  </si>
  <si>
    <t>食用植物油</t>
  </si>
  <si>
    <t>均值</t>
  </si>
  <si>
    <t>GRAIN</t>
  </si>
  <si>
    <t>食用动物油</t>
  </si>
  <si>
    <t>（3）肉类</t>
  </si>
  <si>
    <t>猪肉（廋）</t>
  </si>
  <si>
    <t>猪肉及制品均值</t>
  </si>
  <si>
    <t>牛肉（廋）</t>
  </si>
  <si>
    <t>牛肉及制品均值</t>
  </si>
  <si>
    <t>羊肉及制品均值</t>
  </si>
  <si>
    <t>OIL</t>
  </si>
  <si>
    <t>（4）禽类</t>
  </si>
  <si>
    <t>鸡</t>
  </si>
  <si>
    <t>鸡肉及制品均值</t>
  </si>
  <si>
    <t>鸭</t>
  </si>
  <si>
    <t>鸭肉及制品均值</t>
  </si>
  <si>
    <t>（5）蛋类</t>
  </si>
  <si>
    <t>鸡蛋类均值</t>
  </si>
  <si>
    <t>鸭蛋</t>
  </si>
  <si>
    <t>鸭蛋类均值</t>
  </si>
  <si>
    <t>（6）水产品</t>
  </si>
  <si>
    <t>鱼</t>
  </si>
  <si>
    <t>白条鱼</t>
  </si>
  <si>
    <t>虾</t>
  </si>
  <si>
    <t>白米虾</t>
  </si>
  <si>
    <t>（7）奶制品</t>
  </si>
  <si>
    <t>鲜乳品</t>
  </si>
  <si>
    <t>牛乳均值</t>
  </si>
  <si>
    <t>奶粉</t>
  </si>
  <si>
    <t>牛乳粉</t>
  </si>
  <si>
    <t>酸奶</t>
  </si>
  <si>
    <t>酸奶均值</t>
  </si>
  <si>
    <t>（8）蔬菜</t>
  </si>
  <si>
    <t>鲜菜</t>
  </si>
  <si>
    <t>主要蔬菜类均值</t>
  </si>
  <si>
    <t>（9）水果</t>
  </si>
  <si>
    <t>主要水果类均值</t>
  </si>
  <si>
    <t>（10）淀粉及薯类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</si>
</sst>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0.00_ "/>
    <numFmt numFmtId="177" formatCode="_ * #,##0.000_ ;_ * \-#,##0.000_ ;_ * &quot;-&quot;??_ ;_ @_ "/>
    <numFmt numFmtId="178" formatCode="0.000_ "/>
    <numFmt numFmtId="179" formatCode="0.0%"/>
    <numFmt numFmtId="180" formatCode="0.00_);[Red]\(0.00\)"/>
    <numFmt numFmtId="181" formatCode="0_);[Red]\(0\)"/>
    <numFmt numFmtId="182" formatCode="0.0"/>
  </numFmts>
  <fonts count="15" x14ac:knownFonts="1"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Courier New"/>
      <family val="3"/>
    </font>
    <font>
      <sz val="10"/>
      <color rgb="FF000000"/>
      <name val="Courier New"/>
      <family val="3"/>
    </font>
    <font>
      <sz val="11"/>
      <name val="Courier New"/>
      <family val="3"/>
    </font>
    <font>
      <sz val="11"/>
      <color rgb="FF000000"/>
      <name val="Courier New"/>
      <family val="3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9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327066866054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</cellStyleXfs>
  <cellXfs count="8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176" fontId="0" fillId="0" borderId="0" xfId="0" applyNumberFormat="1"/>
    <xf numFmtId="43" fontId="0" fillId="0" borderId="0" xfId="1" applyFont="1" applyAlignment="1"/>
    <xf numFmtId="177" fontId="0" fillId="0" borderId="0" xfId="0" applyNumberFormat="1"/>
    <xf numFmtId="10" fontId="0" fillId="0" borderId="0" xfId="2" applyNumberFormat="1" applyFont="1" applyAlignment="1"/>
    <xf numFmtId="178" fontId="0" fillId="0" borderId="0" xfId="0" applyNumberFormat="1"/>
    <xf numFmtId="178" fontId="0" fillId="2" borderId="0" xfId="0" applyNumberFormat="1" applyFill="1"/>
    <xf numFmtId="0" fontId="3" fillId="0" borderId="0" xfId="0" applyFont="1" applyAlignment="1">
      <alignment vertical="center"/>
    </xf>
    <xf numFmtId="179" fontId="0" fillId="0" borderId="0" xfId="2" applyNumberFormat="1" applyFont="1" applyAlignment="1"/>
    <xf numFmtId="0" fontId="3" fillId="0" borderId="0" xfId="3"/>
    <xf numFmtId="0" fontId="4" fillId="0" borderId="0" xfId="0" applyFont="1"/>
    <xf numFmtId="179" fontId="4" fillId="0" borderId="0" xfId="2" applyNumberFormat="1" applyFont="1" applyAlignment="1"/>
    <xf numFmtId="10" fontId="4" fillId="0" borderId="0" xfId="2" applyNumberFormat="1" applyFont="1" applyAlignment="1"/>
    <xf numFmtId="0" fontId="4" fillId="0" borderId="0" xfId="0" applyFont="1" applyAlignment="1">
      <alignment horizontal="center"/>
    </xf>
    <xf numFmtId="180" fontId="4" fillId="0" borderId="0" xfId="0" applyNumberFormat="1" applyFont="1"/>
    <xf numFmtId="2" fontId="4" fillId="0" borderId="0" xfId="0" applyNumberFormat="1" applyFont="1" applyAlignment="1">
      <alignment horizontal="right"/>
    </xf>
    <xf numFmtId="176" fontId="4" fillId="0" borderId="0" xfId="0" applyNumberFormat="1" applyFont="1" applyAlignment="1">
      <alignment horizontal="center"/>
    </xf>
    <xf numFmtId="176" fontId="4" fillId="0" borderId="0" xfId="0" applyNumberFormat="1" applyFont="1"/>
    <xf numFmtId="180" fontId="4" fillId="2" borderId="0" xfId="0" applyNumberFormat="1" applyFont="1" applyFill="1"/>
    <xf numFmtId="43" fontId="4" fillId="0" borderId="0" xfId="0" applyNumberFormat="1" applyFont="1"/>
    <xf numFmtId="179" fontId="4" fillId="0" borderId="0" xfId="2" applyNumberFormat="1" applyFont="1" applyFill="1" applyAlignment="1"/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vertical="center"/>
    </xf>
    <xf numFmtId="10" fontId="4" fillId="0" borderId="0" xfId="2" applyNumberFormat="1" applyFont="1" applyFill="1" applyAlignment="1"/>
    <xf numFmtId="176" fontId="4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 vertical="center"/>
    </xf>
    <xf numFmtId="1" fontId="4" fillId="0" borderId="0" xfId="0" applyNumberFormat="1" applyFont="1"/>
    <xf numFmtId="180" fontId="4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right"/>
    </xf>
    <xf numFmtId="2" fontId="4" fillId="0" borderId="0" xfId="0" applyNumberFormat="1" applyFont="1"/>
    <xf numFmtId="0" fontId="6" fillId="2" borderId="0" xfId="0" applyFont="1" applyFill="1"/>
    <xf numFmtId="0" fontId="6" fillId="0" borderId="0" xfId="0" applyFont="1"/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76" fontId="6" fillId="0" borderId="0" xfId="0" applyNumberFormat="1" applyFont="1"/>
    <xf numFmtId="180" fontId="6" fillId="0" borderId="0" xfId="0" applyNumberFormat="1" applyFont="1"/>
    <xf numFmtId="180" fontId="6" fillId="2" borderId="0" xfId="0" applyNumberFormat="1" applyFont="1" applyFill="1"/>
    <xf numFmtId="1" fontId="4" fillId="0" borderId="0" xfId="0" applyNumberFormat="1" applyFont="1" applyAlignment="1">
      <alignment horizontal="center"/>
    </xf>
    <xf numFmtId="181" fontId="4" fillId="0" borderId="0" xfId="0" applyNumberFormat="1" applyFont="1"/>
    <xf numFmtId="180" fontId="4" fillId="0" borderId="0" xfId="2" applyNumberFormat="1" applyFont="1" applyFill="1" applyAlignment="1"/>
    <xf numFmtId="43" fontId="4" fillId="0" borderId="0" xfId="1" applyFont="1" applyFill="1" applyAlignment="1"/>
    <xf numFmtId="176" fontId="7" fillId="0" borderId="0" xfId="0" applyNumberFormat="1" applyFont="1"/>
    <xf numFmtId="176" fontId="4" fillId="0" borderId="0" xfId="2" applyNumberFormat="1" applyFont="1" applyFill="1" applyAlignment="1"/>
    <xf numFmtId="176" fontId="4" fillId="0" borderId="0" xfId="1" applyNumberFormat="1" applyFont="1" applyFill="1" applyAlignment="1"/>
    <xf numFmtId="182" fontId="0" fillId="0" borderId="0" xfId="0" applyNumberFormat="1"/>
    <xf numFmtId="180" fontId="8" fillId="0" borderId="0" xfId="0" applyNumberFormat="1" applyFont="1" applyAlignment="1">
      <alignment vertical="center"/>
    </xf>
    <xf numFmtId="179" fontId="0" fillId="2" borderId="0" xfId="2" applyNumberFormat="1" applyFont="1" applyFill="1" applyAlignment="1"/>
    <xf numFmtId="176" fontId="0" fillId="2" borderId="0" xfId="0" applyNumberFormat="1" applyFill="1"/>
    <xf numFmtId="2" fontId="0" fillId="0" borderId="0" xfId="0" applyNumberFormat="1"/>
    <xf numFmtId="43" fontId="0" fillId="2" borderId="0" xfId="1" applyFont="1" applyFill="1" applyAlignment="1"/>
    <xf numFmtId="2" fontId="0" fillId="2" borderId="0" xfId="0" applyNumberFormat="1" applyFill="1" applyAlignment="1">
      <alignment horizontal="right"/>
    </xf>
    <xf numFmtId="2" fontId="0" fillId="2" borderId="0" xfId="0" applyNumberFormat="1" applyFill="1"/>
    <xf numFmtId="0" fontId="9" fillId="0" borderId="0" xfId="0" applyFont="1"/>
    <xf numFmtId="182" fontId="4" fillId="0" borderId="0" xfId="0" applyNumberFormat="1" applyFont="1"/>
    <xf numFmtId="179" fontId="4" fillId="2" borderId="0" xfId="2" applyNumberFormat="1" applyFont="1" applyFill="1" applyAlignment="1"/>
    <xf numFmtId="0" fontId="7" fillId="0" borderId="0" xfId="0" applyFont="1"/>
    <xf numFmtId="0" fontId="0" fillId="0" borderId="3" xfId="0" applyBorder="1"/>
    <xf numFmtId="0" fontId="10" fillId="0" borderId="0" xfId="0" applyFont="1"/>
    <xf numFmtId="0" fontId="0" fillId="0" borderId="0" xfId="0" quotePrefix="1"/>
    <xf numFmtId="176" fontId="0" fillId="0" borderId="0" xfId="0" quotePrefix="1" applyNumberFormat="1"/>
    <xf numFmtId="0" fontId="0" fillId="2" borderId="0" xfId="0" quotePrefix="1" applyFill="1"/>
    <xf numFmtId="176" fontId="0" fillId="2" borderId="0" xfId="0" quotePrefix="1" applyNumberFormat="1" applyFill="1"/>
    <xf numFmtId="176" fontId="4" fillId="0" borderId="0" xfId="0" quotePrefix="1" applyNumberFormat="1" applyFont="1" applyAlignment="1">
      <alignment horizontal="center"/>
    </xf>
    <xf numFmtId="176" fontId="4" fillId="0" borderId="0" xfId="0" quotePrefix="1" applyNumberFormat="1" applyFont="1"/>
    <xf numFmtId="0" fontId="4" fillId="0" borderId="0" xfId="0" quotePrefix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0" fontId="4" fillId="0" borderId="0" xfId="0" quotePrefix="1" applyFont="1"/>
    <xf numFmtId="0" fontId="6" fillId="0" borderId="0" xfId="0" quotePrefix="1" applyFont="1" applyAlignment="1">
      <alignment horizontal="center"/>
    </xf>
    <xf numFmtId="0" fontId="6" fillId="0" borderId="0" xfId="0" quotePrefix="1" applyFont="1"/>
    <xf numFmtId="0" fontId="6" fillId="2" borderId="0" xfId="0" quotePrefix="1" applyFont="1" applyFill="1"/>
    <xf numFmtId="180" fontId="4" fillId="0" borderId="0" xfId="0" quotePrefix="1" applyNumberFormat="1" applyFont="1" applyAlignment="1">
      <alignment horizontal="center"/>
    </xf>
    <xf numFmtId="180" fontId="4" fillId="0" borderId="0" xfId="0" quotePrefix="1" applyNumberFormat="1" applyFont="1"/>
    <xf numFmtId="0" fontId="2" fillId="0" borderId="0" xfId="0" quotePrefix="1" applyFont="1"/>
    <xf numFmtId="0" fontId="1" fillId="0" borderId="1" xfId="0" applyFont="1" applyBorder="1" applyAlignment="1">
      <alignment horizontal="center" vertical="center"/>
    </xf>
  </cellXfs>
  <cellStyles count="5">
    <cellStyle name="百分比" xfId="2" builtinId="5"/>
    <cellStyle name="常规" xfId="0" builtinId="0"/>
    <cellStyle name="常规 2" xfId="3" xr:uid="{00000000-0005-0000-0000-000031000000}"/>
    <cellStyle name="千位分隔" xfId="1" builtinId="3"/>
    <cellStyle name="千位分隔 2" xfId="4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onnections" Target="connection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LISHX!$L$7:$Y$7</c:f>
              <c:strCache>
                <c:ptCount val="1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</c:strCache>
            </c:strRef>
          </c:cat>
          <c:val>
            <c:numRef>
              <c:f>LISHX!$L$26:$Y$26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E-46CE-9FF0-DCA9DA71B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0691455"/>
        <c:axId val="1740690015"/>
      </c:lineChart>
      <c:catAx>
        <c:axId val="174069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40690015"/>
        <c:crosses val="autoZero"/>
        <c:auto val="1"/>
        <c:lblAlgn val="ctr"/>
        <c:lblOffset val="100"/>
        <c:noMultiLvlLbl val="0"/>
      </c:catAx>
      <c:valAx>
        <c:axId val="17406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/>
                  <a:t>单位：公斤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74069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f607b2-f1f3-40e7-aa35-65f30d959d2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714375</xdr:colOff>
      <xdr:row>40</xdr:row>
      <xdr:rowOff>20637</xdr:rowOff>
    </xdr:from>
    <xdr:to>
      <xdr:col>12</xdr:col>
      <xdr:colOff>0</xdr:colOff>
      <xdr:row>56</xdr:row>
      <xdr:rowOff>20637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新建文本文档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opLeftCell="A28" workbookViewId="0">
      <selection activeCell="A61" sqref="A61:XFD63"/>
    </sheetView>
  </sheetViews>
  <sheetFormatPr defaultColWidth="9" defaultRowHeight="13.5" x14ac:dyDescent="0.15"/>
  <cols>
    <col min="2" max="2" width="24.625" customWidth="1"/>
    <col min="3" max="3" width="18.875" customWidth="1"/>
    <col min="7" max="7" width="16.125" customWidth="1"/>
    <col min="8" max="8" width="41.625" customWidth="1"/>
  </cols>
  <sheetData>
    <row r="1" spans="1:5" x14ac:dyDescent="0.15">
      <c r="A1" s="67"/>
      <c r="B1" s="67"/>
      <c r="C1" s="67"/>
      <c r="D1" s="67" t="s">
        <v>0</v>
      </c>
      <c r="E1" s="67" t="s">
        <v>1</v>
      </c>
    </row>
    <row r="2" spans="1:5" x14ac:dyDescent="0.15">
      <c r="A2" t="s">
        <v>2</v>
      </c>
      <c r="B2" t="s">
        <v>3</v>
      </c>
      <c r="C2" t="str">
        <f>B2&amp;"!"&amp;"J6"</f>
        <v>KOULX!J6</v>
      </c>
      <c r="D2">
        <v>1</v>
      </c>
      <c r="E2">
        <v>2</v>
      </c>
    </row>
    <row r="3" spans="1:5" x14ac:dyDescent="0.15">
      <c r="A3" t="s">
        <v>2</v>
      </c>
      <c r="B3" t="s">
        <v>4</v>
      </c>
      <c r="C3" t="str">
        <f>B3&amp;"!"&amp;"J6"</f>
        <v>GUWUX!J6</v>
      </c>
      <c r="D3">
        <v>1</v>
      </c>
      <c r="E3">
        <v>2</v>
      </c>
    </row>
    <row r="4" spans="1:5" x14ac:dyDescent="0.15">
      <c r="A4" t="s">
        <v>2</v>
      </c>
      <c r="B4" t="s">
        <v>5</v>
      </c>
      <c r="C4" t="str">
        <f>B4&amp;"!"&amp;"J6"</f>
        <v>LISHX!J6</v>
      </c>
      <c r="D4">
        <v>1</v>
      </c>
      <c r="E4">
        <v>2</v>
      </c>
    </row>
    <row r="5" spans="1:5" x14ac:dyDescent="0.15">
      <c r="A5" t="s">
        <v>2</v>
      </c>
      <c r="B5" t="s">
        <v>6</v>
      </c>
      <c r="C5" t="str">
        <f>B5&amp;"!"&amp;"J6"</f>
        <v>ENGYX!J6</v>
      </c>
      <c r="D5">
        <v>1</v>
      </c>
      <c r="E5">
        <v>2</v>
      </c>
    </row>
    <row r="6" spans="1:5" x14ac:dyDescent="0.15">
      <c r="A6" t="s">
        <v>2</v>
      </c>
      <c r="B6" t="s">
        <v>7</v>
      </c>
      <c r="C6" t="str">
        <f>B6&amp;"!"&amp;"J6"</f>
        <v>RICEX!J6</v>
      </c>
      <c r="D6">
        <v>1</v>
      </c>
      <c r="E6">
        <v>2</v>
      </c>
    </row>
    <row r="7" spans="1:5" x14ac:dyDescent="0.15">
      <c r="A7" t="s">
        <v>2</v>
      </c>
      <c r="B7" t="s">
        <v>8</v>
      </c>
      <c r="C7" t="str">
        <f t="shared" ref="C7:C8" si="0">B7&amp;"!"&amp;"J6"</f>
        <v>WHEAX!J6</v>
      </c>
      <c r="D7">
        <v>1</v>
      </c>
      <c r="E7">
        <v>2</v>
      </c>
    </row>
    <row r="8" spans="1:5" x14ac:dyDescent="0.15">
      <c r="A8" t="s">
        <v>2</v>
      </c>
      <c r="B8" t="s">
        <v>9</v>
      </c>
      <c r="C8" t="str">
        <f t="shared" si="0"/>
        <v>MAIZX!J6</v>
      </c>
      <c r="D8">
        <v>1</v>
      </c>
      <c r="E8">
        <v>2</v>
      </c>
    </row>
    <row r="9" spans="1:5" x14ac:dyDescent="0.15">
      <c r="A9" t="s">
        <v>2</v>
      </c>
      <c r="B9" t="s">
        <v>10</v>
      </c>
      <c r="C9" t="str">
        <f t="shared" ref="C9:C23" si="1">B9&amp;"!"&amp;"J6"</f>
        <v>BARLX!J6</v>
      </c>
      <c r="D9">
        <v>1</v>
      </c>
      <c r="E9">
        <v>2</v>
      </c>
    </row>
    <row r="10" spans="1:5" x14ac:dyDescent="0.15">
      <c r="A10" t="s">
        <v>2</v>
      </c>
      <c r="B10" t="s">
        <v>11</v>
      </c>
      <c r="C10" t="str">
        <f t="shared" si="1"/>
        <v>SOYSX!J6</v>
      </c>
      <c r="D10">
        <v>1</v>
      </c>
      <c r="E10">
        <v>2</v>
      </c>
    </row>
    <row r="11" spans="1:5" x14ac:dyDescent="0.15">
      <c r="A11" t="s">
        <v>2</v>
      </c>
      <c r="B11" t="s">
        <v>12</v>
      </c>
      <c r="C11" t="str">
        <f t="shared" si="1"/>
        <v>SOYOX!J6</v>
      </c>
      <c r="D11">
        <v>1</v>
      </c>
      <c r="E11">
        <v>2</v>
      </c>
    </row>
    <row r="12" spans="1:5" x14ac:dyDescent="0.15">
      <c r="A12" t="s">
        <v>2</v>
      </c>
      <c r="B12" t="s">
        <v>13</v>
      </c>
      <c r="C12" t="str">
        <f t="shared" si="1"/>
        <v>SOYMX!J6</v>
      </c>
      <c r="D12">
        <v>1</v>
      </c>
      <c r="E12">
        <v>2</v>
      </c>
    </row>
    <row r="13" spans="1:5" x14ac:dyDescent="0.15">
      <c r="A13" t="s">
        <v>2</v>
      </c>
      <c r="B13" t="s">
        <v>14</v>
      </c>
      <c r="C13" t="str">
        <f t="shared" si="1"/>
        <v>RAPSX!J6</v>
      </c>
      <c r="D13">
        <v>1</v>
      </c>
      <c r="E13">
        <v>2</v>
      </c>
    </row>
    <row r="14" spans="1:5" x14ac:dyDescent="0.15">
      <c r="A14" t="s">
        <v>2</v>
      </c>
      <c r="B14" t="s">
        <v>15</v>
      </c>
      <c r="C14" t="str">
        <f t="shared" si="1"/>
        <v>RAPOX!J6</v>
      </c>
      <c r="D14">
        <v>1</v>
      </c>
      <c r="E14">
        <v>2</v>
      </c>
    </row>
    <row r="15" spans="1:5" x14ac:dyDescent="0.15">
      <c r="A15" t="s">
        <v>2</v>
      </c>
      <c r="B15" t="s">
        <v>16</v>
      </c>
      <c r="C15" t="str">
        <f t="shared" si="1"/>
        <v>RAPMX!J6</v>
      </c>
      <c r="D15">
        <v>1</v>
      </c>
      <c r="E15">
        <v>2</v>
      </c>
    </row>
    <row r="16" spans="1:5" x14ac:dyDescent="0.15">
      <c r="A16" t="s">
        <v>2</v>
      </c>
      <c r="B16" t="s">
        <v>17</v>
      </c>
      <c r="C16" t="str">
        <f t="shared" si="1"/>
        <v>GRDSX!J6</v>
      </c>
      <c r="D16">
        <v>1</v>
      </c>
      <c r="E16">
        <v>2</v>
      </c>
    </row>
    <row r="17" spans="1:5" x14ac:dyDescent="0.15">
      <c r="A17" t="s">
        <v>2</v>
      </c>
      <c r="B17" t="s">
        <v>18</v>
      </c>
      <c r="C17" t="str">
        <f t="shared" si="1"/>
        <v>GRDOX!J6</v>
      </c>
      <c r="D17">
        <v>1</v>
      </c>
      <c r="E17">
        <v>2</v>
      </c>
    </row>
    <row r="18" spans="1:5" x14ac:dyDescent="0.15">
      <c r="A18" t="s">
        <v>2</v>
      </c>
      <c r="B18" t="s">
        <v>19</v>
      </c>
      <c r="C18" t="str">
        <f t="shared" si="1"/>
        <v>GRDMX!J6</v>
      </c>
      <c r="D18">
        <v>1</v>
      </c>
      <c r="E18">
        <v>2</v>
      </c>
    </row>
    <row r="19" spans="1:5" x14ac:dyDescent="0.15">
      <c r="A19" t="s">
        <v>2</v>
      </c>
      <c r="B19" t="s">
        <v>20</v>
      </c>
      <c r="C19" t="str">
        <f t="shared" si="1"/>
        <v>COTTX!J6</v>
      </c>
      <c r="D19">
        <v>1</v>
      </c>
      <c r="E19">
        <v>2</v>
      </c>
    </row>
    <row r="20" spans="1:5" x14ac:dyDescent="0.15">
      <c r="A20" t="s">
        <v>2</v>
      </c>
      <c r="B20" t="s">
        <v>21</v>
      </c>
      <c r="C20" t="str">
        <f t="shared" si="1"/>
        <v>SUGAX!J6</v>
      </c>
      <c r="D20">
        <v>1</v>
      </c>
      <c r="E20">
        <v>2</v>
      </c>
    </row>
    <row r="21" spans="1:5" x14ac:dyDescent="0.15">
      <c r="A21" t="s">
        <v>2</v>
      </c>
      <c r="B21" t="s">
        <v>22</v>
      </c>
      <c r="C21" t="str">
        <f t="shared" si="1"/>
        <v>VEGTX!J6</v>
      </c>
      <c r="D21">
        <v>1</v>
      </c>
      <c r="E21">
        <v>2</v>
      </c>
    </row>
    <row r="22" spans="1:5" x14ac:dyDescent="0.15">
      <c r="A22" t="s">
        <v>2</v>
      </c>
      <c r="B22" t="s">
        <v>23</v>
      </c>
      <c r="C22" t="str">
        <f t="shared" si="1"/>
        <v>SORGX!J6</v>
      </c>
      <c r="D22">
        <v>1</v>
      </c>
      <c r="E22">
        <v>2</v>
      </c>
    </row>
    <row r="23" spans="1:5" x14ac:dyDescent="0.15">
      <c r="A23" t="s">
        <v>2</v>
      </c>
      <c r="B23" t="s">
        <v>24</v>
      </c>
      <c r="C23" t="str">
        <f t="shared" si="1"/>
        <v>FRTOX!J6</v>
      </c>
      <c r="D23">
        <v>1</v>
      </c>
      <c r="E23">
        <v>2</v>
      </c>
    </row>
    <row r="24" spans="1:5" x14ac:dyDescent="0.15">
      <c r="A24" t="s">
        <v>2</v>
      </c>
      <c r="B24" t="s">
        <v>25</v>
      </c>
      <c r="C24" t="str">
        <f t="shared" ref="C24:C37" si="2">B24&amp;"!"&amp;"J6"</f>
        <v>OTGRX!J6</v>
      </c>
      <c r="D24">
        <v>1</v>
      </c>
      <c r="E24">
        <v>2</v>
      </c>
    </row>
    <row r="25" spans="1:5" x14ac:dyDescent="0.15">
      <c r="A25" t="s">
        <v>2</v>
      </c>
      <c r="B25" t="s">
        <v>26</v>
      </c>
      <c r="C25" t="str">
        <f t="shared" si="2"/>
        <v>BEEFX!J6</v>
      </c>
      <c r="D25">
        <v>1</v>
      </c>
      <c r="E25">
        <v>2</v>
      </c>
    </row>
    <row r="26" spans="1:5" x14ac:dyDescent="0.15">
      <c r="A26" t="s">
        <v>2</v>
      </c>
      <c r="B26" t="s">
        <v>27</v>
      </c>
      <c r="C26" t="str">
        <f t="shared" si="2"/>
        <v>CATBX!J6</v>
      </c>
      <c r="D26">
        <v>1</v>
      </c>
      <c r="E26">
        <v>2</v>
      </c>
    </row>
    <row r="27" spans="1:5" x14ac:dyDescent="0.15">
      <c r="A27" t="s">
        <v>2</v>
      </c>
      <c r="B27" t="s">
        <v>28</v>
      </c>
      <c r="C27" t="str">
        <f t="shared" si="2"/>
        <v>CATOX!J6</v>
      </c>
      <c r="D27">
        <v>1</v>
      </c>
      <c r="E27">
        <v>2</v>
      </c>
    </row>
    <row r="28" spans="1:5" x14ac:dyDescent="0.15">
      <c r="A28" t="s">
        <v>2</v>
      </c>
      <c r="B28" t="s">
        <v>29</v>
      </c>
      <c r="C28" t="str">
        <f t="shared" si="2"/>
        <v>CATTX!J6</v>
      </c>
      <c r="D28">
        <v>1</v>
      </c>
      <c r="E28">
        <v>2</v>
      </c>
    </row>
    <row r="29" spans="1:5" x14ac:dyDescent="0.15">
      <c r="A29" t="s">
        <v>2</v>
      </c>
      <c r="B29" t="s">
        <v>30</v>
      </c>
      <c r="C29" t="str">
        <f t="shared" si="2"/>
        <v>PORKX!J6</v>
      </c>
      <c r="D29">
        <v>1</v>
      </c>
      <c r="E29">
        <v>2</v>
      </c>
    </row>
    <row r="30" spans="1:5" x14ac:dyDescent="0.15">
      <c r="A30" t="s">
        <v>2</v>
      </c>
      <c r="B30" t="s">
        <v>31</v>
      </c>
      <c r="C30" t="str">
        <f t="shared" si="2"/>
        <v>PIGBX!J6</v>
      </c>
      <c r="D30">
        <v>1</v>
      </c>
      <c r="E30">
        <v>2</v>
      </c>
    </row>
    <row r="31" spans="1:5" x14ac:dyDescent="0.15">
      <c r="A31" t="s">
        <v>2</v>
      </c>
      <c r="B31" t="s">
        <v>32</v>
      </c>
      <c r="C31" t="str">
        <f t="shared" si="2"/>
        <v>PIGOX!J6</v>
      </c>
      <c r="D31">
        <v>1</v>
      </c>
      <c r="E31">
        <v>2</v>
      </c>
    </row>
    <row r="32" spans="1:5" x14ac:dyDescent="0.15">
      <c r="A32" t="s">
        <v>2</v>
      </c>
      <c r="B32" t="s">
        <v>33</v>
      </c>
      <c r="C32" t="str">
        <f t="shared" si="2"/>
        <v>PIGTX!J6</v>
      </c>
      <c r="D32">
        <v>1</v>
      </c>
      <c r="E32">
        <v>2</v>
      </c>
    </row>
    <row r="33" spans="1:5" x14ac:dyDescent="0.15">
      <c r="A33" t="s">
        <v>2</v>
      </c>
      <c r="B33" t="s">
        <v>34</v>
      </c>
      <c r="C33" t="str">
        <f t="shared" si="2"/>
        <v>SHGMX!J6</v>
      </c>
      <c r="D33">
        <v>1</v>
      </c>
      <c r="E33">
        <v>2</v>
      </c>
    </row>
    <row r="34" spans="1:5" x14ac:dyDescent="0.15">
      <c r="A34" t="s">
        <v>2</v>
      </c>
      <c r="B34" t="s">
        <v>35</v>
      </c>
      <c r="C34" t="str">
        <f t="shared" si="2"/>
        <v>CHKMX!J6</v>
      </c>
      <c r="D34">
        <v>1</v>
      </c>
      <c r="E34">
        <v>2</v>
      </c>
    </row>
    <row r="35" spans="1:5" x14ac:dyDescent="0.15">
      <c r="A35" t="s">
        <v>2</v>
      </c>
      <c r="B35" t="s">
        <v>36</v>
      </c>
      <c r="C35" t="str">
        <f t="shared" si="2"/>
        <v>EGGSX!J6</v>
      </c>
      <c r="D35">
        <v>1</v>
      </c>
      <c r="E35">
        <v>2</v>
      </c>
    </row>
    <row r="36" spans="1:5" x14ac:dyDescent="0.15">
      <c r="A36" t="s">
        <v>2</v>
      </c>
      <c r="B36" t="s">
        <v>37</v>
      </c>
      <c r="C36" t="str">
        <f t="shared" si="2"/>
        <v>MILKX!J6</v>
      </c>
      <c r="D36">
        <v>1</v>
      </c>
      <c r="E36">
        <v>2</v>
      </c>
    </row>
    <row r="37" spans="1:5" x14ac:dyDescent="0.15">
      <c r="A37" t="s">
        <v>2</v>
      </c>
      <c r="B37" t="s">
        <v>38</v>
      </c>
      <c r="C37" t="str">
        <f t="shared" si="2"/>
        <v>FISHX!J6</v>
      </c>
      <c r="D37">
        <v>1</v>
      </c>
      <c r="E37">
        <v>2</v>
      </c>
    </row>
    <row r="38" spans="1:5" x14ac:dyDescent="0.15">
      <c r="A38" t="s">
        <v>2</v>
      </c>
      <c r="B38" t="s">
        <v>39</v>
      </c>
      <c r="C38" t="str">
        <f t="shared" ref="C38" si="3">B38&amp;"!"&amp;"J6"</f>
        <v>POTAX!J6</v>
      </c>
      <c r="D38">
        <v>1</v>
      </c>
      <c r="E38">
        <v>2</v>
      </c>
    </row>
    <row r="39" spans="1:5" x14ac:dyDescent="0.15">
      <c r="A39" t="s">
        <v>2</v>
      </c>
      <c r="B39" t="s">
        <v>40</v>
      </c>
      <c r="C39" t="str">
        <f t="shared" ref="C39:C54" si="4">B39&amp;"!"&amp;"J6"</f>
        <v>TOSLX!J6</v>
      </c>
      <c r="D39">
        <v>1</v>
      </c>
      <c r="E39">
        <v>2</v>
      </c>
    </row>
    <row r="40" spans="1:5" x14ac:dyDescent="0.15">
      <c r="A40" t="s">
        <v>2</v>
      </c>
      <c r="B40" t="s">
        <v>41</v>
      </c>
      <c r="C40" t="str">
        <f t="shared" si="4"/>
        <v>PRODX!J6</v>
      </c>
      <c r="D40">
        <v>1</v>
      </c>
      <c r="E40">
        <v>2</v>
      </c>
    </row>
    <row r="41" spans="1:5" x14ac:dyDescent="0.15">
      <c r="A41" t="s">
        <v>2</v>
      </c>
      <c r="B41" t="s">
        <v>42</v>
      </c>
      <c r="C41" t="str">
        <f t="shared" si="4"/>
        <v>AREAX!J6</v>
      </c>
      <c r="D41">
        <v>1</v>
      </c>
      <c r="E41">
        <v>2</v>
      </c>
    </row>
    <row r="42" spans="1:5" x14ac:dyDescent="0.15">
      <c r="A42" t="s">
        <v>2</v>
      </c>
      <c r="B42" t="s">
        <v>43</v>
      </c>
      <c r="C42" t="str">
        <f t="shared" si="4"/>
        <v>YILDX!J6</v>
      </c>
      <c r="D42">
        <v>1</v>
      </c>
      <c r="E42">
        <v>2</v>
      </c>
    </row>
    <row r="43" spans="1:5" x14ac:dyDescent="0.15">
      <c r="A43" t="s">
        <v>2</v>
      </c>
      <c r="B43" t="s">
        <v>44</v>
      </c>
      <c r="C43" t="str">
        <f t="shared" si="4"/>
        <v>NIMPX!J6</v>
      </c>
      <c r="D43">
        <v>1</v>
      </c>
      <c r="E43">
        <v>2</v>
      </c>
    </row>
    <row r="44" spans="1:5" x14ac:dyDescent="0.15">
      <c r="A44" t="s">
        <v>2</v>
      </c>
      <c r="B44" t="s">
        <v>45</v>
      </c>
      <c r="C44" t="str">
        <f t="shared" si="4"/>
        <v>TODMX!J6</v>
      </c>
      <c r="D44">
        <v>1</v>
      </c>
      <c r="E44">
        <v>2</v>
      </c>
    </row>
    <row r="45" spans="1:5" x14ac:dyDescent="0.15">
      <c r="A45" t="s">
        <v>2</v>
      </c>
      <c r="B45" t="s">
        <v>46</v>
      </c>
      <c r="C45" t="str">
        <f t="shared" si="4"/>
        <v>FOODX!J6</v>
      </c>
      <c r="D45">
        <v>1</v>
      </c>
      <c r="E45">
        <v>2</v>
      </c>
    </row>
    <row r="46" spans="1:5" x14ac:dyDescent="0.15">
      <c r="A46" t="s">
        <v>2</v>
      </c>
      <c r="B46" t="s">
        <v>47</v>
      </c>
      <c r="C46" t="str">
        <f t="shared" si="4"/>
        <v>PFODX!J6</v>
      </c>
      <c r="D46">
        <v>1</v>
      </c>
      <c r="E46">
        <v>2</v>
      </c>
    </row>
    <row r="47" spans="1:5" x14ac:dyDescent="0.15">
      <c r="A47" t="s">
        <v>2</v>
      </c>
      <c r="B47" t="s">
        <v>48</v>
      </c>
      <c r="C47" t="str">
        <f t="shared" si="4"/>
        <v>FEEDX!J6</v>
      </c>
      <c r="D47">
        <v>1</v>
      </c>
      <c r="E47">
        <v>2</v>
      </c>
    </row>
    <row r="48" spans="1:5" x14ac:dyDescent="0.15">
      <c r="A48" t="s">
        <v>2</v>
      </c>
      <c r="B48" t="s">
        <v>49</v>
      </c>
      <c r="C48" t="str">
        <f t="shared" si="4"/>
        <v>PROCX!J6</v>
      </c>
      <c r="D48">
        <v>1</v>
      </c>
      <c r="E48">
        <v>2</v>
      </c>
    </row>
    <row r="49" spans="1:5" x14ac:dyDescent="0.15">
      <c r="A49" t="s">
        <v>2</v>
      </c>
      <c r="B49" t="s">
        <v>50</v>
      </c>
      <c r="C49" t="str">
        <f t="shared" si="4"/>
        <v>SEEDX!J6</v>
      </c>
      <c r="D49">
        <v>1</v>
      </c>
      <c r="E49">
        <v>2</v>
      </c>
    </row>
    <row r="50" spans="1:5" x14ac:dyDescent="0.15">
      <c r="A50" t="s">
        <v>2</v>
      </c>
      <c r="B50" t="s">
        <v>51</v>
      </c>
      <c r="C50" t="str">
        <f t="shared" si="4"/>
        <v>WASTX!J6</v>
      </c>
      <c r="D50">
        <v>1</v>
      </c>
      <c r="E50">
        <v>2</v>
      </c>
    </row>
    <row r="51" spans="1:5" x14ac:dyDescent="0.15">
      <c r="A51" t="s">
        <v>2</v>
      </c>
      <c r="B51" t="s">
        <v>52</v>
      </c>
      <c r="C51" t="str">
        <f t="shared" si="4"/>
        <v>OTHEX!J6</v>
      </c>
      <c r="D51">
        <v>1</v>
      </c>
      <c r="E51">
        <v>2</v>
      </c>
    </row>
    <row r="52" spans="1:5" x14ac:dyDescent="0.15">
      <c r="A52" t="s">
        <v>2</v>
      </c>
      <c r="B52" t="s">
        <v>53</v>
      </c>
      <c r="C52" t="str">
        <f t="shared" si="4"/>
        <v>STOCX!J6</v>
      </c>
      <c r="D52">
        <v>1</v>
      </c>
      <c r="E52">
        <v>2</v>
      </c>
    </row>
    <row r="53" spans="1:5" x14ac:dyDescent="0.15">
      <c r="A53" t="s">
        <v>2</v>
      </c>
      <c r="B53" t="s">
        <v>54</v>
      </c>
      <c r="C53" t="str">
        <f t="shared" si="4"/>
        <v>NEXPX!J6</v>
      </c>
      <c r="D53">
        <v>1</v>
      </c>
      <c r="E53">
        <v>2</v>
      </c>
    </row>
    <row r="54" spans="1:5" x14ac:dyDescent="0.15">
      <c r="A54" t="s">
        <v>2</v>
      </c>
      <c r="B54" t="s">
        <v>55</v>
      </c>
      <c r="C54" t="str">
        <f t="shared" si="4"/>
        <v>DOMDX!J6</v>
      </c>
      <c r="D54">
        <v>1</v>
      </c>
      <c r="E54">
        <v>2</v>
      </c>
    </row>
    <row r="55" spans="1:5" x14ac:dyDescent="0.15">
      <c r="A55" t="s">
        <v>2</v>
      </c>
      <c r="B55" t="s">
        <v>56</v>
      </c>
      <c r="C55" t="str">
        <f t="shared" ref="C55" si="5">B55&amp;"!"&amp;"J6"</f>
        <v>PRICX!J6</v>
      </c>
      <c r="D55">
        <v>1</v>
      </c>
      <c r="E55">
        <v>2</v>
      </c>
    </row>
    <row r="56" spans="1:5" x14ac:dyDescent="0.15">
      <c r="A56" t="s">
        <v>2</v>
      </c>
      <c r="B56" t="s">
        <v>57</v>
      </c>
      <c r="C56" t="str">
        <f t="shared" ref="C56:C60" si="6">B56&amp;"!"&amp;"J6"</f>
        <v>CO2EX!J6</v>
      </c>
      <c r="D56">
        <v>1</v>
      </c>
      <c r="E56">
        <v>2</v>
      </c>
    </row>
    <row r="57" spans="1:5" x14ac:dyDescent="0.15">
      <c r="A57" t="s">
        <v>2</v>
      </c>
      <c r="B57" t="s">
        <v>58</v>
      </c>
      <c r="C57" t="str">
        <f t="shared" si="6"/>
        <v>POPUX!J6</v>
      </c>
      <c r="D57">
        <v>1</v>
      </c>
      <c r="E57">
        <v>2</v>
      </c>
    </row>
    <row r="58" spans="1:5" x14ac:dyDescent="0.15">
      <c r="A58" t="s">
        <v>2</v>
      </c>
      <c r="B58" t="s">
        <v>59</v>
      </c>
      <c r="C58" t="str">
        <f t="shared" si="6"/>
        <v>PGDPX!J6</v>
      </c>
      <c r="D58">
        <v>1</v>
      </c>
      <c r="E58">
        <v>2</v>
      </c>
    </row>
    <row r="59" spans="1:5" x14ac:dyDescent="0.15">
      <c r="A59" t="s">
        <v>2</v>
      </c>
      <c r="B59" t="s">
        <v>60</v>
      </c>
      <c r="C59" t="str">
        <f t="shared" si="6"/>
        <v>DFODX!J6</v>
      </c>
      <c r="D59">
        <v>1</v>
      </c>
      <c r="E59">
        <v>2</v>
      </c>
    </row>
    <row r="60" spans="1:5" x14ac:dyDescent="0.15">
      <c r="A60" t="s">
        <v>2</v>
      </c>
      <c r="B60" t="s">
        <v>61</v>
      </c>
      <c r="C60" t="str">
        <f t="shared" si="6"/>
        <v>CRSHX!J6</v>
      </c>
      <c r="D60">
        <v>1</v>
      </c>
      <c r="E60">
        <v>2</v>
      </c>
    </row>
    <row r="61" spans="1:5" x14ac:dyDescent="0.15">
      <c r="A61" s="68"/>
      <c r="B61" s="68"/>
    </row>
    <row r="62" spans="1:5" x14ac:dyDescent="0.15">
      <c r="A62" s="68"/>
      <c r="B62" s="68"/>
    </row>
    <row r="63" spans="1:5" x14ac:dyDescent="0.15">
      <c r="A63" s="68"/>
      <c r="B63" s="68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AA83"/>
  <sheetViews>
    <sheetView workbookViewId="0">
      <pane xSplit="3" ySplit="6" topLeftCell="D7" activePane="bottomRight" state="frozen"/>
      <selection pane="topRight"/>
      <selection pane="bottomLeft"/>
      <selection pane="bottomRight" activeCell="E15" sqref="E15"/>
    </sheetView>
  </sheetViews>
  <sheetFormatPr defaultColWidth="9" defaultRowHeight="15" x14ac:dyDescent="0.25"/>
  <cols>
    <col min="1" max="3" width="9" style="20"/>
    <col min="4" max="5" width="9.625" style="20" customWidth="1"/>
    <col min="6" max="7" width="12.125" style="20" customWidth="1"/>
    <col min="8" max="9" width="12" style="20" customWidth="1"/>
    <col min="10" max="13" width="9" style="20"/>
    <col min="14" max="14" width="9.375" style="20" customWidth="1"/>
    <col min="15" max="17" width="10.875" style="20" customWidth="1"/>
    <col min="18" max="18" width="14.125" style="20" customWidth="1"/>
    <col min="19" max="22" width="9" style="20"/>
    <col min="23" max="23" width="9.625" style="20" customWidth="1"/>
    <col min="24" max="24" width="12.125" style="20" customWidth="1"/>
    <col min="25" max="25" width="13.375" style="20" customWidth="1"/>
    <col min="26" max="26" width="12.125" style="20" customWidth="1"/>
    <col min="27" max="16384" width="9" style="20"/>
  </cols>
  <sheetData>
    <row r="6" spans="2:27" x14ac:dyDescent="0.25">
      <c r="D6"/>
      <c r="E6"/>
      <c r="F6"/>
      <c r="G6"/>
      <c r="H6"/>
      <c r="I6"/>
      <c r="J6"/>
      <c r="K6"/>
      <c r="L6"/>
      <c r="M6" s="20" t="s">
        <v>62</v>
      </c>
      <c r="N6" s="20" t="s">
        <v>63</v>
      </c>
      <c r="O6" s="20" t="s">
        <v>64</v>
      </c>
      <c r="P6" s="20" t="s">
        <v>65</v>
      </c>
      <c r="Q6" s="20" t="s">
        <v>66</v>
      </c>
      <c r="R6" s="20" t="s">
        <v>67</v>
      </c>
      <c r="V6" s="20" t="s">
        <v>68</v>
      </c>
      <c r="W6" s="20" t="s">
        <v>63</v>
      </c>
      <c r="X6" s="20" t="s">
        <v>64</v>
      </c>
      <c r="Y6" s="20" t="s">
        <v>65</v>
      </c>
      <c r="Z6" s="20" t="s">
        <v>66</v>
      </c>
      <c r="AA6" s="20" t="s">
        <v>67</v>
      </c>
    </row>
    <row r="7" spans="2:27" x14ac:dyDescent="0.25">
      <c r="B7" s="63" t="s">
        <v>69</v>
      </c>
      <c r="C7" t="s">
        <v>70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21"/>
      <c r="O7" s="21"/>
      <c r="P7" s="21"/>
      <c r="Q7" s="21"/>
      <c r="R7" s="21"/>
      <c r="S7" s="64"/>
      <c r="T7" s="64"/>
      <c r="U7" s="64"/>
      <c r="V7" s="64"/>
      <c r="W7" s="64"/>
      <c r="X7" s="64"/>
      <c r="Y7" s="64"/>
      <c r="Z7" s="64"/>
      <c r="AA7" s="64"/>
    </row>
    <row r="8" spans="2:27" x14ac:dyDescent="0.25">
      <c r="C8"/>
      <c r="D8" s="64"/>
      <c r="E8" s="64"/>
      <c r="F8" s="64"/>
      <c r="G8" s="64"/>
      <c r="H8" s="64"/>
      <c r="I8" s="64"/>
      <c r="J8" s="64"/>
      <c r="K8" s="64"/>
      <c r="L8" s="64"/>
      <c r="M8" s="64"/>
      <c r="N8" s="21"/>
      <c r="O8" s="21"/>
      <c r="P8" s="21"/>
      <c r="Q8" s="21"/>
      <c r="R8" s="21"/>
      <c r="S8" s="64"/>
      <c r="T8" s="64"/>
      <c r="U8" s="64"/>
      <c r="V8" s="64"/>
      <c r="W8" s="64"/>
      <c r="X8" s="64"/>
      <c r="Y8" s="64"/>
      <c r="Z8" s="64"/>
      <c r="AA8" s="64"/>
    </row>
    <row r="9" spans="2:27" x14ac:dyDescent="0.25">
      <c r="D9" s="64"/>
      <c r="E9" s="64"/>
      <c r="F9" s="64"/>
      <c r="G9" s="64"/>
      <c r="H9" s="64"/>
      <c r="I9" s="64"/>
      <c r="J9" s="64"/>
      <c r="K9" s="64"/>
      <c r="L9" s="64"/>
      <c r="M9" s="64"/>
      <c r="N9" s="21"/>
      <c r="O9" s="21"/>
      <c r="P9" s="21"/>
      <c r="Q9" s="21"/>
      <c r="R9" s="21"/>
      <c r="S9" s="64"/>
      <c r="T9" s="64"/>
      <c r="U9" s="64"/>
      <c r="V9" s="64"/>
      <c r="W9" s="64"/>
      <c r="X9" s="64"/>
      <c r="Y9" s="64"/>
      <c r="Z9" s="64"/>
      <c r="AA9" s="64"/>
    </row>
    <row r="10" spans="2:27" x14ac:dyDescent="0.25"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21"/>
      <c r="O10" s="21"/>
      <c r="P10" s="21"/>
      <c r="Q10" s="21"/>
      <c r="R10" s="21"/>
      <c r="S10" s="64"/>
      <c r="T10" s="64"/>
      <c r="U10" s="64"/>
      <c r="V10" s="64"/>
      <c r="W10" s="64"/>
      <c r="X10" s="64"/>
      <c r="Y10" s="64"/>
      <c r="Z10" s="64"/>
      <c r="AA10" s="64"/>
    </row>
    <row r="11" spans="2:27" x14ac:dyDescent="0.25"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21"/>
      <c r="O11" s="21"/>
      <c r="P11" s="21"/>
      <c r="Q11" s="21"/>
      <c r="R11" s="21"/>
      <c r="S11" s="64"/>
      <c r="T11" s="64"/>
      <c r="U11" s="64"/>
      <c r="V11" s="64"/>
      <c r="W11" s="64"/>
      <c r="X11" s="64"/>
      <c r="Y11" s="64"/>
      <c r="Z11" s="64"/>
      <c r="AA11" s="64"/>
    </row>
    <row r="12" spans="2:27" x14ac:dyDescent="0.25"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21"/>
      <c r="O12" s="21"/>
      <c r="P12" s="21"/>
      <c r="Q12" s="21"/>
      <c r="R12" s="21"/>
      <c r="S12" s="64"/>
      <c r="T12" s="64"/>
      <c r="U12" s="64"/>
      <c r="V12" s="64"/>
      <c r="W12" s="64"/>
      <c r="X12" s="64"/>
      <c r="Y12" s="64"/>
      <c r="Z12" s="64"/>
      <c r="AA12" s="64"/>
    </row>
    <row r="13" spans="2:27" x14ac:dyDescent="0.25"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21"/>
      <c r="O13" s="21"/>
      <c r="P13" s="21"/>
      <c r="Q13" s="21"/>
      <c r="R13" s="21"/>
      <c r="S13" s="64"/>
      <c r="T13" s="64"/>
      <c r="U13" s="64"/>
      <c r="V13" s="64"/>
      <c r="W13" s="64"/>
      <c r="X13" s="64"/>
      <c r="Y13" s="64"/>
      <c r="Z13" s="64"/>
      <c r="AA13" s="64"/>
    </row>
    <row r="14" spans="2:27" x14ac:dyDescent="0.25">
      <c r="C1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21"/>
      <c r="O14" s="21"/>
      <c r="P14" s="21"/>
      <c r="Q14" s="21"/>
      <c r="R14" s="21"/>
      <c r="S14" s="64"/>
      <c r="T14" s="64"/>
      <c r="U14" s="64"/>
      <c r="V14" s="64"/>
      <c r="W14" s="64"/>
      <c r="X14" s="64"/>
      <c r="Y14" s="64"/>
      <c r="Z14" s="64"/>
      <c r="AA14" s="64"/>
    </row>
    <row r="15" spans="2:27" x14ac:dyDescent="0.25">
      <c r="C15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21"/>
      <c r="O15" s="21"/>
      <c r="P15" s="21"/>
      <c r="Q15" s="21"/>
      <c r="R15" s="21"/>
      <c r="S15" s="64"/>
      <c r="T15" s="64"/>
      <c r="U15" s="64"/>
      <c r="V15" s="64"/>
      <c r="W15" s="64"/>
      <c r="X15" s="64"/>
      <c r="Y15" s="64"/>
      <c r="Z15" s="64"/>
      <c r="AA15" s="64"/>
    </row>
    <row r="16" spans="2:27" x14ac:dyDescent="0.25">
      <c r="C16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21"/>
      <c r="O16" s="21"/>
      <c r="P16" s="21"/>
      <c r="Q16" s="21"/>
      <c r="R16" s="21"/>
      <c r="S16" s="64"/>
      <c r="T16" s="64"/>
      <c r="U16" s="64"/>
      <c r="V16" s="64"/>
      <c r="W16" s="64"/>
      <c r="X16" s="64"/>
      <c r="Y16" s="64"/>
      <c r="Z16" s="64"/>
      <c r="AA16" s="64"/>
    </row>
    <row r="17" spans="4:27" x14ac:dyDescent="0.25"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21"/>
      <c r="O17" s="21"/>
      <c r="P17" s="21"/>
      <c r="Q17" s="21"/>
      <c r="R17" s="21"/>
      <c r="S17" s="64"/>
      <c r="T17" s="64"/>
      <c r="U17" s="64"/>
      <c r="V17" s="64"/>
      <c r="W17" s="64"/>
      <c r="X17" s="64"/>
      <c r="Y17" s="64"/>
      <c r="Z17" s="64"/>
      <c r="AA17" s="64"/>
    </row>
    <row r="18" spans="4:27" x14ac:dyDescent="0.25"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21"/>
      <c r="O18" s="21"/>
      <c r="P18" s="21"/>
      <c r="Q18" s="21"/>
      <c r="R18" s="21"/>
      <c r="S18" s="64"/>
      <c r="T18" s="64"/>
      <c r="U18" s="64"/>
      <c r="V18" s="64"/>
      <c r="W18" s="64"/>
      <c r="X18" s="64"/>
      <c r="Y18" s="64"/>
      <c r="Z18" s="64"/>
      <c r="AA18" s="64"/>
    </row>
    <row r="19" spans="4:27" x14ac:dyDescent="0.25"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21"/>
      <c r="O19" s="21"/>
      <c r="P19" s="21"/>
      <c r="Q19" s="21"/>
      <c r="R19" s="21"/>
      <c r="S19" s="64"/>
      <c r="T19" s="64"/>
      <c r="U19" s="64"/>
      <c r="V19" s="64"/>
      <c r="W19" s="64"/>
      <c r="X19" s="64"/>
      <c r="Y19" s="64"/>
      <c r="Z19" s="64"/>
      <c r="AA19" s="64"/>
    </row>
    <row r="20" spans="4:27" x14ac:dyDescent="0.25"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21"/>
      <c r="O20" s="21"/>
      <c r="P20" s="21"/>
      <c r="Q20" s="21"/>
      <c r="R20" s="21"/>
      <c r="S20" s="64"/>
      <c r="T20" s="64"/>
      <c r="U20" s="64"/>
      <c r="V20" s="64"/>
      <c r="W20" s="64"/>
      <c r="X20" s="64"/>
      <c r="Y20" s="64"/>
      <c r="Z20" s="64"/>
      <c r="AA20" s="64"/>
    </row>
    <row r="21" spans="4:27" x14ac:dyDescent="0.25"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21"/>
      <c r="O21" s="21"/>
      <c r="P21" s="21"/>
      <c r="Q21" s="21"/>
      <c r="R21" s="21"/>
      <c r="S21" s="64"/>
      <c r="T21" s="64"/>
      <c r="U21" s="64"/>
      <c r="V21" s="64"/>
      <c r="W21" s="64"/>
      <c r="X21" s="64"/>
      <c r="Y21" s="64"/>
      <c r="Z21" s="64"/>
      <c r="AA21" s="64"/>
    </row>
    <row r="22" spans="4:27" x14ac:dyDescent="0.25"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21"/>
      <c r="O22" s="21"/>
      <c r="P22" s="21"/>
      <c r="Q22" s="21"/>
      <c r="R22" s="21"/>
      <c r="S22" s="64"/>
      <c r="T22" s="64"/>
      <c r="U22" s="64"/>
      <c r="V22" s="64"/>
      <c r="W22" s="64"/>
      <c r="X22" s="64"/>
      <c r="Y22" s="64"/>
      <c r="Z22" s="64"/>
      <c r="AA22" s="64"/>
    </row>
    <row r="23" spans="4:27" x14ac:dyDescent="0.25"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21"/>
      <c r="O23" s="21"/>
      <c r="P23" s="21"/>
      <c r="Q23" s="21"/>
      <c r="R23" s="21"/>
      <c r="S23" s="64"/>
      <c r="T23" s="64"/>
      <c r="U23" s="64"/>
      <c r="V23" s="64"/>
      <c r="W23" s="64"/>
      <c r="X23" s="64"/>
      <c r="Y23" s="64"/>
      <c r="Z23" s="64"/>
      <c r="AA23" s="64"/>
    </row>
    <row r="24" spans="4:27" x14ac:dyDescent="0.25"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21"/>
      <c r="O24" s="21"/>
      <c r="P24" s="21"/>
      <c r="Q24" s="21"/>
      <c r="R24" s="21"/>
      <c r="S24" s="64"/>
      <c r="T24" s="64"/>
      <c r="U24" s="64"/>
      <c r="V24" s="64"/>
      <c r="W24" s="64"/>
      <c r="X24" s="64"/>
      <c r="Y24" s="64"/>
      <c r="Z24" s="64"/>
      <c r="AA24" s="64"/>
    </row>
    <row r="25" spans="4:27" x14ac:dyDescent="0.25"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21"/>
      <c r="O25" s="21"/>
      <c r="P25" s="21"/>
      <c r="Q25" s="21"/>
      <c r="R25" s="21"/>
      <c r="S25" s="64"/>
      <c r="T25" s="64"/>
      <c r="U25" s="64"/>
      <c r="V25" s="64"/>
      <c r="W25" s="64"/>
      <c r="X25" s="64"/>
      <c r="Y25" s="64"/>
      <c r="Z25" s="64"/>
      <c r="AA25" s="64"/>
    </row>
    <row r="26" spans="4:27" x14ac:dyDescent="0.25"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21"/>
      <c r="O26" s="21"/>
      <c r="P26" s="21"/>
      <c r="Q26" s="21"/>
      <c r="R26" s="21"/>
      <c r="S26" s="64"/>
      <c r="T26" s="64"/>
      <c r="U26" s="64"/>
      <c r="V26" s="64"/>
      <c r="W26" s="64"/>
      <c r="X26" s="64"/>
      <c r="Y26" s="64"/>
      <c r="Z26" s="64"/>
      <c r="AA26" s="64"/>
    </row>
    <row r="27" spans="4:27" x14ac:dyDescent="0.25"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21"/>
      <c r="O27" s="21"/>
      <c r="P27" s="21"/>
      <c r="Q27" s="21"/>
      <c r="R27" s="21"/>
      <c r="S27" s="64"/>
      <c r="T27" s="64"/>
      <c r="U27" s="64"/>
      <c r="V27" s="64"/>
      <c r="W27" s="64"/>
      <c r="X27" s="64"/>
      <c r="Y27" s="64"/>
      <c r="Z27" s="64"/>
      <c r="AA27" s="64"/>
    </row>
    <row r="28" spans="4:27" x14ac:dyDescent="0.25"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21"/>
      <c r="O28" s="21"/>
      <c r="P28" s="21"/>
      <c r="Q28" s="21"/>
      <c r="R28" s="21"/>
      <c r="S28" s="64"/>
      <c r="T28" s="64"/>
      <c r="U28" s="64"/>
      <c r="V28" s="64"/>
      <c r="W28" s="64"/>
      <c r="X28" s="64"/>
      <c r="Y28" s="64"/>
      <c r="Z28" s="64"/>
      <c r="AA28" s="64"/>
    </row>
    <row r="29" spans="4:27" x14ac:dyDescent="0.25"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21"/>
      <c r="O29" s="21"/>
      <c r="P29" s="21"/>
      <c r="Q29" s="21"/>
      <c r="R29" s="21"/>
      <c r="S29" s="64"/>
      <c r="T29" s="64"/>
      <c r="U29" s="64"/>
      <c r="V29" s="64"/>
      <c r="W29" s="64"/>
      <c r="X29" s="64"/>
      <c r="Y29" s="64"/>
      <c r="Z29" s="64"/>
      <c r="AA29" s="64"/>
    </row>
    <row r="30" spans="4:27" x14ac:dyDescent="0.25"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21"/>
      <c r="O30" s="21"/>
      <c r="P30" s="21"/>
      <c r="Q30" s="21"/>
      <c r="R30" s="21"/>
      <c r="S30" s="64"/>
      <c r="T30" s="64"/>
      <c r="U30" s="64"/>
      <c r="V30" s="64"/>
      <c r="W30" s="64"/>
      <c r="X30" s="64"/>
      <c r="Y30" s="64"/>
      <c r="Z30" s="64"/>
      <c r="AA30" s="64"/>
    </row>
    <row r="31" spans="4:27" x14ac:dyDescent="0.25"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21"/>
      <c r="O31" s="21"/>
      <c r="P31" s="21"/>
      <c r="Q31" s="21"/>
      <c r="R31" s="21"/>
      <c r="S31" s="64"/>
      <c r="T31" s="64"/>
      <c r="U31" s="64"/>
      <c r="V31" s="64"/>
      <c r="W31" s="64"/>
      <c r="X31" s="64"/>
      <c r="Y31" s="64"/>
      <c r="Z31" s="64"/>
      <c r="AA31" s="64"/>
    </row>
    <row r="32" spans="4:27" x14ac:dyDescent="0.25"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21"/>
      <c r="O32" s="21"/>
      <c r="P32" s="21"/>
      <c r="Q32" s="21"/>
      <c r="R32" s="65"/>
      <c r="S32" s="64"/>
      <c r="T32" s="64"/>
      <c r="U32" s="64"/>
      <c r="V32" s="64"/>
      <c r="W32" s="64"/>
      <c r="X32" s="64"/>
      <c r="Y32" s="64"/>
      <c r="Z32" s="64"/>
      <c r="AA32" s="64"/>
    </row>
    <row r="33" spans="4:27" x14ac:dyDescent="0.25"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21"/>
      <c r="O33" s="21"/>
      <c r="P33" s="21"/>
      <c r="Q33" s="21"/>
      <c r="R33" s="65"/>
      <c r="S33" s="64"/>
      <c r="T33" s="64"/>
      <c r="U33" s="64"/>
      <c r="V33" s="64"/>
      <c r="W33" s="64"/>
      <c r="X33" s="64"/>
      <c r="Y33" s="64"/>
      <c r="Z33" s="64"/>
      <c r="AA33" s="64"/>
    </row>
    <row r="34" spans="4:27" x14ac:dyDescent="0.25"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21"/>
      <c r="O34" s="21"/>
      <c r="P34" s="21"/>
      <c r="Q34" s="21"/>
      <c r="R34" s="65"/>
      <c r="S34" s="64"/>
      <c r="T34" s="64"/>
      <c r="U34" s="64"/>
      <c r="V34" s="64"/>
      <c r="W34" s="64"/>
      <c r="X34" s="64"/>
      <c r="Y34" s="64"/>
      <c r="Z34" s="64"/>
      <c r="AA34" s="64"/>
    </row>
    <row r="35" spans="4:27" x14ac:dyDescent="0.25"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21"/>
      <c r="O35" s="21"/>
      <c r="P35" s="21"/>
      <c r="Q35" s="21"/>
      <c r="R35" s="21"/>
      <c r="S35" s="64"/>
      <c r="T35" s="64"/>
      <c r="U35" s="64"/>
      <c r="V35" s="64"/>
      <c r="W35" s="64"/>
      <c r="X35" s="64"/>
      <c r="Y35" s="64"/>
      <c r="Z35" s="64"/>
      <c r="AA35" s="64"/>
    </row>
    <row r="36" spans="4:27" x14ac:dyDescent="0.25"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21"/>
      <c r="O36" s="21"/>
      <c r="P36" s="21"/>
      <c r="Q36" s="21"/>
      <c r="R36" s="21"/>
      <c r="S36" s="64"/>
      <c r="T36" s="64"/>
      <c r="U36" s="64"/>
      <c r="V36" s="64"/>
      <c r="W36" s="64"/>
      <c r="X36" s="64"/>
      <c r="Y36" s="64"/>
      <c r="Z36" s="64"/>
      <c r="AA36" s="64"/>
    </row>
    <row r="37" spans="4:27" x14ac:dyDescent="0.25"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21"/>
      <c r="O37" s="21"/>
      <c r="P37" s="21"/>
      <c r="Q37" s="21"/>
      <c r="R37" s="21"/>
      <c r="S37" s="64"/>
      <c r="T37" s="64"/>
      <c r="U37" s="64"/>
      <c r="V37" s="64"/>
      <c r="W37" s="64"/>
      <c r="X37" s="64"/>
      <c r="Y37" s="64"/>
      <c r="Z37" s="64"/>
      <c r="AA37" s="64"/>
    </row>
    <row r="38" spans="4:27" x14ac:dyDescent="0.25"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21"/>
      <c r="O38" s="21"/>
      <c r="P38" s="21"/>
      <c r="Q38" s="21"/>
      <c r="R38" s="21"/>
      <c r="S38" s="64"/>
      <c r="T38" s="64"/>
      <c r="U38" s="64"/>
      <c r="V38" s="64"/>
      <c r="W38" s="64"/>
      <c r="X38" s="64"/>
      <c r="Y38" s="64"/>
      <c r="Z38" s="64"/>
      <c r="AA38" s="64"/>
    </row>
    <row r="39" spans="4:27" x14ac:dyDescent="0.25"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21"/>
      <c r="O39" s="21"/>
      <c r="P39" s="21"/>
      <c r="Q39" s="21"/>
      <c r="R39" s="21"/>
      <c r="S39" s="64"/>
      <c r="T39" s="64"/>
      <c r="U39" s="64"/>
      <c r="V39" s="64"/>
      <c r="W39" s="64"/>
      <c r="X39" s="64"/>
      <c r="Y39" s="64"/>
      <c r="Z39" s="64"/>
      <c r="AA39" s="64"/>
    </row>
    <row r="40" spans="4:27" x14ac:dyDescent="0.25"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21"/>
      <c r="O40" s="21"/>
      <c r="P40" s="21"/>
      <c r="Q40" s="21"/>
      <c r="R40" s="21"/>
      <c r="S40" s="64"/>
      <c r="T40" s="64"/>
      <c r="U40" s="64"/>
      <c r="V40" s="64"/>
      <c r="W40" s="64"/>
      <c r="X40" s="64"/>
      <c r="Y40" s="64"/>
      <c r="Z40" s="64"/>
      <c r="AA40" s="64"/>
    </row>
    <row r="41" spans="4:27" x14ac:dyDescent="0.25"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21"/>
      <c r="O41" s="21"/>
      <c r="P41" s="21"/>
      <c r="Q41" s="21"/>
      <c r="R41" s="21"/>
      <c r="S41" s="64"/>
      <c r="T41" s="64"/>
      <c r="U41" s="64"/>
      <c r="V41" s="64"/>
      <c r="W41" s="64"/>
      <c r="X41" s="64"/>
      <c r="Y41" s="64"/>
      <c r="Z41" s="64"/>
      <c r="AA41" s="64"/>
    </row>
    <row r="42" spans="4:27" x14ac:dyDescent="0.25"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21"/>
      <c r="O42" s="21"/>
      <c r="P42" s="21"/>
      <c r="Q42" s="21"/>
      <c r="R42" s="21"/>
      <c r="S42" s="64"/>
      <c r="T42" s="64"/>
      <c r="U42" s="64"/>
      <c r="V42" s="64"/>
      <c r="W42" s="64"/>
      <c r="X42" s="64"/>
      <c r="Y42" s="64"/>
      <c r="Z42" s="64"/>
      <c r="AA42" s="64"/>
    </row>
    <row r="43" spans="4:27" x14ac:dyDescent="0.25"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21"/>
      <c r="O43" s="21"/>
      <c r="P43" s="21"/>
      <c r="Q43" s="21"/>
      <c r="R43" s="21"/>
      <c r="S43" s="64"/>
      <c r="T43" s="64"/>
      <c r="U43" s="64"/>
      <c r="V43" s="64"/>
      <c r="W43" s="64"/>
      <c r="X43" s="64"/>
      <c r="Y43" s="64"/>
      <c r="Z43" s="64"/>
      <c r="AA43" s="64"/>
    </row>
    <row r="44" spans="4:27" x14ac:dyDescent="0.25"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21"/>
      <c r="O44" s="21"/>
      <c r="P44" s="21"/>
      <c r="Q44" s="21"/>
      <c r="R44" s="21"/>
      <c r="S44" s="64"/>
      <c r="T44" s="64"/>
      <c r="U44" s="64"/>
      <c r="V44" s="64"/>
      <c r="W44" s="64"/>
      <c r="X44" s="64"/>
      <c r="Y44" s="64"/>
      <c r="Z44" s="64"/>
      <c r="AA44" s="64"/>
    </row>
    <row r="45" spans="4:27" x14ac:dyDescent="0.25"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21"/>
      <c r="O45" s="21"/>
      <c r="P45" s="21"/>
      <c r="Q45" s="21"/>
      <c r="R45" s="21"/>
      <c r="S45" s="64"/>
      <c r="T45" s="64"/>
      <c r="U45" s="64"/>
      <c r="V45" s="64"/>
      <c r="W45" s="64"/>
      <c r="X45" s="64"/>
      <c r="Y45" s="64"/>
      <c r="Z45" s="64"/>
      <c r="AA45" s="64"/>
    </row>
    <row r="46" spans="4:27" x14ac:dyDescent="0.25"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21"/>
      <c r="O46" s="21"/>
      <c r="P46" s="21"/>
      <c r="Q46" s="21"/>
      <c r="R46" s="21"/>
      <c r="S46" s="64"/>
      <c r="T46" s="64"/>
      <c r="U46" s="64"/>
      <c r="V46" s="64"/>
      <c r="W46" s="64"/>
      <c r="X46" s="64"/>
      <c r="Y46" s="64"/>
      <c r="Z46" s="64"/>
      <c r="AA46" s="64"/>
    </row>
    <row r="47" spans="4:27" x14ac:dyDescent="0.25"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21"/>
      <c r="O47" s="21"/>
      <c r="P47" s="21"/>
      <c r="Q47" s="21"/>
      <c r="R47" s="21"/>
      <c r="S47" s="64"/>
      <c r="T47" s="64"/>
      <c r="U47" s="64"/>
      <c r="V47" s="64"/>
      <c r="W47" s="64"/>
      <c r="X47" s="64"/>
      <c r="Y47" s="64"/>
      <c r="Z47" s="64"/>
      <c r="AA47" s="64"/>
    </row>
    <row r="48" spans="4:27" x14ac:dyDescent="0.25"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21"/>
      <c r="O48" s="21"/>
      <c r="P48" s="21"/>
      <c r="Q48" s="21"/>
      <c r="R48" s="21"/>
      <c r="S48" s="64"/>
      <c r="T48" s="64"/>
      <c r="U48" s="64"/>
      <c r="V48" s="64"/>
      <c r="W48" s="64"/>
      <c r="X48" s="64"/>
      <c r="Y48" s="64"/>
      <c r="Z48" s="64"/>
      <c r="AA48" s="64"/>
    </row>
    <row r="49" spans="3:27" x14ac:dyDescent="0.25"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21"/>
      <c r="O49" s="21"/>
      <c r="P49" s="21"/>
      <c r="Q49" s="21"/>
      <c r="R49" s="21"/>
      <c r="S49" s="64"/>
      <c r="T49" s="64"/>
      <c r="U49" s="64"/>
      <c r="V49" s="64"/>
      <c r="W49" s="64"/>
      <c r="X49" s="64"/>
      <c r="Y49" s="64"/>
      <c r="Z49" s="64"/>
      <c r="AA49" s="64"/>
    </row>
    <row r="50" spans="3:27" x14ac:dyDescent="0.25"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21"/>
      <c r="O50" s="21"/>
      <c r="P50" s="21"/>
      <c r="Q50" s="21"/>
      <c r="R50" s="21"/>
      <c r="S50" s="64"/>
      <c r="T50" s="64"/>
      <c r="U50" s="64"/>
      <c r="V50" s="64"/>
      <c r="W50" s="64"/>
      <c r="X50" s="64"/>
      <c r="Y50" s="64"/>
      <c r="Z50" s="64"/>
      <c r="AA50" s="64"/>
    </row>
    <row r="51" spans="3:27" x14ac:dyDescent="0.25"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21"/>
      <c r="O51" s="21"/>
      <c r="P51" s="21"/>
      <c r="Q51" s="21"/>
      <c r="R51" s="21"/>
      <c r="S51" s="64"/>
      <c r="T51" s="64"/>
      <c r="U51" s="64"/>
      <c r="V51" s="64"/>
      <c r="W51" s="64"/>
      <c r="X51" s="64"/>
      <c r="Y51" s="64"/>
      <c r="Z51" s="64"/>
      <c r="AA51" s="64"/>
    </row>
    <row r="52" spans="3:27" x14ac:dyDescent="0.25"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21"/>
      <c r="O52" s="21"/>
      <c r="P52" s="21"/>
      <c r="Q52" s="21"/>
      <c r="R52" s="21"/>
      <c r="S52" s="64"/>
      <c r="T52" s="64"/>
      <c r="U52" s="64"/>
      <c r="V52" s="64"/>
      <c r="W52" s="64"/>
      <c r="X52" s="64"/>
      <c r="Y52" s="64"/>
      <c r="Z52" s="64"/>
      <c r="AA52" s="64"/>
    </row>
    <row r="53" spans="3:27" x14ac:dyDescent="0.25"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21"/>
      <c r="O53" s="21"/>
      <c r="P53" s="21"/>
      <c r="Q53" s="21"/>
      <c r="R53" s="21"/>
      <c r="S53" s="64"/>
      <c r="T53" s="64"/>
      <c r="U53" s="64"/>
      <c r="V53" s="64"/>
      <c r="W53" s="64"/>
      <c r="X53" s="64"/>
      <c r="Y53" s="64"/>
      <c r="Z53" s="64"/>
      <c r="AA53" s="64"/>
    </row>
    <row r="54" spans="3:27" x14ac:dyDescent="0.25"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21"/>
      <c r="O54" s="21"/>
      <c r="P54" s="21"/>
      <c r="Q54" s="21"/>
      <c r="R54" s="21"/>
      <c r="S54" s="64"/>
      <c r="T54" s="64"/>
      <c r="U54" s="64"/>
      <c r="V54" s="64"/>
      <c r="W54" s="64"/>
      <c r="X54" s="64"/>
      <c r="Y54" s="64"/>
      <c r="Z54" s="64"/>
      <c r="AA54" s="64"/>
    </row>
    <row r="55" spans="3:27" x14ac:dyDescent="0.25"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21"/>
      <c r="O55" s="21"/>
      <c r="P55" s="21"/>
      <c r="Q55" s="21"/>
      <c r="R55" s="21"/>
      <c r="S55" s="64"/>
      <c r="T55" s="64"/>
      <c r="U55" s="64"/>
      <c r="V55" s="64"/>
      <c r="W55" s="64"/>
      <c r="X55" s="64"/>
      <c r="Y55" s="64"/>
      <c r="Z55" s="64"/>
      <c r="AA55" s="64"/>
    </row>
    <row r="56" spans="3:27" x14ac:dyDescent="0.25"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21"/>
      <c r="O56" s="21"/>
      <c r="P56" s="21"/>
      <c r="Q56" s="21"/>
      <c r="R56" s="21"/>
      <c r="S56" s="64"/>
      <c r="T56" s="64"/>
      <c r="U56" s="64"/>
      <c r="V56" s="64"/>
      <c r="W56" s="64"/>
      <c r="X56" s="64"/>
      <c r="Y56" s="64"/>
      <c r="Z56" s="64"/>
      <c r="AA56" s="64"/>
    </row>
    <row r="57" spans="3:27" x14ac:dyDescent="0.25"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21"/>
      <c r="O57" s="21"/>
      <c r="P57" s="21"/>
      <c r="Q57" s="21"/>
      <c r="R57" s="21"/>
      <c r="S57" s="64"/>
      <c r="T57" s="64"/>
      <c r="U57" s="64"/>
      <c r="V57" s="64"/>
      <c r="W57" s="64"/>
      <c r="X57" s="64"/>
      <c r="Y57" s="64"/>
      <c r="Z57" s="64"/>
      <c r="AA57" s="64"/>
    </row>
    <row r="58" spans="3:27" x14ac:dyDescent="0.25"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21"/>
      <c r="O58" s="21"/>
      <c r="P58" s="21"/>
      <c r="Q58" s="21"/>
      <c r="R58" s="21"/>
      <c r="S58" s="64"/>
      <c r="T58" s="64"/>
      <c r="U58" s="64"/>
      <c r="V58" s="64"/>
      <c r="W58" s="64"/>
      <c r="X58" s="64"/>
      <c r="Y58" s="64"/>
      <c r="Z58" s="64"/>
      <c r="AA58" s="64"/>
    </row>
    <row r="59" spans="3:27" x14ac:dyDescent="0.25"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21"/>
      <c r="O59" s="21"/>
      <c r="P59" s="21"/>
      <c r="Q59" s="21"/>
      <c r="R59" s="21"/>
      <c r="S59" s="64"/>
      <c r="T59" s="64"/>
      <c r="U59" s="64"/>
      <c r="V59" s="64"/>
      <c r="W59" s="64"/>
      <c r="X59" s="64"/>
      <c r="Y59" s="64"/>
      <c r="Z59" s="64"/>
      <c r="AA59" s="64"/>
    </row>
    <row r="60" spans="3:27" x14ac:dyDescent="0.25">
      <c r="C60" s="63"/>
    </row>
    <row r="61" spans="3:27" x14ac:dyDescent="0.25">
      <c r="D61" s="64"/>
      <c r="E61" s="64"/>
      <c r="F61" s="64"/>
      <c r="G61" s="64"/>
      <c r="H61" s="64"/>
      <c r="I61" s="64"/>
    </row>
    <row r="62" spans="3:27" x14ac:dyDescent="0.25">
      <c r="D62" s="64"/>
      <c r="E62" s="64"/>
      <c r="F62" s="64"/>
      <c r="G62" s="64"/>
      <c r="H62" s="64"/>
      <c r="I62" s="64"/>
    </row>
    <row r="63" spans="3:27" x14ac:dyDescent="0.25">
      <c r="C63" s="63"/>
      <c r="D63" s="64"/>
      <c r="E63" s="64"/>
      <c r="F63" s="64"/>
      <c r="G63" s="64"/>
      <c r="H63" s="64"/>
      <c r="I63" s="64"/>
    </row>
    <row r="64" spans="3:27" x14ac:dyDescent="0.25">
      <c r="D64" s="64"/>
      <c r="E64" s="64"/>
      <c r="F64" s="64"/>
      <c r="G64" s="64"/>
      <c r="H64" s="64"/>
      <c r="I64" s="64"/>
    </row>
    <row r="65" spans="4:9" x14ac:dyDescent="0.25">
      <c r="D65" s="64"/>
      <c r="E65" s="64"/>
      <c r="F65" s="64"/>
      <c r="G65" s="64"/>
      <c r="H65" s="64"/>
      <c r="I65" s="64"/>
    </row>
    <row r="66" spans="4:9" x14ac:dyDescent="0.25">
      <c r="D66" s="64"/>
      <c r="E66" s="64"/>
      <c r="F66" s="64"/>
      <c r="G66" s="64"/>
      <c r="H66" s="64"/>
      <c r="I66" s="64"/>
    </row>
    <row r="67" spans="4:9" hidden="1" x14ac:dyDescent="0.25">
      <c r="D67" s="64"/>
      <c r="E67" s="64"/>
      <c r="F67" s="64"/>
      <c r="G67" s="64"/>
      <c r="H67" s="64"/>
      <c r="I67" s="64"/>
    </row>
    <row r="68" spans="4:9" x14ac:dyDescent="0.25">
      <c r="D68" s="64"/>
      <c r="E68" s="64"/>
      <c r="F68" s="64"/>
      <c r="G68" s="64"/>
      <c r="H68" s="64"/>
      <c r="I68" s="64"/>
    </row>
    <row r="69" spans="4:9" x14ac:dyDescent="0.25">
      <c r="D69" s="64"/>
      <c r="E69" s="64"/>
      <c r="F69" s="64"/>
      <c r="G69" s="64"/>
      <c r="H69" s="64"/>
      <c r="I69" s="64"/>
    </row>
    <row r="70" spans="4:9" x14ac:dyDescent="0.25">
      <c r="D70" s="64"/>
      <c r="E70" s="64"/>
      <c r="F70" s="64"/>
      <c r="G70" s="64"/>
      <c r="H70" s="64"/>
      <c r="I70" s="64"/>
    </row>
    <row r="71" spans="4:9" x14ac:dyDescent="0.25">
      <c r="D71" s="64"/>
      <c r="E71" s="64"/>
      <c r="F71" s="64"/>
      <c r="G71" s="64"/>
      <c r="H71" s="64"/>
      <c r="I71" s="64"/>
    </row>
    <row r="72" spans="4:9" x14ac:dyDescent="0.25">
      <c r="D72" s="64"/>
      <c r="E72" s="64"/>
      <c r="F72" s="64"/>
      <c r="G72" s="64"/>
      <c r="H72" s="64"/>
      <c r="I72" s="64"/>
    </row>
    <row r="73" spans="4:9" x14ac:dyDescent="0.25">
      <c r="D73" s="64"/>
      <c r="E73" s="64"/>
      <c r="F73" s="64"/>
      <c r="G73" s="64"/>
      <c r="H73" s="64"/>
      <c r="I73" s="64"/>
    </row>
    <row r="74" spans="4:9" x14ac:dyDescent="0.25">
      <c r="D74" s="64"/>
      <c r="E74" s="64"/>
      <c r="F74" s="64"/>
      <c r="G74" s="64"/>
      <c r="H74" s="64"/>
      <c r="I74" s="64"/>
    </row>
    <row r="75" spans="4:9" x14ac:dyDescent="0.25">
      <c r="D75" s="64"/>
      <c r="E75" s="64"/>
      <c r="F75" s="64"/>
      <c r="G75" s="64"/>
      <c r="H75" s="64"/>
      <c r="I75" s="64"/>
    </row>
    <row r="76" spans="4:9" x14ac:dyDescent="0.25">
      <c r="D76" s="64"/>
      <c r="E76" s="64"/>
      <c r="F76" s="64"/>
      <c r="G76" s="64"/>
      <c r="H76" s="64"/>
      <c r="I76" s="64"/>
    </row>
    <row r="77" spans="4:9" x14ac:dyDescent="0.25">
      <c r="D77" s="64"/>
      <c r="E77" s="64"/>
      <c r="F77" s="64"/>
      <c r="G77" s="64"/>
      <c r="H77" s="64"/>
      <c r="I77" s="64"/>
    </row>
    <row r="78" spans="4:9" x14ac:dyDescent="0.25">
      <c r="D78" s="64"/>
      <c r="E78" s="64"/>
      <c r="F78" s="64"/>
      <c r="G78" s="64"/>
      <c r="H78" s="64"/>
      <c r="I78" s="64"/>
    </row>
    <row r="79" spans="4:9" x14ac:dyDescent="0.25">
      <c r="D79" s="64"/>
      <c r="E79" s="64"/>
      <c r="F79" s="64"/>
      <c r="G79" s="64"/>
      <c r="H79" s="64"/>
      <c r="I79" s="64"/>
    </row>
    <row r="80" spans="4:9" x14ac:dyDescent="0.25">
      <c r="D80" s="64"/>
      <c r="E80" s="64"/>
      <c r="F80" s="64"/>
      <c r="G80" s="64"/>
      <c r="H80" s="64"/>
      <c r="I80" s="64"/>
    </row>
    <row r="81" spans="3:9" x14ac:dyDescent="0.25">
      <c r="D81" s="64"/>
      <c r="E81" s="64"/>
      <c r="F81" s="64"/>
      <c r="G81" s="64"/>
      <c r="H81" s="64"/>
      <c r="I81" s="64"/>
    </row>
    <row r="82" spans="3:9" x14ac:dyDescent="0.25">
      <c r="D82" s="64"/>
      <c r="E82" s="64"/>
      <c r="F82" s="64"/>
      <c r="G82" s="64"/>
      <c r="H82" s="64"/>
      <c r="I82" s="64"/>
    </row>
    <row r="83" spans="3:9" x14ac:dyDescent="0.25">
      <c r="C83" s="66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T54"/>
  <sheetViews>
    <sheetView workbookViewId="0">
      <selection activeCell="B59" sqref="B59"/>
    </sheetView>
  </sheetViews>
  <sheetFormatPr defaultColWidth="9" defaultRowHeight="13.5" x14ac:dyDescent="0.15"/>
  <sheetData>
    <row r="4" spans="2:20" x14ac:dyDescent="0.15">
      <c r="B4" t="s">
        <v>71</v>
      </c>
    </row>
    <row r="5" spans="2:20" x14ac:dyDescent="0.15">
      <c r="C5" s="69" t="str">
        <f>LISHX!K6</f>
        <v>BASE</v>
      </c>
      <c r="D5" s="69" t="str">
        <f>LISHX!L6</f>
        <v>BASE</v>
      </c>
      <c r="E5" s="69" t="str">
        <f>LISHX!M6</f>
        <v>BASE</v>
      </c>
      <c r="F5" s="69" t="str">
        <f>LISHX!N6</f>
        <v>BASE</v>
      </c>
      <c r="G5" s="69" t="str">
        <f>LISHX!O6</f>
        <v>BASE</v>
      </c>
      <c r="H5" s="69" t="str">
        <f>LISHX!P6</f>
        <v>BASE</v>
      </c>
      <c r="I5" s="69" t="str">
        <f>LISHX!Q6</f>
        <v>BASE</v>
      </c>
      <c r="J5" s="69" t="str">
        <f>LISHX!R6</f>
        <v>BASE</v>
      </c>
      <c r="K5" s="69" t="str">
        <f>LISHX!S6</f>
        <v>BASE</v>
      </c>
      <c r="L5" s="69" t="str">
        <f>LISHX!T6</f>
        <v>BASE</v>
      </c>
      <c r="M5" s="69" t="str">
        <f>LISHX!U6</f>
        <v>BASE</v>
      </c>
      <c r="N5" s="69" t="str">
        <f>LISHX!V6</f>
        <v>BASE</v>
      </c>
      <c r="O5">
        <f>LISHX!W6</f>
        <v>0</v>
      </c>
      <c r="P5">
        <f>LISHX!X6</f>
        <v>0</v>
      </c>
      <c r="Q5">
        <f>LISHX!Y6</f>
        <v>0</v>
      </c>
      <c r="R5">
        <f>LISHX!Z6</f>
        <v>0</v>
      </c>
      <c r="S5">
        <f>LISHX!AA6</f>
        <v>0</v>
      </c>
      <c r="T5">
        <f>LISHX!AB6</f>
        <v>0</v>
      </c>
    </row>
    <row r="6" spans="2:20" x14ac:dyDescent="0.15">
      <c r="C6" s="69" t="str">
        <f>LISHX!K7</f>
        <v>2024</v>
      </c>
      <c r="D6" s="69" t="str">
        <f>LISHX!L7</f>
        <v>2025</v>
      </c>
      <c r="E6" s="69" t="str">
        <f>LISHX!M7</f>
        <v>2026</v>
      </c>
      <c r="F6" s="69" t="str">
        <f>LISHX!N7</f>
        <v>2027</v>
      </c>
      <c r="G6" s="69" t="str">
        <f>LISHX!O7</f>
        <v>2028</v>
      </c>
      <c r="H6" s="69" t="str">
        <f>LISHX!P7</f>
        <v>2029</v>
      </c>
      <c r="I6" s="69" t="str">
        <f>LISHX!Q7</f>
        <v>2030</v>
      </c>
      <c r="J6" s="69" t="str">
        <f>LISHX!R7</f>
        <v>2031</v>
      </c>
      <c r="K6" s="69" t="str">
        <f>LISHX!S7</f>
        <v>2032</v>
      </c>
      <c r="L6" s="69" t="str">
        <f>LISHX!T7</f>
        <v>2033</v>
      </c>
      <c r="M6" s="69" t="str">
        <f>LISHX!U7</f>
        <v>2034</v>
      </c>
      <c r="N6" s="69" t="str">
        <f>LISHX!V7</f>
        <v>2035</v>
      </c>
      <c r="O6">
        <f>LISHX!W7</f>
        <v>0</v>
      </c>
      <c r="P6">
        <f>LISHX!X7</f>
        <v>0</v>
      </c>
      <c r="Q6">
        <f>LISHX!Y7</f>
        <v>0</v>
      </c>
      <c r="R6">
        <f>LISHX!Z7</f>
        <v>0</v>
      </c>
      <c r="S6">
        <f>LISHX!AA7</f>
        <v>0</v>
      </c>
      <c r="T6">
        <f>LISHX!AB7</f>
        <v>0</v>
      </c>
    </row>
    <row r="7" spans="2:20" x14ac:dyDescent="0.15">
      <c r="B7" s="69" t="str">
        <f>LISHX!J8</f>
        <v>AREA</v>
      </c>
      <c r="C7">
        <f>LISHX!K8</f>
        <v>11931.900000000001</v>
      </c>
      <c r="D7">
        <f>LISHX!L8</f>
        <v>11940.9</v>
      </c>
      <c r="E7">
        <f>LISHX!M8</f>
        <v>11953.292348472674</v>
      </c>
      <c r="F7">
        <f>LISHX!N8</f>
        <v>11966.121836426662</v>
      </c>
      <c r="G7">
        <f>LISHX!O8</f>
        <v>11979.566540446813</v>
      </c>
      <c r="H7">
        <f>LISHX!P8</f>
        <v>11993.243872538618</v>
      </c>
      <c r="I7">
        <f>LISHX!Q8</f>
        <v>12007.471108345408</v>
      </c>
      <c r="J7">
        <f>LISHX!R8</f>
        <v>12022.411216832119</v>
      </c>
      <c r="K7">
        <f>LISHX!S8</f>
        <v>12038.056281446548</v>
      </c>
      <c r="L7">
        <f>LISHX!T8</f>
        <v>12054.399570973819</v>
      </c>
      <c r="M7">
        <f>LISHX!U8</f>
        <v>12071.434892777797</v>
      </c>
      <c r="N7">
        <f>LISHX!V8</f>
        <v>12089.157046448583</v>
      </c>
      <c r="O7">
        <f>LISHX!W8</f>
        <v>0</v>
      </c>
      <c r="P7">
        <f>LISHX!X8</f>
        <v>0</v>
      </c>
      <c r="Q7">
        <f>LISHX!Y8</f>
        <v>0</v>
      </c>
      <c r="R7">
        <f>LISHX!Z8</f>
        <v>0</v>
      </c>
      <c r="S7">
        <f>LISHX!AA8</f>
        <v>0</v>
      </c>
      <c r="T7">
        <f>LISHX!AB8</f>
        <v>0</v>
      </c>
    </row>
    <row r="8" spans="2:20" x14ac:dyDescent="0.15">
      <c r="B8" s="69" t="str">
        <f>LISHX!J9</f>
        <v>YIELD</v>
      </c>
      <c r="C8">
        <f>LISHX!K9</f>
        <v>33.889185439558211</v>
      </c>
      <c r="D8">
        <f>LISHX!L9</f>
        <v>34.307582722287947</v>
      </c>
      <c r="E8">
        <f>LISHX!M9</f>
        <v>34.461504662115878</v>
      </c>
      <c r="F8">
        <f>LISHX!N9</f>
        <v>34.618846420945459</v>
      </c>
      <c r="G8">
        <f>LISHX!O9</f>
        <v>34.780358255258278</v>
      </c>
      <c r="H8">
        <f>LISHX!P9</f>
        <v>34.946599300686636</v>
      </c>
      <c r="I8">
        <f>LISHX!Q9</f>
        <v>35.117622775261673</v>
      </c>
      <c r="J8">
        <f>LISHX!R9</f>
        <v>35.244099890260294</v>
      </c>
      <c r="K8">
        <f>LISHX!S9</f>
        <v>35.37247853350086</v>
      </c>
      <c r="L8">
        <f>LISHX!T9</f>
        <v>35.503316946453872</v>
      </c>
      <c r="M8">
        <f>LISHX!U9</f>
        <v>35.636849087605569</v>
      </c>
      <c r="N8">
        <f>LISHX!V9</f>
        <v>35.773408045761052</v>
      </c>
      <c r="O8">
        <f>LISHX!W9</f>
        <v>0</v>
      </c>
      <c r="P8">
        <f>LISHX!X9</f>
        <v>0</v>
      </c>
      <c r="Q8">
        <f>LISHX!Y9</f>
        <v>0</v>
      </c>
      <c r="R8">
        <f>LISHX!Z9</f>
        <v>0</v>
      </c>
      <c r="S8">
        <f>LISHX!AA9</f>
        <v>0</v>
      </c>
      <c r="T8">
        <f>LISHX!AB9</f>
        <v>0</v>
      </c>
    </row>
    <row r="9" spans="2:20" x14ac:dyDescent="0.15">
      <c r="B9" s="69" t="str">
        <f>LISHX!J10</f>
        <v>TOTAL SUPPLY</v>
      </c>
      <c r="C9">
        <f>LISHX!K10</f>
        <v>86177</v>
      </c>
      <c r="D9">
        <f>LISHX!L10</f>
        <v>85215.3</v>
      </c>
      <c r="E9">
        <f>LISHX!M10</f>
        <v>85177.636658829637</v>
      </c>
      <c r="F9">
        <f>LISHX!N10</f>
        <v>85488.842357999383</v>
      </c>
      <c r="G9">
        <f>LISHX!O10</f>
        <v>85633.991076465943</v>
      </c>
      <c r="H9">
        <f>LISHX!P10</f>
        <v>85796.771492710366</v>
      </c>
      <c r="I9">
        <f>LISHX!Q10</f>
        <v>85971.270630406449</v>
      </c>
      <c r="J9">
        <f>LISHX!R10</f>
        <v>86149.016562550343</v>
      </c>
      <c r="K9">
        <f>LISHX!S10</f>
        <v>86355.623742731099</v>
      </c>
      <c r="L9">
        <f>LISHX!T10</f>
        <v>86578.029280335337</v>
      </c>
      <c r="M9">
        <f>LISHX!U10</f>
        <v>86813.897938253926</v>
      </c>
      <c r="N9">
        <f>LISHX!V10</f>
        <v>87063.206830234732</v>
      </c>
      <c r="O9">
        <f>LISHX!W10</f>
        <v>0</v>
      </c>
      <c r="P9">
        <f>LISHX!X10</f>
        <v>0</v>
      </c>
      <c r="Q9">
        <f>LISHX!Y10</f>
        <v>0</v>
      </c>
      <c r="R9">
        <f>LISHX!Z10</f>
        <v>0</v>
      </c>
      <c r="S9">
        <f>LISHX!AA10</f>
        <v>0</v>
      </c>
      <c r="T9">
        <f>LISHX!AB10</f>
        <v>0</v>
      </c>
    </row>
    <row r="10" spans="2:20" x14ac:dyDescent="0.15">
      <c r="B10" s="69" t="str">
        <f>LISHX!J11</f>
        <v>PRODUCTION</v>
      </c>
      <c r="C10">
        <f>LISHX!K11</f>
        <v>70650</v>
      </c>
      <c r="D10">
        <f>LISHX!L11</f>
        <v>71488</v>
      </c>
      <c r="E10">
        <f>LISHX!M11</f>
        <v>71845.738010383589</v>
      </c>
      <c r="F10">
        <f>LISHX!N11</f>
        <v>72211.8699550007</v>
      </c>
      <c r="G10">
        <f>LISHX!O11</f>
        <v>72589.789913386092</v>
      </c>
      <c r="H10">
        <f>LISHX!P11</f>
        <v>72976.885345840608</v>
      </c>
      <c r="I10">
        <f>LISHX!Q11</f>
        <v>73376.605842393474</v>
      </c>
      <c r="J10">
        <f>LISHX!R11</f>
        <v>73734.422408936254</v>
      </c>
      <c r="K10">
        <f>LISHX!S11</f>
        <v>74102.016290557091</v>
      </c>
      <c r="L10">
        <f>LISHX!T11</f>
        <v>74480.5278399948</v>
      </c>
      <c r="M10">
        <f>LISHX!U11</f>
        <v>74870.440700083316</v>
      </c>
      <c r="N10">
        <f>LISHX!V11</f>
        <v>75272.462436084897</v>
      </c>
      <c r="O10">
        <f>LISHX!W11</f>
        <v>0</v>
      </c>
      <c r="P10">
        <f>LISHX!X11</f>
        <v>0</v>
      </c>
      <c r="Q10">
        <f>LISHX!Y11</f>
        <v>0</v>
      </c>
      <c r="R10">
        <f>LISHX!Z11</f>
        <v>0</v>
      </c>
      <c r="S10">
        <f>LISHX!AA11</f>
        <v>0</v>
      </c>
      <c r="T10">
        <f>LISHX!AB11</f>
        <v>0</v>
      </c>
    </row>
    <row r="11" spans="2:20" x14ac:dyDescent="0.15">
      <c r="B11" s="69" t="str">
        <f>LISHX!J12</f>
        <v>NET IMPORT</v>
      </c>
      <c r="C11">
        <f>LISHX!K12</f>
        <v>15527</v>
      </c>
      <c r="D11">
        <f>LISHX!L12</f>
        <v>13727.3</v>
      </c>
      <c r="E11">
        <f>LISHX!M12</f>
        <v>13331.898648446053</v>
      </c>
      <c r="F11">
        <f>LISHX!N12</f>
        <v>13276.972402998676</v>
      </c>
      <c r="G11">
        <f>LISHX!O12</f>
        <v>13044.201163079857</v>
      </c>
      <c r="H11">
        <f>LISHX!P12</f>
        <v>12819.886146869752</v>
      </c>
      <c r="I11">
        <f>LISHX!Q12</f>
        <v>12594.664788012971</v>
      </c>
      <c r="J11">
        <f>LISHX!R12</f>
        <v>12414.594153614091</v>
      </c>
      <c r="K11">
        <f>LISHX!S12</f>
        <v>12253.607452174007</v>
      </c>
      <c r="L11">
        <f>LISHX!T12</f>
        <v>12097.50144034054</v>
      </c>
      <c r="M11">
        <f>LISHX!U12</f>
        <v>11943.457238170609</v>
      </c>
      <c r="N11">
        <f>LISHX!V12</f>
        <v>11790.744394149828</v>
      </c>
      <c r="O11">
        <f>LISHX!W12</f>
        <v>0</v>
      </c>
      <c r="P11">
        <f>LISHX!X12</f>
        <v>0</v>
      </c>
      <c r="Q11">
        <f>LISHX!Y12</f>
        <v>0</v>
      </c>
      <c r="R11">
        <f>LISHX!Z12</f>
        <v>0</v>
      </c>
      <c r="S11">
        <f>LISHX!AA12</f>
        <v>0</v>
      </c>
      <c r="T11">
        <f>LISHX!AB12</f>
        <v>0</v>
      </c>
    </row>
    <row r="12" spans="2:20" x14ac:dyDescent="0.15">
      <c r="B12" s="69" t="str">
        <f>LISHX!J13</f>
        <v>TOTAL DEMAND</v>
      </c>
      <c r="C12">
        <f>LISHX!K13</f>
        <v>86177</v>
      </c>
      <c r="D12">
        <f>LISHX!L13</f>
        <v>85215.3</v>
      </c>
      <c r="E12">
        <f>LISHX!M13</f>
        <v>85177.636658829637</v>
      </c>
      <c r="F12">
        <f>LISHX!N13</f>
        <v>85488.842357999369</v>
      </c>
      <c r="G12">
        <f>LISHX!O13</f>
        <v>85633.991076465973</v>
      </c>
      <c r="H12">
        <f>LISHX!P13</f>
        <v>85796.771492710337</v>
      </c>
      <c r="I12">
        <f>LISHX!Q13</f>
        <v>85971.270630406449</v>
      </c>
      <c r="J12">
        <f>LISHX!R13</f>
        <v>86149.016562550343</v>
      </c>
      <c r="K12">
        <f>LISHX!S13</f>
        <v>86355.623742731113</v>
      </c>
      <c r="L12">
        <f>LISHX!T13</f>
        <v>86578.029280335366</v>
      </c>
      <c r="M12">
        <f>LISHX!U13</f>
        <v>86813.897938253896</v>
      </c>
      <c r="N12">
        <f>LISHX!V13</f>
        <v>87063.206830234732</v>
      </c>
      <c r="O12">
        <f>LISHX!W13</f>
        <v>0</v>
      </c>
      <c r="P12">
        <f>LISHX!X13</f>
        <v>0</v>
      </c>
      <c r="Q12">
        <f>LISHX!Y13</f>
        <v>0</v>
      </c>
      <c r="R12">
        <f>LISHX!Z13</f>
        <v>0</v>
      </c>
      <c r="S12">
        <f>LISHX!AA13</f>
        <v>0</v>
      </c>
      <c r="T12">
        <f>LISHX!AB13</f>
        <v>0</v>
      </c>
    </row>
    <row r="13" spans="2:20" x14ac:dyDescent="0.15">
      <c r="B13" s="69" t="str">
        <f>LISHX!J14</f>
        <v>PER CAPITA FOOD DEMAND</v>
      </c>
      <c r="C13">
        <f>LISHX!K14</f>
        <v>207.12395432203201</v>
      </c>
      <c r="D13">
        <f>LISHX!L14</f>
        <v>203.45097398945219</v>
      </c>
      <c r="E13">
        <f>LISHX!M14</f>
        <v>202.00713539910495</v>
      </c>
      <c r="F13">
        <f>LISHX!N14</f>
        <v>200.65553530135909</v>
      </c>
      <c r="G13">
        <f>LISHX!O14</f>
        <v>199.40305682179178</v>
      </c>
      <c r="H13">
        <f>LISHX!P14</f>
        <v>198.25001638618554</v>
      </c>
      <c r="I13">
        <f>LISHX!Q14</f>
        <v>197.18116680044793</v>
      </c>
      <c r="J13">
        <f>LISHX!R14</f>
        <v>196.18835770399167</v>
      </c>
      <c r="K13">
        <f>LISHX!S14</f>
        <v>195.25516908412661</v>
      </c>
      <c r="L13">
        <f>LISHX!T14</f>
        <v>194.38207097842098</v>
      </c>
      <c r="M13">
        <f>LISHX!U14</f>
        <v>193.56299768489004</v>
      </c>
      <c r="N13">
        <f>LISHX!V14</f>
        <v>192.79424155784614</v>
      </c>
      <c r="O13">
        <f>LISHX!W14</f>
        <v>0</v>
      </c>
      <c r="P13">
        <f>LISHX!X14</f>
        <v>0</v>
      </c>
      <c r="Q13">
        <f>LISHX!Y14</f>
        <v>0</v>
      </c>
      <c r="R13">
        <f>LISHX!Z14</f>
        <v>0</v>
      </c>
      <c r="S13">
        <f>LISHX!AA14</f>
        <v>0</v>
      </c>
      <c r="T13">
        <f>LISHX!AB14</f>
        <v>0</v>
      </c>
    </row>
    <row r="14" spans="2:20" x14ac:dyDescent="0.15">
      <c r="B14" s="69" t="str">
        <f>LISHX!J15</f>
        <v>SEED DEMAND</v>
      </c>
      <c r="C14">
        <f>LISHX!K15</f>
        <v>1118.0902140601481</v>
      </c>
      <c r="D14">
        <f>LISHX!L15</f>
        <v>1138.4333324310867</v>
      </c>
      <c r="E14">
        <f>LISHX!M15</f>
        <v>1139.2731176138327</v>
      </c>
      <c r="F14">
        <f>LISHX!N15</f>
        <v>1140.1761136027842</v>
      </c>
      <c r="G14">
        <f>LISHX!O15</f>
        <v>1141.1424965216704</v>
      </c>
      <c r="H14">
        <f>LISHX!P15</f>
        <v>1142.1747823125379</v>
      </c>
      <c r="I14">
        <f>LISHX!Q15</f>
        <v>1143.3076085208806</v>
      </c>
      <c r="J14">
        <f>LISHX!R15</f>
        <v>1144.4991952192463</v>
      </c>
      <c r="K14">
        <f>LISHX!S15</f>
        <v>1145.748857128767</v>
      </c>
      <c r="L14">
        <f>LISHX!T15</f>
        <v>1147.0560051390576</v>
      </c>
      <c r="M14">
        <f>LISHX!U15</f>
        <v>1148.420096859476</v>
      </c>
      <c r="N14">
        <f>LISHX!V15</f>
        <v>1149.8406710179395</v>
      </c>
      <c r="O14">
        <f>LISHX!W15</f>
        <v>0</v>
      </c>
      <c r="P14">
        <f>LISHX!X15</f>
        <v>0</v>
      </c>
      <c r="Q14">
        <f>LISHX!Y15</f>
        <v>0</v>
      </c>
      <c r="R14">
        <f>LISHX!Z15</f>
        <v>0</v>
      </c>
      <c r="S14">
        <f>LISHX!AA15</f>
        <v>0</v>
      </c>
      <c r="T14">
        <f>LISHX!AB15</f>
        <v>0</v>
      </c>
    </row>
    <row r="15" spans="2:20" x14ac:dyDescent="0.15">
      <c r="B15" s="69" t="str">
        <f>LISHX!J16</f>
        <v>FEED DEMAND</v>
      </c>
      <c r="C15">
        <f>LISHX!K16</f>
        <v>23305.063706260691</v>
      </c>
      <c r="D15">
        <f>LISHX!L16</f>
        <v>26188.313096513</v>
      </c>
      <c r="E15">
        <f>LISHX!M16</f>
        <v>26225.433830787999</v>
      </c>
      <c r="F15">
        <f>LISHX!N16</f>
        <v>26223.936861341965</v>
      </c>
      <c r="G15">
        <f>LISHX!O16</f>
        <v>26256.312564411492</v>
      </c>
      <c r="H15">
        <f>LISHX!P16</f>
        <v>26303.92440565108</v>
      </c>
      <c r="I15">
        <f>LISHX!Q16</f>
        <v>26351.73148902076</v>
      </c>
      <c r="J15">
        <f>LISHX!R16</f>
        <v>26400.667144888863</v>
      </c>
      <c r="K15">
        <f>LISHX!S16</f>
        <v>26452.039073454525</v>
      </c>
      <c r="L15">
        <f>LISHX!T16</f>
        <v>26505.718147290056</v>
      </c>
      <c r="M15">
        <f>LISHX!U16</f>
        <v>26561.653765992854</v>
      </c>
      <c r="N15">
        <f>LISHX!V16</f>
        <v>26619.773923627414</v>
      </c>
      <c r="O15">
        <f>LISHX!W16</f>
        <v>0</v>
      </c>
      <c r="P15">
        <f>LISHX!X16</f>
        <v>0</v>
      </c>
      <c r="Q15">
        <f>LISHX!Y16</f>
        <v>0</v>
      </c>
      <c r="R15">
        <f>LISHX!Z16</f>
        <v>0</v>
      </c>
      <c r="S15">
        <f>LISHX!AA16</f>
        <v>0</v>
      </c>
      <c r="T15">
        <f>LISHX!AB16</f>
        <v>0</v>
      </c>
    </row>
    <row r="16" spans="2:20" x14ac:dyDescent="0.15">
      <c r="B16" s="69" t="str">
        <f>LISHX!J17</f>
        <v>PROCESSING DEMAND</v>
      </c>
      <c r="C16">
        <f>LISHX!K17</f>
        <v>12831.670320315839</v>
      </c>
      <c r="D16">
        <f>LISHX!L17</f>
        <v>12317.699403780631</v>
      </c>
      <c r="E16">
        <f>LISHX!M17</f>
        <v>12581.525452904592</v>
      </c>
      <c r="F16">
        <f>LISHX!N17</f>
        <v>12853.773478996694</v>
      </c>
      <c r="G16">
        <f>LISHX!O17</f>
        <v>13128.923370772853</v>
      </c>
      <c r="H16">
        <f>LISHX!P17</f>
        <v>13408.240357325796</v>
      </c>
      <c r="I16">
        <f>LISHX!Q17</f>
        <v>13695.423257406312</v>
      </c>
      <c r="J16">
        <f>LISHX!R17</f>
        <v>13985.947521785518</v>
      </c>
      <c r="K16">
        <f>LISHX!S17</f>
        <v>14281.782538849771</v>
      </c>
      <c r="L16">
        <f>LISHX!T17</f>
        <v>14584.757691726678</v>
      </c>
      <c r="M16">
        <f>LISHX!U17</f>
        <v>14893.785229892937</v>
      </c>
      <c r="N16">
        <f>LISHX!V17</f>
        <v>15209.019490413941</v>
      </c>
      <c r="O16">
        <f>LISHX!W17</f>
        <v>0</v>
      </c>
      <c r="P16">
        <f>LISHX!X17</f>
        <v>0</v>
      </c>
      <c r="Q16">
        <f>LISHX!Y17</f>
        <v>0</v>
      </c>
      <c r="R16">
        <f>LISHX!Z17</f>
        <v>0</v>
      </c>
      <c r="S16">
        <f>LISHX!AA17</f>
        <v>0</v>
      </c>
      <c r="T16">
        <f>LISHX!AB17</f>
        <v>0</v>
      </c>
    </row>
    <row r="17" spans="2:20" x14ac:dyDescent="0.15">
      <c r="B17" s="69" t="str">
        <f>LISHX!J18</f>
        <v>CRUSH DEMAND</v>
      </c>
      <c r="C17">
        <f>LISHX!K18</f>
        <v>10240</v>
      </c>
      <c r="D17">
        <f>LISHX!L18</f>
        <v>10650</v>
      </c>
      <c r="E17">
        <f>LISHX!M18</f>
        <v>10423.10757607533</v>
      </c>
      <c r="F17">
        <f>LISHX!N18</f>
        <v>10418.995152139289</v>
      </c>
      <c r="G17">
        <f>LISHX!O18</f>
        <v>10447.838297179367</v>
      </c>
      <c r="H17">
        <f>LISHX!P18</f>
        <v>10492.532085794348</v>
      </c>
      <c r="I17">
        <f>LISHX!Q18</f>
        <v>10537.433509895269</v>
      </c>
      <c r="J17">
        <f>LISHX!R18</f>
        <v>10582.902774406246</v>
      </c>
      <c r="K17">
        <f>LISHX!S18</f>
        <v>10629.463245094987</v>
      </c>
      <c r="L17">
        <f>LISHX!T18</f>
        <v>10677.06672055142</v>
      </c>
      <c r="M17">
        <f>LISHX!U18</f>
        <v>10725.696184794591</v>
      </c>
      <c r="N17">
        <f>LISHX!V18</f>
        <v>10775.325642619937</v>
      </c>
      <c r="O17">
        <f>LISHX!W18</f>
        <v>0</v>
      </c>
      <c r="P17">
        <f>LISHX!X18</f>
        <v>0</v>
      </c>
      <c r="Q17">
        <f>LISHX!Y18</f>
        <v>0</v>
      </c>
      <c r="R17">
        <f>LISHX!Z18</f>
        <v>0</v>
      </c>
      <c r="S17">
        <f>LISHX!AA18</f>
        <v>0</v>
      </c>
      <c r="T17">
        <f>LISHX!AB18</f>
        <v>0</v>
      </c>
    </row>
    <row r="18" spans="2:20" x14ac:dyDescent="0.15">
      <c r="B18" s="69" t="str">
        <f>LISHX!J19</f>
        <v>WASTE DEMAND</v>
      </c>
      <c r="C18">
        <f>LISHX!K19</f>
        <v>3251.4002410601474</v>
      </c>
      <c r="D18">
        <f>LISHX!L19</f>
        <v>3184.7093324310868</v>
      </c>
      <c r="E18">
        <f>LISHX!M19</f>
        <v>3203.1731931276099</v>
      </c>
      <c r="F18">
        <f>LISHX!N19</f>
        <v>3222.117388476187</v>
      </c>
      <c r="G18">
        <f>LISHX!O19</f>
        <v>3241.7154374275297</v>
      </c>
      <c r="H18">
        <f>LISHX!P19</f>
        <v>3261.8479636096395</v>
      </c>
      <c r="I18">
        <f>LISHX!Q19</f>
        <v>3282.6856114835009</v>
      </c>
      <c r="J18">
        <f>LISHX!R19</f>
        <v>3300.7634783197173</v>
      </c>
      <c r="K18">
        <f>LISHX!S19</f>
        <v>3319.3538946417307</v>
      </c>
      <c r="L18">
        <f>LISHX!T19</f>
        <v>3338.5140804482094</v>
      </c>
      <c r="M18">
        <f>LISHX!U19</f>
        <v>3358.2699734678727</v>
      </c>
      <c r="N18">
        <f>LISHX!V19</f>
        <v>3378.6583714828043</v>
      </c>
      <c r="O18">
        <f>LISHX!W19</f>
        <v>0</v>
      </c>
      <c r="P18">
        <f>LISHX!X19</f>
        <v>0</v>
      </c>
      <c r="Q18">
        <f>LISHX!Y19</f>
        <v>0</v>
      </c>
      <c r="R18">
        <f>LISHX!Z19</f>
        <v>0</v>
      </c>
      <c r="S18">
        <f>LISHX!AA19</f>
        <v>0</v>
      </c>
      <c r="T18">
        <f>LISHX!AB19</f>
        <v>0</v>
      </c>
    </row>
    <row r="19" spans="2:20" x14ac:dyDescent="0.15">
      <c r="B19" s="69" t="str">
        <f>LISHX!J20</f>
        <v>OTHER DEMAND</v>
      </c>
      <c r="C19">
        <f>LISHX!K20</f>
        <v>0.74711299999992198</v>
      </c>
      <c r="D19">
        <f>LISHX!L20</f>
        <v>1.8353650000000099</v>
      </c>
      <c r="E19">
        <f>LISHX!M20</f>
        <v>1.8359945228635308</v>
      </c>
      <c r="F19">
        <f>LISHX!N20</f>
        <v>1.8366581611165886</v>
      </c>
      <c r="G19">
        <f>LISHX!O20</f>
        <v>1.8373812831810019</v>
      </c>
      <c r="H19">
        <f>LISHX!P20</f>
        <v>1.8382276658906154</v>
      </c>
      <c r="I19">
        <f>LISHX!Q20</f>
        <v>1.839144789934658</v>
      </c>
      <c r="J19">
        <f>LISHX!R20</f>
        <v>1.839916877886234</v>
      </c>
      <c r="K19">
        <f>LISHX!S20</f>
        <v>1.8405763223571585</v>
      </c>
      <c r="L19">
        <f>LISHX!T20</f>
        <v>1.8411687849239486</v>
      </c>
      <c r="M19">
        <f>LISHX!U20</f>
        <v>1.8417162678676675</v>
      </c>
      <c r="N19">
        <f>LISHX!V20</f>
        <v>1.8422470607488703</v>
      </c>
      <c r="O19">
        <f>LISHX!W20</f>
        <v>0</v>
      </c>
      <c r="P19">
        <f>LISHX!X20</f>
        <v>0</v>
      </c>
      <c r="Q19">
        <f>LISHX!Y20</f>
        <v>0</v>
      </c>
      <c r="R19">
        <f>LISHX!Z20</f>
        <v>0</v>
      </c>
      <c r="S19">
        <f>LISHX!AA20</f>
        <v>0</v>
      </c>
      <c r="T19">
        <f>LISHX!AB20</f>
        <v>0</v>
      </c>
    </row>
    <row r="23" spans="2:20" x14ac:dyDescent="0.15">
      <c r="B23" t="s">
        <v>72</v>
      </c>
    </row>
    <row r="24" spans="2:20" x14ac:dyDescent="0.15">
      <c r="B24">
        <f>RICEX!J6</f>
        <v>0</v>
      </c>
      <c r="C24" s="69" t="str">
        <f>RICEX!K6</f>
        <v>BASE</v>
      </c>
      <c r="D24" s="69" t="str">
        <f>RICEX!L6</f>
        <v>BASE</v>
      </c>
      <c r="E24" s="69" t="str">
        <f>RICEX!M6</f>
        <v>BASE</v>
      </c>
      <c r="F24" s="69" t="str">
        <f>RICEX!N6</f>
        <v>BASE</v>
      </c>
      <c r="G24" s="69" t="str">
        <f>RICEX!O6</f>
        <v>BASE</v>
      </c>
      <c r="H24" s="69" t="str">
        <f>RICEX!P6</f>
        <v>BASE</v>
      </c>
      <c r="I24" s="69" t="str">
        <f>RICEX!Q6</f>
        <v>BASE</v>
      </c>
      <c r="J24" s="69" t="str">
        <f>RICEX!R6</f>
        <v>BASE</v>
      </c>
      <c r="K24" s="69" t="str">
        <f>RICEX!S6</f>
        <v>BASE</v>
      </c>
      <c r="L24" s="69" t="str">
        <f>RICEX!T6</f>
        <v>BASE</v>
      </c>
      <c r="M24" s="69" t="str">
        <f>RICEX!U6</f>
        <v>BASE</v>
      </c>
      <c r="N24" s="69" t="str">
        <f>RICEX!V6</f>
        <v>BASE</v>
      </c>
      <c r="O24">
        <f>RICEX!W6</f>
        <v>0</v>
      </c>
      <c r="P24">
        <f>RICEX!X6</f>
        <v>0</v>
      </c>
      <c r="Q24">
        <f>RICEX!Y6</f>
        <v>0</v>
      </c>
      <c r="R24">
        <f>RICEX!Z6</f>
        <v>0</v>
      </c>
      <c r="S24">
        <f>RICEX!AA6</f>
        <v>0</v>
      </c>
      <c r="T24">
        <f>RICEX!AB6</f>
        <v>0</v>
      </c>
    </row>
    <row r="25" spans="2:20" x14ac:dyDescent="0.15">
      <c r="B25">
        <f>RICEX!J7</f>
        <v>0</v>
      </c>
      <c r="C25" s="69" t="str">
        <f>RICEX!K7</f>
        <v>2024</v>
      </c>
      <c r="D25" s="69" t="str">
        <f>RICEX!L7</f>
        <v>2025</v>
      </c>
      <c r="E25" s="69" t="str">
        <f>RICEX!M7</f>
        <v>2026</v>
      </c>
      <c r="F25" s="69" t="str">
        <f>RICEX!N7</f>
        <v>2027</v>
      </c>
      <c r="G25" s="69" t="str">
        <f>RICEX!O7</f>
        <v>2028</v>
      </c>
      <c r="H25" s="69" t="str">
        <f>RICEX!P7</f>
        <v>2029</v>
      </c>
      <c r="I25" s="69" t="str">
        <f>RICEX!Q7</f>
        <v>2030</v>
      </c>
      <c r="J25" s="69" t="str">
        <f>RICEX!R7</f>
        <v>2031</v>
      </c>
      <c r="K25" s="69" t="str">
        <f>RICEX!S7</f>
        <v>2032</v>
      </c>
      <c r="L25" s="69" t="str">
        <f>RICEX!T7</f>
        <v>2033</v>
      </c>
      <c r="M25" s="69" t="str">
        <f>RICEX!U7</f>
        <v>2034</v>
      </c>
      <c r="N25" s="69" t="str">
        <f>RICEX!V7</f>
        <v>2035</v>
      </c>
      <c r="O25">
        <f>RICEX!W7</f>
        <v>0</v>
      </c>
      <c r="P25">
        <f>RICEX!X7</f>
        <v>0</v>
      </c>
      <c r="Q25">
        <f>RICEX!Y7</f>
        <v>0</v>
      </c>
      <c r="R25">
        <f>RICEX!Z7</f>
        <v>0</v>
      </c>
      <c r="S25">
        <f>RICEX!AA7</f>
        <v>0</v>
      </c>
      <c r="T25">
        <f>RICEX!AB7</f>
        <v>0</v>
      </c>
    </row>
    <row r="26" spans="2:20" x14ac:dyDescent="0.15">
      <c r="B26" s="69" t="str">
        <f>RICEX!J8</f>
        <v>AREA</v>
      </c>
      <c r="C26">
        <f>RICEX!K8</f>
        <v>2900.6900000000005</v>
      </c>
      <c r="D26">
        <f>RICEX!L8</f>
        <v>2901.2200000000003</v>
      </c>
      <c r="E26">
        <f>RICEX!M8</f>
        <v>2899.6812149031271</v>
      </c>
      <c r="F26">
        <f>RICEX!N8</f>
        <v>2898.2505014009034</v>
      </c>
      <c r="G26">
        <f>RICEX!O8</f>
        <v>2896.8979048230854</v>
      </c>
      <c r="H26">
        <f>RICEX!P8</f>
        <v>2895.4794344445663</v>
      </c>
      <c r="I26">
        <f>RICEX!Q8</f>
        <v>2894.0518414017288</v>
      </c>
      <c r="J26">
        <f>RICEX!R8</f>
        <v>2892.6961383917169</v>
      </c>
      <c r="K26">
        <f>RICEX!S8</f>
        <v>2891.4086810084445</v>
      </c>
      <c r="L26">
        <f>RICEX!T8</f>
        <v>2890.1860119521461</v>
      </c>
      <c r="M26">
        <f>RICEX!U8</f>
        <v>2889.0248511947575</v>
      </c>
      <c r="N26">
        <f>RICEX!V8</f>
        <v>2887.9220866842011</v>
      </c>
      <c r="O26">
        <f>RICEX!W8</f>
        <v>0</v>
      </c>
      <c r="P26">
        <f>RICEX!X8</f>
        <v>0</v>
      </c>
      <c r="Q26">
        <f>RICEX!Y8</f>
        <v>0</v>
      </c>
      <c r="R26">
        <f>RICEX!Z8</f>
        <v>0</v>
      </c>
      <c r="S26">
        <f>RICEX!AA8</f>
        <v>0</v>
      </c>
      <c r="T26">
        <f>RICEX!AB8</f>
        <v>0</v>
      </c>
    </row>
    <row r="27" spans="2:20" x14ac:dyDescent="0.15">
      <c r="B27" s="69" t="str">
        <f>RICEX!J9</f>
        <v>YIELD</v>
      </c>
      <c r="C27">
        <f>RICEX!K9</f>
        <v>7154.6769906470518</v>
      </c>
      <c r="D27">
        <f>RICEX!L9</f>
        <v>7205.2791584230072</v>
      </c>
      <c r="E27">
        <f>RICEX!M9</f>
        <v>7229.9165859237701</v>
      </c>
      <c r="F27">
        <f>RICEX!N9</f>
        <v>7254.7175187930297</v>
      </c>
      <c r="G27">
        <f>RICEX!O9</f>
        <v>7279.7222803711657</v>
      </c>
      <c r="H27">
        <f>RICEX!P9</f>
        <v>7304.8593907675322</v>
      </c>
      <c r="I27">
        <f>RICEX!Q9</f>
        <v>7330.1534001438231</v>
      </c>
      <c r="J27">
        <f>RICEX!R9</f>
        <v>7355.6305214415015</v>
      </c>
      <c r="K27">
        <f>RICEX!S9</f>
        <v>7381.3127447788602</v>
      </c>
      <c r="L27">
        <f>RICEX!T9</f>
        <v>7407.2362244496853</v>
      </c>
      <c r="M27">
        <f>RICEX!U9</f>
        <v>7433.4142372032902</v>
      </c>
      <c r="N27">
        <f>RICEX!V9</f>
        <v>7459.8671140871984</v>
      </c>
      <c r="O27">
        <f>RICEX!W9</f>
        <v>0</v>
      </c>
      <c r="P27">
        <f>RICEX!X9</f>
        <v>0</v>
      </c>
      <c r="Q27">
        <f>RICEX!Y9</f>
        <v>0</v>
      </c>
      <c r="R27">
        <f>RICEX!Z9</f>
        <v>0</v>
      </c>
      <c r="S27">
        <f>RICEX!AA9</f>
        <v>0</v>
      </c>
      <c r="T27">
        <f>RICEX!AB9</f>
        <v>0</v>
      </c>
    </row>
    <row r="28" spans="2:20" x14ac:dyDescent="0.15">
      <c r="B28" s="69" t="str">
        <f>RICEX!J10</f>
        <v>TOTAL SUPPLY</v>
      </c>
      <c r="C28">
        <f>RICEX!K10</f>
        <v>20832.07</v>
      </c>
      <c r="D28">
        <f>RICEX!L10</f>
        <v>21106.959999999999</v>
      </c>
      <c r="E28">
        <f>RICEX!M10</f>
        <v>21304.815112930191</v>
      </c>
      <c r="F28">
        <f>RICEX!N10</f>
        <v>21345.04727465317</v>
      </c>
      <c r="G28">
        <f>RICEX!O10</f>
        <v>21349.459408066421</v>
      </c>
      <c r="H28">
        <f>RICEX!P10</f>
        <v>21361.983389438745</v>
      </c>
      <c r="I28">
        <f>RICEX!Q10</f>
        <v>21382.975123475517</v>
      </c>
      <c r="J28">
        <f>RICEX!R10</f>
        <v>21410.922773792794</v>
      </c>
      <c r="K28">
        <f>RICEX!S10</f>
        <v>21452.909948599197</v>
      </c>
      <c r="L28">
        <f>RICEX!T10</f>
        <v>21502.318764166557</v>
      </c>
      <c r="M28">
        <f>RICEX!U10</f>
        <v>21558.870023675547</v>
      </c>
      <c r="N28">
        <f>RICEX!V10</f>
        <v>21623.09761458818</v>
      </c>
      <c r="O28">
        <f>RICEX!W10</f>
        <v>0</v>
      </c>
      <c r="P28">
        <f>RICEX!X10</f>
        <v>0</v>
      </c>
      <c r="Q28">
        <f>RICEX!Y10</f>
        <v>0</v>
      </c>
      <c r="R28">
        <f>RICEX!Z10</f>
        <v>0</v>
      </c>
      <c r="S28">
        <f>RICEX!AA10</f>
        <v>0</v>
      </c>
      <c r="T28">
        <f>RICEX!AB10</f>
        <v>0</v>
      </c>
    </row>
    <row r="29" spans="2:20" x14ac:dyDescent="0.15">
      <c r="B29" s="69" t="str">
        <f>RICEX!J11</f>
        <v>PRODUCTION</v>
      </c>
      <c r="C29">
        <f>RICEX!K11</f>
        <v>20753.5</v>
      </c>
      <c r="D29">
        <f>RICEX!L11</f>
        <v>20904.099999999999</v>
      </c>
      <c r="E29">
        <f>RICEX!M11</f>
        <v>20964.453309519711</v>
      </c>
      <c r="F29">
        <f>RICEX!N11</f>
        <v>21025.988686363813</v>
      </c>
      <c r="G29">
        <f>RICEX!O11</f>
        <v>21088.612221701173</v>
      </c>
      <c r="H29">
        <f>RICEX!P11</f>
        <v>21151.070137476654</v>
      </c>
      <c r="I29">
        <f>RICEX!Q11</f>
        <v>21213.843945443372</v>
      </c>
      <c r="J29">
        <f>RICEX!R11</f>
        <v>21277.604004810088</v>
      </c>
      <c r="K29">
        <f>RICEX!S11</f>
        <v>21342.391747491871</v>
      </c>
      <c r="L29">
        <f>RICEX!T11</f>
        <v>21408.290523129712</v>
      </c>
      <c r="M29">
        <f>RICEX!U11</f>
        <v>21475.318460505227</v>
      </c>
      <c r="N29">
        <f>RICEX!V11</f>
        <v>21543.51500250155</v>
      </c>
      <c r="O29">
        <f>RICEX!W11</f>
        <v>0</v>
      </c>
      <c r="P29">
        <f>RICEX!X11</f>
        <v>0</v>
      </c>
      <c r="Q29">
        <f>RICEX!Y11</f>
        <v>0</v>
      </c>
      <c r="R29">
        <f>RICEX!Z11</f>
        <v>0</v>
      </c>
      <c r="S29">
        <f>RICEX!AA11</f>
        <v>0</v>
      </c>
      <c r="T29">
        <f>RICEX!AB11</f>
        <v>0</v>
      </c>
    </row>
    <row r="30" spans="2:20" x14ac:dyDescent="0.15">
      <c r="B30" s="69" t="str">
        <f>RICEX!J12</f>
        <v>NET IMPORT</v>
      </c>
      <c r="C30">
        <f>RICEX!K12</f>
        <v>78.569999999999993</v>
      </c>
      <c r="D30">
        <f>RICEX!L12</f>
        <v>202.85999999999999</v>
      </c>
      <c r="E30">
        <f>RICEX!M12</f>
        <v>340.36180341047896</v>
      </c>
      <c r="F30">
        <f>RICEX!N12</f>
        <v>319.05858828935743</v>
      </c>
      <c r="G30">
        <f>RICEX!O12</f>
        <v>260.84718636524985</v>
      </c>
      <c r="H30">
        <f>RICEX!P12</f>
        <v>210.91325196209155</v>
      </c>
      <c r="I30">
        <f>RICEX!Q12</f>
        <v>169.13117803214305</v>
      </c>
      <c r="J30">
        <f>RICEX!R12</f>
        <v>133.31876898270639</v>
      </c>
      <c r="K30">
        <f>RICEX!S12</f>
        <v>110.5182011073266</v>
      </c>
      <c r="L30">
        <f>RICEX!T12</f>
        <v>94.028241036845316</v>
      </c>
      <c r="M30">
        <f>RICEX!U12</f>
        <v>83.551563170320151</v>
      </c>
      <c r="N30">
        <f>RICEX!V12</f>
        <v>79.582612086629524</v>
      </c>
      <c r="O30">
        <f>RICEX!W12</f>
        <v>0</v>
      </c>
      <c r="P30">
        <f>RICEX!X12</f>
        <v>0</v>
      </c>
      <c r="Q30">
        <f>RICEX!Y12</f>
        <v>0</v>
      </c>
      <c r="R30">
        <f>RICEX!Z12</f>
        <v>0</v>
      </c>
      <c r="S30">
        <f>RICEX!AA12</f>
        <v>0</v>
      </c>
      <c r="T30">
        <f>RICEX!AB12</f>
        <v>0</v>
      </c>
    </row>
    <row r="31" spans="2:20" x14ac:dyDescent="0.15">
      <c r="B31" s="69" t="str">
        <f>RICEX!J13</f>
        <v>TOTAL DEMAND</v>
      </c>
      <c r="C31">
        <f>RICEX!K13</f>
        <v>20832.07</v>
      </c>
      <c r="D31">
        <f>RICEX!L13</f>
        <v>21106.959999999999</v>
      </c>
      <c r="E31">
        <f>RICEX!M13</f>
        <v>21304.815112930191</v>
      </c>
      <c r="F31">
        <f>RICEX!N13</f>
        <v>21345.04727465317</v>
      </c>
      <c r="G31">
        <f>RICEX!O13</f>
        <v>21349.459408066421</v>
      </c>
      <c r="H31">
        <f>RICEX!P13</f>
        <v>21361.983389438745</v>
      </c>
      <c r="I31">
        <f>RICEX!Q13</f>
        <v>21382.975123475517</v>
      </c>
      <c r="J31">
        <f>RICEX!R13</f>
        <v>21410.922773792794</v>
      </c>
      <c r="K31">
        <f>RICEX!S13</f>
        <v>21452.909948599197</v>
      </c>
      <c r="L31">
        <f>RICEX!T13</f>
        <v>21502.318764166554</v>
      </c>
      <c r="M31">
        <f>RICEX!U13</f>
        <v>21558.870023675547</v>
      </c>
      <c r="N31">
        <f>RICEX!V13</f>
        <v>21623.09761458818</v>
      </c>
      <c r="O31">
        <f>RICEX!W13</f>
        <v>0</v>
      </c>
      <c r="P31">
        <f>RICEX!X13</f>
        <v>0</v>
      </c>
      <c r="Q31">
        <f>RICEX!Y13</f>
        <v>0</v>
      </c>
      <c r="R31">
        <f>RICEX!Z13</f>
        <v>0</v>
      </c>
      <c r="S31">
        <f>RICEX!AA13</f>
        <v>0</v>
      </c>
      <c r="T31">
        <f>RICEX!AB13</f>
        <v>0</v>
      </c>
    </row>
    <row r="32" spans="2:20" x14ac:dyDescent="0.15">
      <c r="B32" s="69" t="str">
        <f>RICEX!J14</f>
        <v>PER CAPITA FOOD DEMAND</v>
      </c>
      <c r="C32">
        <f>RICEX!K14</f>
        <v>111.12846877041497</v>
      </c>
      <c r="D32">
        <f>RICEX!L14</f>
        <v>110.68482229925475</v>
      </c>
      <c r="E32">
        <f>RICEX!M14</f>
        <v>109.77017489505117</v>
      </c>
      <c r="F32">
        <f>RICEX!N14</f>
        <v>108.90481363493572</v>
      </c>
      <c r="G32">
        <f>RICEX!O14</f>
        <v>108.09710174261306</v>
      </c>
      <c r="H32">
        <f>RICEX!P14</f>
        <v>107.35248350805092</v>
      </c>
      <c r="I32">
        <f>RICEX!Q14</f>
        <v>106.66086143697841</v>
      </c>
      <c r="J32">
        <f>RICEX!R14</f>
        <v>106.01542395635514</v>
      </c>
      <c r="K32">
        <f>RICEX!S14</f>
        <v>105.40338540075338</v>
      </c>
      <c r="L32">
        <f>RICEX!T14</f>
        <v>104.8268525269286</v>
      </c>
      <c r="M32">
        <f>RICEX!U14</f>
        <v>104.28235564482925</v>
      </c>
      <c r="N32">
        <f>RICEX!V14</f>
        <v>103.76790160383962</v>
      </c>
      <c r="O32">
        <f>RICEX!W14</f>
        <v>0</v>
      </c>
      <c r="P32">
        <f>RICEX!X14</f>
        <v>0</v>
      </c>
      <c r="Q32">
        <f>RICEX!Y14</f>
        <v>0</v>
      </c>
      <c r="R32">
        <f>RICEX!Z14</f>
        <v>0</v>
      </c>
      <c r="S32">
        <f>RICEX!AA14</f>
        <v>0</v>
      </c>
      <c r="T32">
        <f>RICEX!AB14</f>
        <v>0</v>
      </c>
    </row>
    <row r="33" spans="2:20" x14ac:dyDescent="0.15">
      <c r="B33" s="69" t="str">
        <f>RICEX!J15</f>
        <v>SEED DEMAND</v>
      </c>
      <c r="C33">
        <f>RICEX!K15</f>
        <v>141</v>
      </c>
      <c r="D33">
        <f>RICEX!L15</f>
        <v>142</v>
      </c>
      <c r="E33">
        <f>RICEX!M15</f>
        <v>141.92468427635407</v>
      </c>
      <c r="F33">
        <f>RICEX!N15</f>
        <v>141.85465810897767</v>
      </c>
      <c r="G33">
        <f>RICEX!O15</f>
        <v>141.78845536873391</v>
      </c>
      <c r="H33">
        <f>RICEX!P15</f>
        <v>141.71902844014878</v>
      </c>
      <c r="I33">
        <f>RICEX!Q15</f>
        <v>141.64915500342801</v>
      </c>
      <c r="J33">
        <f>RICEX!R15</f>
        <v>141.58280021908845</v>
      </c>
      <c r="K33">
        <f>RICEX!S15</f>
        <v>141.51978571194158</v>
      </c>
      <c r="L33">
        <f>RICEX!T15</f>
        <v>141.45994226470407</v>
      </c>
      <c r="M33">
        <f>RICEX!U15</f>
        <v>141.40310933664307</v>
      </c>
      <c r="N33">
        <f>RICEX!V15</f>
        <v>141.34913460859792</v>
      </c>
      <c r="O33">
        <f>RICEX!W15</f>
        <v>0</v>
      </c>
      <c r="P33">
        <f>RICEX!X15</f>
        <v>0</v>
      </c>
      <c r="Q33">
        <f>RICEX!Y15</f>
        <v>0</v>
      </c>
      <c r="R33">
        <f>RICEX!Z15</f>
        <v>0</v>
      </c>
      <c r="S33">
        <f>RICEX!AA15</f>
        <v>0</v>
      </c>
      <c r="T33">
        <f>RICEX!AB15</f>
        <v>0</v>
      </c>
    </row>
    <row r="34" spans="2:20" x14ac:dyDescent="0.15">
      <c r="B34" s="69" t="str">
        <f>RICEX!J16</f>
        <v>FEED DEMAND</v>
      </c>
      <c r="C34">
        <f>RICEX!K16</f>
        <v>1069.8599999999999</v>
      </c>
      <c r="D34">
        <f>RICEX!L16</f>
        <v>863.84</v>
      </c>
      <c r="E34">
        <f>RICEX!M16</f>
        <v>860.54281960987794</v>
      </c>
      <c r="F34">
        <f>RICEX!N16</f>
        <v>858.98195542374526</v>
      </c>
      <c r="G34">
        <f>RICEX!O16</f>
        <v>857.41668811386023</v>
      </c>
      <c r="H34">
        <f>RICEX!P16</f>
        <v>855.64637061745066</v>
      </c>
      <c r="I34">
        <f>RICEX!Q16</f>
        <v>853.74897065211871</v>
      </c>
      <c r="J34">
        <f>RICEX!R16</f>
        <v>851.77799969126522</v>
      </c>
      <c r="K34">
        <f>RICEX!S16</f>
        <v>849.84737285358904</v>
      </c>
      <c r="L34">
        <f>RICEX!T16</f>
        <v>847.95216423112311</v>
      </c>
      <c r="M34">
        <f>RICEX!U16</f>
        <v>846.09007712956259</v>
      </c>
      <c r="N34">
        <f>RICEX!V16</f>
        <v>844.25814244165747</v>
      </c>
      <c r="O34">
        <f>RICEX!W16</f>
        <v>0</v>
      </c>
      <c r="P34">
        <f>RICEX!X16</f>
        <v>0</v>
      </c>
      <c r="Q34">
        <f>RICEX!Y16</f>
        <v>0</v>
      </c>
      <c r="R34">
        <f>RICEX!Z16</f>
        <v>0</v>
      </c>
      <c r="S34">
        <f>RICEX!AA16</f>
        <v>0</v>
      </c>
      <c r="T34">
        <f>RICEX!AB16</f>
        <v>0</v>
      </c>
    </row>
    <row r="35" spans="2:20" x14ac:dyDescent="0.15">
      <c r="B35" s="69" t="str">
        <f>RICEX!J17</f>
        <v>PROCESSING DEMAND</v>
      </c>
      <c r="C35">
        <f>RICEX!K17</f>
        <v>1780</v>
      </c>
      <c r="D35">
        <f>RICEX!L17</f>
        <v>1800</v>
      </c>
      <c r="E35">
        <f>RICEX!M17</f>
        <v>1907.7131220857254</v>
      </c>
      <c r="F35">
        <f>RICEX!N17</f>
        <v>2021.3924168947869</v>
      </c>
      <c r="G35">
        <f>RICEX!O17</f>
        <v>2140.1373766931451</v>
      </c>
      <c r="H35">
        <f>RICEX!P17</f>
        <v>2264.3502095539725</v>
      </c>
      <c r="I35">
        <f>RICEX!Q17</f>
        <v>2394.9644399013018</v>
      </c>
      <c r="J35">
        <f>RICEX!R17</f>
        <v>2531.1207022469994</v>
      </c>
      <c r="K35">
        <f>RICEX!S17</f>
        <v>2673.341305250377</v>
      </c>
      <c r="L35">
        <f>RICEX!T17</f>
        <v>2822.2363144934125</v>
      </c>
      <c r="M35">
        <f>RICEX!U17</f>
        <v>2977.6985866927193</v>
      </c>
      <c r="N35">
        <f>RICEX!V17</f>
        <v>3139.8999903508429</v>
      </c>
      <c r="O35">
        <f>RICEX!W17</f>
        <v>0</v>
      </c>
      <c r="P35">
        <f>RICEX!X17</f>
        <v>0</v>
      </c>
      <c r="Q35">
        <f>RICEX!Y17</f>
        <v>0</v>
      </c>
      <c r="R35">
        <f>RICEX!Z17</f>
        <v>0</v>
      </c>
      <c r="S35">
        <f>RICEX!AA17</f>
        <v>0</v>
      </c>
      <c r="T35">
        <f>RICEX!AB17</f>
        <v>0</v>
      </c>
    </row>
    <row r="36" spans="2:20" x14ac:dyDescent="0.15">
      <c r="B36" s="69" t="str">
        <f>RICEX!J18</f>
        <v>WASTE DEMAND</v>
      </c>
      <c r="C36">
        <f>RICEX!K18</f>
        <v>830.14</v>
      </c>
      <c r="D36">
        <f>RICEX!L18</f>
        <v>836.16399999999999</v>
      </c>
      <c r="E36">
        <f>RICEX!M18</f>
        <v>838.57813238078847</v>
      </c>
      <c r="F36">
        <f>RICEX!N18</f>
        <v>841.03954745455258</v>
      </c>
      <c r="G36">
        <f>RICEX!O18</f>
        <v>843.54448886804687</v>
      </c>
      <c r="H36">
        <f>RICEX!P18</f>
        <v>846.04280549906616</v>
      </c>
      <c r="I36">
        <f>RICEX!Q18</f>
        <v>848.55375781773489</v>
      </c>
      <c r="J36">
        <f>RICEX!R18</f>
        <v>851.10416019240358</v>
      </c>
      <c r="K36">
        <f>RICEX!S18</f>
        <v>853.69566989967495</v>
      </c>
      <c r="L36">
        <f>RICEX!T18</f>
        <v>856.33162092518853</v>
      </c>
      <c r="M36">
        <f>RICEX!U18</f>
        <v>859.01273842020908</v>
      </c>
      <c r="N36">
        <f>RICEX!V18</f>
        <v>861.74060010006201</v>
      </c>
      <c r="O36">
        <f>RICEX!W18</f>
        <v>0</v>
      </c>
      <c r="P36">
        <f>RICEX!X18</f>
        <v>0</v>
      </c>
      <c r="Q36">
        <f>RICEX!Y18</f>
        <v>0</v>
      </c>
      <c r="R36">
        <f>RICEX!Z18</f>
        <v>0</v>
      </c>
      <c r="S36">
        <f>RICEX!AA18</f>
        <v>0</v>
      </c>
      <c r="T36">
        <f>RICEX!AB18</f>
        <v>0</v>
      </c>
    </row>
    <row r="37" spans="2:20" x14ac:dyDescent="0.15">
      <c r="B37" s="69" t="str">
        <f>RICEX!J19</f>
        <v>STOCK CHANGE</v>
      </c>
      <c r="C37">
        <f>RICEX!K19</f>
        <v>1361.07</v>
      </c>
      <c r="D37">
        <f>RICEX!L19</f>
        <v>1914.9559999999999</v>
      </c>
      <c r="E37">
        <f>RICEX!M19</f>
        <v>2150.9429408584342</v>
      </c>
      <c r="F37">
        <f>RICEX!N19</f>
        <v>2221.9741345001403</v>
      </c>
      <c r="G37">
        <f>RICEX!O19</f>
        <v>2250.8779541343597</v>
      </c>
      <c r="H37">
        <f>RICEX!P19</f>
        <v>2280.119798689384</v>
      </c>
      <c r="I37">
        <f>RICEX!Q19</f>
        <v>2309.7557865695667</v>
      </c>
      <c r="J37">
        <f>RICEX!R19</f>
        <v>2339.86493875629</v>
      </c>
      <c r="K37">
        <f>RICEX!S19</f>
        <v>2370.45944126732</v>
      </c>
      <c r="L37">
        <f>RICEX!T19</f>
        <v>2401.5564816857691</v>
      </c>
      <c r="M37">
        <f>RICEX!U19</f>
        <v>2433.166351664785</v>
      </c>
      <c r="N37">
        <f>RICEX!V19</f>
        <v>2465.3019910296334</v>
      </c>
      <c r="O37">
        <f>RICEX!W19</f>
        <v>0</v>
      </c>
      <c r="P37">
        <f>RICEX!X19</f>
        <v>0</v>
      </c>
      <c r="Q37">
        <f>RICEX!Y19</f>
        <v>0</v>
      </c>
      <c r="R37">
        <f>RICEX!Z19</f>
        <v>0</v>
      </c>
      <c r="S37">
        <f>RICEX!AA19</f>
        <v>0</v>
      </c>
      <c r="T37">
        <f>RICEX!AB19</f>
        <v>0</v>
      </c>
    </row>
    <row r="38" spans="2:20" x14ac:dyDescent="0.15">
      <c r="B38" s="69" t="str">
        <f>RICEX!J20</f>
        <v>DOMESTIC DEMAND</v>
      </c>
      <c r="C38">
        <f>RICEX!K20</f>
        <v>19471</v>
      </c>
      <c r="D38">
        <f>RICEX!L20</f>
        <v>19192.004000000001</v>
      </c>
      <c r="E38">
        <f>RICEX!M20</f>
        <v>19153.872172071759</v>
      </c>
      <c r="F38">
        <f>RICEX!N20</f>
        <v>19123.073140153028</v>
      </c>
      <c r="G38">
        <f>RICEX!O20</f>
        <v>19098.58145393206</v>
      </c>
      <c r="H38">
        <f>RICEX!P20</f>
        <v>19081.863590749359</v>
      </c>
      <c r="I38">
        <f>RICEX!Q20</f>
        <v>19073.21933690595</v>
      </c>
      <c r="J38">
        <f>RICEX!R20</f>
        <v>19071.057835036503</v>
      </c>
      <c r="K38">
        <f>RICEX!S20</f>
        <v>19082.450507331876</v>
      </c>
      <c r="L38">
        <f>RICEX!T20</f>
        <v>19100.762282480784</v>
      </c>
      <c r="M38">
        <f>RICEX!U20</f>
        <v>19125.703672010761</v>
      </c>
      <c r="N38">
        <f>RICEX!V20</f>
        <v>19157.795623558544</v>
      </c>
      <c r="O38">
        <f>RICEX!W20</f>
        <v>0</v>
      </c>
      <c r="P38">
        <f>RICEX!X20</f>
        <v>0</v>
      </c>
      <c r="Q38">
        <f>RICEX!Y20</f>
        <v>0</v>
      </c>
      <c r="R38">
        <f>RICEX!Z20</f>
        <v>0</v>
      </c>
      <c r="S38">
        <f>RICEX!AA20</f>
        <v>0</v>
      </c>
      <c r="T38">
        <f>RICEX!AB20</f>
        <v>0</v>
      </c>
    </row>
    <row r="39" spans="2:20" x14ac:dyDescent="0.15">
      <c r="B39" s="69" t="str">
        <f>RICEX!J21</f>
        <v>energy</v>
      </c>
      <c r="C39">
        <f>RICEX!K21</f>
        <v>754.59850328472123</v>
      </c>
      <c r="D39">
        <f>RICEX!L21</f>
        <v>751.58599922676763</v>
      </c>
      <c r="E39">
        <f>RICEX!M21</f>
        <v>745.37524540389995</v>
      </c>
      <c r="F39">
        <f>RICEX!N21</f>
        <v>739.49916055445647</v>
      </c>
      <c r="G39">
        <f>RICEX!O21</f>
        <v>734.01453369172941</v>
      </c>
      <c r="H39">
        <f>RICEX!P21</f>
        <v>728.95833331808865</v>
      </c>
      <c r="I39">
        <f>RICEX!Q21</f>
        <v>724.26199415815461</v>
      </c>
      <c r="J39">
        <f>RICEX!R21</f>
        <v>719.87926341209891</v>
      </c>
      <c r="K39">
        <f>RICEX!S21</f>
        <v>715.72332224670993</v>
      </c>
      <c r="L39">
        <f>RICEX!T21</f>
        <v>711.80847622663714</v>
      </c>
      <c r="M39">
        <f>RICEX!U21</f>
        <v>708.11116502617233</v>
      </c>
      <c r="N39">
        <f>RICEX!V21</f>
        <v>704.61785450336151</v>
      </c>
      <c r="O39">
        <f>RICEX!W21</f>
        <v>0</v>
      </c>
      <c r="P39">
        <f>RICEX!X21</f>
        <v>0</v>
      </c>
      <c r="Q39">
        <f>RICEX!Y21</f>
        <v>0</v>
      </c>
      <c r="R39">
        <f>RICEX!Z21</f>
        <v>0</v>
      </c>
      <c r="S39">
        <f>RICEX!AA21</f>
        <v>0</v>
      </c>
      <c r="T39">
        <f>RICEX!AB21</f>
        <v>0</v>
      </c>
    </row>
    <row r="40" spans="2:20" x14ac:dyDescent="0.15">
      <c r="B40" s="69" t="str">
        <f>RICEX!J22</f>
        <v>TOTAL FOOD DEMAND BY ALL HOUSEHOLD</v>
      </c>
      <c r="C40">
        <f>RICEX!K22</f>
        <v>15650</v>
      </c>
      <c r="D40">
        <f>RICEX!L22</f>
        <v>15550</v>
      </c>
      <c r="E40">
        <f>RICEX!M22</f>
        <v>15405.113413719013</v>
      </c>
      <c r="F40">
        <f>RICEX!N22</f>
        <v>15259.804562270965</v>
      </c>
      <c r="G40">
        <f>RICEX!O22</f>
        <v>15115.694444888273</v>
      </c>
      <c r="H40">
        <f>RICEX!P22</f>
        <v>14974.105176638723</v>
      </c>
      <c r="I40">
        <f>RICEX!Q22</f>
        <v>14834.303013531349</v>
      </c>
      <c r="J40">
        <f>RICEX!R22</f>
        <v>14695.472172686746</v>
      </c>
      <c r="K40">
        <f>RICEX!S22</f>
        <v>14564.046373616296</v>
      </c>
      <c r="L40">
        <f>RICEX!T22</f>
        <v>14432.782240566359</v>
      </c>
      <c r="M40">
        <f>RICEX!U22</f>
        <v>14301.499160431627</v>
      </c>
      <c r="N40">
        <f>RICEX!V22</f>
        <v>14170.547756057389</v>
      </c>
      <c r="O40">
        <f>RICEX!W22</f>
        <v>0</v>
      </c>
      <c r="P40">
        <f>RICEX!X22</f>
        <v>0</v>
      </c>
      <c r="Q40">
        <f>RICEX!Y22</f>
        <v>0</v>
      </c>
      <c r="R40">
        <f>RICEX!Z22</f>
        <v>0</v>
      </c>
      <c r="S40">
        <f>RICEX!AA22</f>
        <v>0</v>
      </c>
      <c r="T40">
        <f>RICEX!AB22</f>
        <v>0</v>
      </c>
    </row>
    <row r="41" spans="2:20" x14ac:dyDescent="0.15">
      <c r="B41" s="69" t="str">
        <f>RICEX!J23</f>
        <v>CARBON EMISSION</v>
      </c>
      <c r="C41">
        <f>RICEX!K23</f>
        <v>17647.483309058825</v>
      </c>
      <c r="D41">
        <f>RICEX!L23</f>
        <v>17664.066582441879</v>
      </c>
      <c r="E41">
        <f>RICEX!M23</f>
        <v>17677.811132917977</v>
      </c>
      <c r="F41">
        <f>RICEX!N23</f>
        <v>17559.585927741326</v>
      </c>
      <c r="G41">
        <f>RICEX!O23</f>
        <v>17412.487378461374</v>
      </c>
      <c r="H41">
        <f>RICEX!P23</f>
        <v>17273.137231558554</v>
      </c>
      <c r="I41">
        <f>RICEX!Q23</f>
        <v>17141.588400576471</v>
      </c>
      <c r="J41">
        <f>RICEX!R23</f>
        <v>17016.393880839012</v>
      </c>
      <c r="K41">
        <f>RICEX!S23</f>
        <v>16902.96746835217</v>
      </c>
      <c r="L41">
        <f>RICEX!T23</f>
        <v>16795.748462480438</v>
      </c>
      <c r="M41">
        <f>RICEX!U23</f>
        <v>16694.345751540084</v>
      </c>
      <c r="N41">
        <f>RICEX!V23</f>
        <v>16598.990075207963</v>
      </c>
      <c r="O41">
        <f>RICEX!W23</f>
        <v>0</v>
      </c>
      <c r="P41">
        <f>RICEX!X23</f>
        <v>0</v>
      </c>
      <c r="Q41">
        <f>RICEX!Y23</f>
        <v>0</v>
      </c>
      <c r="R41">
        <f>RICEX!Z23</f>
        <v>0</v>
      </c>
      <c r="S41">
        <f>RICEX!AA23</f>
        <v>0</v>
      </c>
      <c r="T41">
        <f>RICEX!AB23</f>
        <v>0</v>
      </c>
    </row>
    <row r="42" spans="2:20" x14ac:dyDescent="0.15">
      <c r="B42">
        <f>RICEX!J24</f>
        <v>0</v>
      </c>
      <c r="C42">
        <f>RICEX!K24</f>
        <v>0</v>
      </c>
      <c r="D42">
        <f>RICEX!L24</f>
        <v>0</v>
      </c>
      <c r="E42">
        <f>RICEX!M24</f>
        <v>0</v>
      </c>
      <c r="F42">
        <f>RICEX!N24</f>
        <v>0</v>
      </c>
      <c r="G42">
        <f>RICEX!O24</f>
        <v>0</v>
      </c>
      <c r="H42">
        <f>RICEX!P24</f>
        <v>0</v>
      </c>
      <c r="I42">
        <f>RICEX!Q24</f>
        <v>0</v>
      </c>
      <c r="J42">
        <f>RICEX!R24</f>
        <v>0</v>
      </c>
      <c r="K42">
        <f>RICEX!S24</f>
        <v>0</v>
      </c>
      <c r="L42">
        <f>RICEX!T24</f>
        <v>0</v>
      </c>
      <c r="M42">
        <f>RICEX!U24</f>
        <v>0</v>
      </c>
      <c r="N42">
        <f>RICEX!V24</f>
        <v>0</v>
      </c>
      <c r="O42">
        <f>RICEX!W24</f>
        <v>0</v>
      </c>
      <c r="P42">
        <f>RICEX!X24</f>
        <v>0</v>
      </c>
      <c r="Q42">
        <f>RICEX!Y24</f>
        <v>0</v>
      </c>
      <c r="R42">
        <f>RICEX!Z24</f>
        <v>0</v>
      </c>
      <c r="S42">
        <f>RICEX!AA24</f>
        <v>0</v>
      </c>
      <c r="T42">
        <f>RICEX!AB24</f>
        <v>0</v>
      </c>
    </row>
    <row r="43" spans="2:20" x14ac:dyDescent="0.15">
      <c r="B43">
        <f>RICEX!J25</f>
        <v>0</v>
      </c>
      <c r="C43">
        <f>RICEX!K25</f>
        <v>0</v>
      </c>
      <c r="D43">
        <f>RICEX!L25</f>
        <v>0</v>
      </c>
      <c r="E43">
        <f>RICEX!M25</f>
        <v>0</v>
      </c>
      <c r="F43">
        <f>RICEX!N25</f>
        <v>0</v>
      </c>
      <c r="G43">
        <f>RICEX!O25</f>
        <v>0</v>
      </c>
      <c r="H43">
        <f>RICEX!P25</f>
        <v>0</v>
      </c>
      <c r="I43">
        <f>RICEX!Q25</f>
        <v>0</v>
      </c>
      <c r="J43">
        <f>RICEX!R25</f>
        <v>0</v>
      </c>
      <c r="K43">
        <f>RICEX!S25</f>
        <v>0</v>
      </c>
      <c r="L43">
        <f>RICEX!T25</f>
        <v>0</v>
      </c>
      <c r="M43">
        <f>RICEX!U25</f>
        <v>0</v>
      </c>
      <c r="N43">
        <f>RICEX!V25</f>
        <v>0</v>
      </c>
      <c r="O43">
        <f>RICEX!W25</f>
        <v>0</v>
      </c>
      <c r="P43">
        <f>RICEX!X25</f>
        <v>0</v>
      </c>
      <c r="Q43">
        <f>RICEX!Y25</f>
        <v>0</v>
      </c>
      <c r="R43">
        <f>RICEX!Z25</f>
        <v>0</v>
      </c>
      <c r="S43">
        <f>RICEX!AA25</f>
        <v>0</v>
      </c>
      <c r="T43">
        <f>RICEX!AB25</f>
        <v>0</v>
      </c>
    </row>
    <row r="44" spans="2:20" x14ac:dyDescent="0.15">
      <c r="B44">
        <f>RICEX!J26</f>
        <v>0</v>
      </c>
      <c r="C44" t="e">
        <f>RICEX!#REF!</f>
        <v>#REF!</v>
      </c>
      <c r="D44" t="e">
        <f>RICEX!#REF!</f>
        <v>#REF!</v>
      </c>
      <c r="E44" t="e">
        <f>RICEX!#REF!</f>
        <v>#REF!</v>
      </c>
      <c r="F44" t="e">
        <f>RICEX!#REF!</f>
        <v>#REF!</v>
      </c>
      <c r="G44" t="e">
        <f>RICEX!#REF!</f>
        <v>#REF!</v>
      </c>
      <c r="H44" t="e">
        <f>RICEX!#REF!</f>
        <v>#REF!</v>
      </c>
      <c r="I44" t="e">
        <f>RICEX!#REF!</f>
        <v>#REF!</v>
      </c>
      <c r="J44" t="e">
        <f>RICEX!#REF!</f>
        <v>#REF!</v>
      </c>
      <c r="K44" t="e">
        <f>RICEX!#REF!</f>
        <v>#REF!</v>
      </c>
      <c r="L44" t="e">
        <f>RICEX!#REF!</f>
        <v>#REF!</v>
      </c>
      <c r="M44" t="e">
        <f>RICEX!#REF!</f>
        <v>#REF!</v>
      </c>
      <c r="N44" t="e">
        <f>RICEX!#REF!</f>
        <v>#REF!</v>
      </c>
      <c r="O44" t="e">
        <f>RICEX!#REF!</f>
        <v>#REF!</v>
      </c>
      <c r="P44" t="e">
        <f>RICEX!#REF!</f>
        <v>#REF!</v>
      </c>
      <c r="Q44" t="e">
        <f>RICEX!#REF!</f>
        <v>#REF!</v>
      </c>
      <c r="R44" t="e">
        <f>RICEX!#REF!</f>
        <v>#REF!</v>
      </c>
      <c r="S44" t="e">
        <f>RICEX!#REF!</f>
        <v>#REF!</v>
      </c>
      <c r="T44" t="e">
        <f>RICEX!#REF!</f>
        <v>#REF!</v>
      </c>
    </row>
    <row r="45" spans="2:20" x14ac:dyDescent="0.15">
      <c r="B45">
        <f>RICEX!J27</f>
        <v>0</v>
      </c>
      <c r="C45" t="e">
        <f>RICEX!#REF!</f>
        <v>#REF!</v>
      </c>
      <c r="D45" t="e">
        <f>RICEX!#REF!</f>
        <v>#REF!</v>
      </c>
      <c r="E45" t="e">
        <f>RICEX!#REF!</f>
        <v>#REF!</v>
      </c>
      <c r="F45" t="e">
        <f>RICEX!#REF!</f>
        <v>#REF!</v>
      </c>
      <c r="G45" t="e">
        <f>RICEX!#REF!</f>
        <v>#REF!</v>
      </c>
      <c r="H45" t="e">
        <f>RICEX!#REF!</f>
        <v>#REF!</v>
      </c>
      <c r="I45" t="e">
        <f>RICEX!#REF!</f>
        <v>#REF!</v>
      </c>
      <c r="J45" t="e">
        <f>RICEX!#REF!</f>
        <v>#REF!</v>
      </c>
      <c r="K45" t="e">
        <f>RICEX!#REF!</f>
        <v>#REF!</v>
      </c>
      <c r="L45" t="e">
        <f>RICEX!#REF!</f>
        <v>#REF!</v>
      </c>
      <c r="M45" t="e">
        <f>RICEX!#REF!</f>
        <v>#REF!</v>
      </c>
      <c r="N45" t="e">
        <f>RICEX!#REF!</f>
        <v>#REF!</v>
      </c>
      <c r="O45" t="e">
        <f>RICEX!#REF!</f>
        <v>#REF!</v>
      </c>
      <c r="P45" t="e">
        <f>RICEX!#REF!</f>
        <v>#REF!</v>
      </c>
      <c r="Q45" t="e">
        <f>RICEX!#REF!</f>
        <v>#REF!</v>
      </c>
      <c r="R45" t="e">
        <f>RICEX!#REF!</f>
        <v>#REF!</v>
      </c>
      <c r="S45" t="e">
        <f>RICEX!#REF!</f>
        <v>#REF!</v>
      </c>
      <c r="T45" t="e">
        <f>RICEX!#REF!</f>
        <v>#REF!</v>
      </c>
    </row>
    <row r="46" spans="2:20" x14ac:dyDescent="0.15">
      <c r="B46">
        <f>RICEX!J28</f>
        <v>0</v>
      </c>
      <c r="C46" t="e">
        <f>RICEX!#REF!</f>
        <v>#REF!</v>
      </c>
      <c r="D46" t="e">
        <f>RICEX!#REF!</f>
        <v>#REF!</v>
      </c>
      <c r="E46" t="e">
        <f>RICEX!#REF!</f>
        <v>#REF!</v>
      </c>
      <c r="F46" t="e">
        <f>RICEX!#REF!</f>
        <v>#REF!</v>
      </c>
      <c r="G46" t="e">
        <f>RICEX!#REF!</f>
        <v>#REF!</v>
      </c>
      <c r="H46" t="e">
        <f>RICEX!#REF!</f>
        <v>#REF!</v>
      </c>
      <c r="I46" t="e">
        <f>RICEX!#REF!</f>
        <v>#REF!</v>
      </c>
      <c r="J46" t="e">
        <f>RICEX!#REF!</f>
        <v>#REF!</v>
      </c>
      <c r="K46" t="e">
        <f>RICEX!#REF!</f>
        <v>#REF!</v>
      </c>
      <c r="L46" t="e">
        <f>RICEX!#REF!</f>
        <v>#REF!</v>
      </c>
      <c r="M46" t="e">
        <f>RICEX!#REF!</f>
        <v>#REF!</v>
      </c>
      <c r="N46" t="e">
        <f>RICEX!#REF!</f>
        <v>#REF!</v>
      </c>
      <c r="O46" t="e">
        <f>RICEX!#REF!</f>
        <v>#REF!</v>
      </c>
      <c r="P46" t="e">
        <f>RICEX!#REF!</f>
        <v>#REF!</v>
      </c>
      <c r="Q46" t="e">
        <f>RICEX!#REF!</f>
        <v>#REF!</v>
      </c>
      <c r="R46" t="e">
        <f>RICEX!#REF!</f>
        <v>#REF!</v>
      </c>
      <c r="S46" t="e">
        <f>RICEX!#REF!</f>
        <v>#REF!</v>
      </c>
      <c r="T46" t="e">
        <f>RICEX!#REF!</f>
        <v>#REF!</v>
      </c>
    </row>
    <row r="47" spans="2:20" x14ac:dyDescent="0.15">
      <c r="B47">
        <f>RICEX!J29</f>
        <v>0</v>
      </c>
      <c r="C47">
        <f>RICEX!K26</f>
        <v>0</v>
      </c>
      <c r="D47">
        <f>RICEX!L26</f>
        <v>0</v>
      </c>
      <c r="E47">
        <f>RICEX!M26</f>
        <v>0</v>
      </c>
      <c r="F47">
        <f>RICEX!N26</f>
        <v>0</v>
      </c>
      <c r="G47">
        <f>RICEX!O26</f>
        <v>0</v>
      </c>
      <c r="H47">
        <f>RICEX!P26</f>
        <v>0</v>
      </c>
      <c r="I47">
        <f>RICEX!Q26</f>
        <v>0</v>
      </c>
      <c r="J47">
        <f>RICEX!R26</f>
        <v>0</v>
      </c>
      <c r="K47">
        <f>RICEX!S26</f>
        <v>0</v>
      </c>
      <c r="L47">
        <f>RICEX!T26</f>
        <v>0</v>
      </c>
      <c r="M47">
        <f>RICEX!U26</f>
        <v>0</v>
      </c>
      <c r="N47">
        <f>RICEX!V26</f>
        <v>0</v>
      </c>
      <c r="O47">
        <f>RICEX!W26</f>
        <v>0</v>
      </c>
      <c r="P47">
        <f>RICEX!X26</f>
        <v>0</v>
      </c>
      <c r="Q47">
        <f>RICEX!Y26</f>
        <v>0</v>
      </c>
      <c r="R47">
        <f>RICEX!Z26</f>
        <v>0</v>
      </c>
      <c r="S47">
        <f>RICEX!AA26</f>
        <v>0</v>
      </c>
      <c r="T47">
        <f>RICEX!AB26</f>
        <v>0</v>
      </c>
    </row>
    <row r="48" spans="2:20" x14ac:dyDescent="0.15">
      <c r="B48">
        <f>RICEX!J30</f>
        <v>0</v>
      </c>
      <c r="C48">
        <f>RICEX!K27</f>
        <v>0</v>
      </c>
      <c r="D48">
        <f>RICEX!L27</f>
        <v>0</v>
      </c>
      <c r="E48">
        <f>RICEX!M27</f>
        <v>0</v>
      </c>
      <c r="F48">
        <f>RICEX!N27</f>
        <v>0</v>
      </c>
      <c r="G48">
        <f>RICEX!O27</f>
        <v>0</v>
      </c>
      <c r="H48">
        <f>RICEX!P27</f>
        <v>0</v>
      </c>
      <c r="I48">
        <f>RICEX!Q27</f>
        <v>0</v>
      </c>
      <c r="J48">
        <f>RICEX!R27</f>
        <v>0</v>
      </c>
      <c r="K48">
        <f>RICEX!S27</f>
        <v>0</v>
      </c>
      <c r="L48">
        <f>RICEX!T27</f>
        <v>0</v>
      </c>
      <c r="M48">
        <f>RICEX!U27</f>
        <v>0</v>
      </c>
      <c r="N48">
        <f>RICEX!V27</f>
        <v>0</v>
      </c>
      <c r="O48">
        <f>RICEX!W27</f>
        <v>0</v>
      </c>
      <c r="P48">
        <f>RICEX!X27</f>
        <v>0</v>
      </c>
      <c r="Q48">
        <f>RICEX!Y27</f>
        <v>0</v>
      </c>
      <c r="R48">
        <f>RICEX!Z27</f>
        <v>0</v>
      </c>
      <c r="S48">
        <f>RICEX!AA27</f>
        <v>0</v>
      </c>
      <c r="T48">
        <f>RICEX!AB27</f>
        <v>0</v>
      </c>
    </row>
    <row r="49" spans="2:20" x14ac:dyDescent="0.15">
      <c r="B49">
        <f>RICEX!J31</f>
        <v>0</v>
      </c>
      <c r="C49">
        <f>RICEX!K28</f>
        <v>0</v>
      </c>
      <c r="D49">
        <f>RICEX!L28</f>
        <v>0</v>
      </c>
      <c r="E49">
        <f>RICEX!M28</f>
        <v>0</v>
      </c>
      <c r="F49">
        <f>RICEX!N28</f>
        <v>0</v>
      </c>
      <c r="G49">
        <f>RICEX!O28</f>
        <v>0</v>
      </c>
      <c r="H49">
        <f>RICEX!P28</f>
        <v>0</v>
      </c>
      <c r="I49">
        <f>RICEX!Q28</f>
        <v>0</v>
      </c>
      <c r="J49">
        <f>RICEX!R28</f>
        <v>0</v>
      </c>
      <c r="K49">
        <f>RICEX!S28</f>
        <v>0</v>
      </c>
      <c r="L49">
        <f>RICEX!T28</f>
        <v>0</v>
      </c>
      <c r="M49">
        <f>RICEX!U28</f>
        <v>0</v>
      </c>
      <c r="N49">
        <f>RICEX!V28</f>
        <v>0</v>
      </c>
      <c r="O49">
        <f>RICEX!W28</f>
        <v>0</v>
      </c>
      <c r="P49">
        <f>RICEX!X28</f>
        <v>0</v>
      </c>
      <c r="Q49">
        <f>RICEX!Y28</f>
        <v>0</v>
      </c>
      <c r="R49">
        <f>RICEX!Z28</f>
        <v>0</v>
      </c>
      <c r="S49">
        <f>RICEX!AA28</f>
        <v>0</v>
      </c>
      <c r="T49">
        <f>RICEX!AB28</f>
        <v>0</v>
      </c>
    </row>
    <row r="50" spans="2:20" x14ac:dyDescent="0.15">
      <c r="B50">
        <f>RICEX!J32</f>
        <v>0</v>
      </c>
      <c r="C50">
        <f>RICEX!K29</f>
        <v>0</v>
      </c>
      <c r="D50">
        <f>RICEX!L29</f>
        <v>0</v>
      </c>
      <c r="E50">
        <f>RICEX!M29</f>
        <v>0</v>
      </c>
      <c r="F50">
        <f>RICEX!N29</f>
        <v>0</v>
      </c>
      <c r="G50">
        <f>RICEX!O29</f>
        <v>0</v>
      </c>
      <c r="H50">
        <f>RICEX!P29</f>
        <v>0</v>
      </c>
      <c r="I50">
        <f>RICEX!Q29</f>
        <v>0</v>
      </c>
      <c r="J50">
        <f>RICEX!R29</f>
        <v>0</v>
      </c>
      <c r="K50">
        <f>RICEX!S29</f>
        <v>0</v>
      </c>
      <c r="L50">
        <f>RICEX!T29</f>
        <v>0</v>
      </c>
      <c r="M50">
        <f>RICEX!U29</f>
        <v>0</v>
      </c>
      <c r="N50">
        <f>RICEX!V29</f>
        <v>0</v>
      </c>
      <c r="O50">
        <f>RICEX!W29</f>
        <v>0</v>
      </c>
      <c r="P50">
        <f>RICEX!X29</f>
        <v>0</v>
      </c>
      <c r="Q50">
        <f>RICEX!Y29</f>
        <v>0</v>
      </c>
      <c r="R50">
        <f>RICEX!Z29</f>
        <v>0</v>
      </c>
      <c r="S50">
        <f>RICEX!AA29</f>
        <v>0</v>
      </c>
      <c r="T50">
        <f>RICEX!AB29</f>
        <v>0</v>
      </c>
    </row>
    <row r="51" spans="2:20" x14ac:dyDescent="0.15">
      <c r="B51">
        <f>RICEX!J33</f>
        <v>0</v>
      </c>
      <c r="C51">
        <f>RICEX!K30</f>
        <v>0</v>
      </c>
      <c r="D51">
        <f>RICEX!L30</f>
        <v>0</v>
      </c>
      <c r="E51">
        <f>RICEX!M30</f>
        <v>0</v>
      </c>
      <c r="F51">
        <f>RICEX!N30</f>
        <v>0</v>
      </c>
      <c r="G51">
        <f>RICEX!O30</f>
        <v>0</v>
      </c>
      <c r="H51">
        <f>RICEX!P30</f>
        <v>0</v>
      </c>
      <c r="I51">
        <f>RICEX!Q30</f>
        <v>0</v>
      </c>
      <c r="J51">
        <f>RICEX!R30</f>
        <v>0</v>
      </c>
      <c r="K51">
        <f>RICEX!S30</f>
        <v>0</v>
      </c>
      <c r="L51">
        <f>RICEX!T30</f>
        <v>0</v>
      </c>
      <c r="M51">
        <f>RICEX!U30</f>
        <v>0</v>
      </c>
      <c r="N51">
        <f>RICEX!V30</f>
        <v>0</v>
      </c>
      <c r="O51">
        <f>RICEX!W30</f>
        <v>0</v>
      </c>
      <c r="P51">
        <f>RICEX!X30</f>
        <v>0</v>
      </c>
      <c r="Q51">
        <f>RICEX!Y30</f>
        <v>0</v>
      </c>
      <c r="R51">
        <f>RICEX!Z30</f>
        <v>0</v>
      </c>
      <c r="S51">
        <f>RICEX!AA30</f>
        <v>0</v>
      </c>
      <c r="T51">
        <f>RICEX!AB30</f>
        <v>0</v>
      </c>
    </row>
    <row r="52" spans="2:20" x14ac:dyDescent="0.15">
      <c r="B52">
        <f>RICEX!J34</f>
        <v>0</v>
      </c>
      <c r="C52">
        <f>RICEX!K31</f>
        <v>0</v>
      </c>
      <c r="D52">
        <f>RICEX!L31</f>
        <v>0</v>
      </c>
      <c r="E52">
        <f>RICEX!M31</f>
        <v>0</v>
      </c>
      <c r="F52">
        <f>RICEX!N31</f>
        <v>0</v>
      </c>
      <c r="G52">
        <f>RICEX!O31</f>
        <v>0</v>
      </c>
      <c r="H52">
        <f>RICEX!P31</f>
        <v>0</v>
      </c>
      <c r="I52">
        <f>RICEX!Q31</f>
        <v>0</v>
      </c>
      <c r="J52">
        <f>RICEX!R31</f>
        <v>0</v>
      </c>
      <c r="K52">
        <f>RICEX!S31</f>
        <v>0</v>
      </c>
      <c r="L52">
        <f>RICEX!T31</f>
        <v>0</v>
      </c>
      <c r="M52">
        <f>RICEX!U31</f>
        <v>0</v>
      </c>
      <c r="N52">
        <f>RICEX!V31</f>
        <v>0</v>
      </c>
      <c r="O52">
        <f>RICEX!W31</f>
        <v>0</v>
      </c>
      <c r="P52">
        <f>RICEX!X31</f>
        <v>0</v>
      </c>
      <c r="Q52">
        <f>RICEX!Y31</f>
        <v>0</v>
      </c>
      <c r="R52">
        <f>RICEX!Z31</f>
        <v>0</v>
      </c>
      <c r="S52">
        <f>RICEX!AA31</f>
        <v>0</v>
      </c>
      <c r="T52">
        <f>RICEX!AB31</f>
        <v>0</v>
      </c>
    </row>
    <row r="53" spans="2:20" x14ac:dyDescent="0.15">
      <c r="B53">
        <f>RICEX!J35</f>
        <v>0</v>
      </c>
      <c r="C53">
        <f>RICEX!K32</f>
        <v>0</v>
      </c>
      <c r="D53">
        <f>RICEX!L32</f>
        <v>0</v>
      </c>
      <c r="E53">
        <f>RICEX!M32</f>
        <v>0</v>
      </c>
      <c r="F53">
        <f>RICEX!N32</f>
        <v>0</v>
      </c>
      <c r="G53">
        <f>RICEX!O32</f>
        <v>0</v>
      </c>
      <c r="H53">
        <f>RICEX!P32</f>
        <v>0</v>
      </c>
      <c r="I53">
        <f>RICEX!Q32</f>
        <v>0</v>
      </c>
      <c r="J53">
        <f>RICEX!R32</f>
        <v>0</v>
      </c>
      <c r="K53">
        <f>RICEX!S32</f>
        <v>0</v>
      </c>
      <c r="L53">
        <f>RICEX!T32</f>
        <v>0</v>
      </c>
      <c r="M53">
        <f>RICEX!U32</f>
        <v>0</v>
      </c>
      <c r="N53">
        <f>RICEX!V32</f>
        <v>0</v>
      </c>
      <c r="O53">
        <f>RICEX!W32</f>
        <v>0</v>
      </c>
      <c r="P53">
        <f>RICEX!X32</f>
        <v>0</v>
      </c>
      <c r="Q53">
        <f>RICEX!Y32</f>
        <v>0</v>
      </c>
      <c r="R53">
        <f>RICEX!Z32</f>
        <v>0</v>
      </c>
      <c r="S53">
        <f>RICEX!AA32</f>
        <v>0</v>
      </c>
      <c r="T53">
        <f>RICEX!AB32</f>
        <v>0</v>
      </c>
    </row>
    <row r="54" spans="2:20" x14ac:dyDescent="0.15">
      <c r="B54">
        <f>RICEX!J36</f>
        <v>0</v>
      </c>
      <c r="C54">
        <f>RICEX!K33</f>
        <v>0</v>
      </c>
      <c r="D54">
        <f>RICEX!L33</f>
        <v>0</v>
      </c>
      <c r="E54">
        <f>RICEX!M33</f>
        <v>0</v>
      </c>
      <c r="F54">
        <f>RICEX!N33</f>
        <v>0</v>
      </c>
      <c r="G54">
        <f>RICEX!O33</f>
        <v>0</v>
      </c>
      <c r="H54">
        <f>RICEX!P33</f>
        <v>0</v>
      </c>
      <c r="I54">
        <f>RICEX!Q33</f>
        <v>0</v>
      </c>
      <c r="J54">
        <f>RICEX!R33</f>
        <v>0</v>
      </c>
      <c r="K54">
        <f>RICEX!S33</f>
        <v>0</v>
      </c>
      <c r="L54">
        <f>RICEX!T33</f>
        <v>0</v>
      </c>
      <c r="M54">
        <f>RICEX!U33</f>
        <v>0</v>
      </c>
      <c r="N54">
        <f>RICEX!V33</f>
        <v>0</v>
      </c>
      <c r="O54">
        <f>RICEX!W33</f>
        <v>0</v>
      </c>
      <c r="P54">
        <f>RICEX!X33</f>
        <v>0</v>
      </c>
      <c r="Q54">
        <f>RICEX!Y33</f>
        <v>0</v>
      </c>
      <c r="R54">
        <f>RICEX!Z33</f>
        <v>0</v>
      </c>
      <c r="S54">
        <f>RICEX!AA33</f>
        <v>0</v>
      </c>
      <c r="T54">
        <f>RICEX!AB33</f>
        <v>0</v>
      </c>
    </row>
  </sheetData>
  <phoneticPr fontId="14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AB8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L38" sqref="L38"/>
    </sheetView>
  </sheetViews>
  <sheetFormatPr defaultColWidth="9" defaultRowHeight="13.5" x14ac:dyDescent="0.15"/>
  <cols>
    <col min="1" max="1" width="30.875" customWidth="1"/>
    <col min="2" max="2" width="15.5" style="32" customWidth="1"/>
    <col min="3" max="3" width="12.875" customWidth="1"/>
    <col min="8" max="8" width="4.625" customWidth="1"/>
    <col min="9" max="9" width="2.125" customWidth="1"/>
    <col min="10" max="10" width="53" customWidth="1"/>
    <col min="12" max="12" width="11.5"/>
    <col min="13" max="24" width="9" customWidth="1"/>
    <col min="28" max="28" width="9" style="4"/>
  </cols>
  <sheetData>
    <row r="6" spans="1:22" ht="12.75" customHeight="1" x14ac:dyDescent="0.15">
      <c r="B6" s="32" t="s">
        <v>73</v>
      </c>
      <c r="K6" s="69" t="s">
        <v>73</v>
      </c>
      <c r="L6" s="70" t="s">
        <v>73</v>
      </c>
      <c r="M6" s="70" t="s">
        <v>73</v>
      </c>
      <c r="N6" s="70" t="s">
        <v>73</v>
      </c>
      <c r="O6" s="70" t="s">
        <v>73</v>
      </c>
      <c r="P6" s="70" t="s">
        <v>73</v>
      </c>
      <c r="Q6" s="70" t="s">
        <v>73</v>
      </c>
      <c r="R6" s="70" t="s">
        <v>73</v>
      </c>
      <c r="S6" s="70" t="s">
        <v>73</v>
      </c>
      <c r="T6" s="70" t="s">
        <v>73</v>
      </c>
      <c r="U6" s="70" t="s">
        <v>73</v>
      </c>
      <c r="V6" s="70" t="s">
        <v>73</v>
      </c>
    </row>
    <row r="7" spans="1:22" x14ac:dyDescent="0.15">
      <c r="B7" s="32" t="s">
        <v>74</v>
      </c>
      <c r="C7" s="32"/>
      <c r="D7" s="32"/>
      <c r="E7" s="32"/>
      <c r="F7" s="32"/>
      <c r="G7" s="32"/>
      <c r="H7" s="11"/>
      <c r="K7" s="69" t="s">
        <v>75</v>
      </c>
      <c r="L7" s="70" t="s">
        <v>76</v>
      </c>
      <c r="M7" s="70" t="s">
        <v>77</v>
      </c>
      <c r="N7" s="70" t="s">
        <v>78</v>
      </c>
      <c r="O7" s="70" t="s">
        <v>79</v>
      </c>
      <c r="P7" s="70" t="s">
        <v>80</v>
      </c>
      <c r="Q7" s="70" t="s">
        <v>81</v>
      </c>
      <c r="R7" s="70" t="s">
        <v>82</v>
      </c>
      <c r="S7" s="70" t="s">
        <v>83</v>
      </c>
      <c r="T7" s="70" t="s">
        <v>84</v>
      </c>
      <c r="U7" s="70" t="s">
        <v>85</v>
      </c>
      <c r="V7" s="70" t="s">
        <v>86</v>
      </c>
    </row>
    <row r="8" spans="1:22" x14ac:dyDescent="0.15">
      <c r="A8" t="s">
        <v>87</v>
      </c>
      <c r="B8" s="32">
        <f>(AD8/K8)^(1/19)*100-100</f>
        <v>-100</v>
      </c>
      <c r="C8" s="59"/>
      <c r="D8" s="11"/>
      <c r="E8" s="11"/>
      <c r="F8" s="11"/>
      <c r="G8" s="11"/>
      <c r="J8" s="69" t="s">
        <v>88</v>
      </c>
      <c r="K8">
        <v>5259.43</v>
      </c>
      <c r="L8">
        <v>5259.4</v>
      </c>
      <c r="M8">
        <v>5256.112681257071</v>
      </c>
      <c r="N8">
        <v>5253.0292205374808</v>
      </c>
      <c r="O8">
        <v>5250.1037871709441</v>
      </c>
      <c r="P8">
        <v>5247.2417772710814</v>
      </c>
      <c r="Q8">
        <v>5244.6107250570913</v>
      </c>
      <c r="R8">
        <v>5242.111883224723</v>
      </c>
      <c r="S8">
        <v>5239.7385771910112</v>
      </c>
      <c r="T8">
        <v>5237.4844723384576</v>
      </c>
      <c r="U8">
        <v>5235.3435564101401</v>
      </c>
      <c r="V8">
        <v>5233.3101228440264</v>
      </c>
    </row>
    <row r="9" spans="1:22" x14ac:dyDescent="0.15">
      <c r="A9" t="s">
        <v>89</v>
      </c>
      <c r="B9" s="32">
        <f t="shared" ref="B9:B34" si="0">(AD9/K9)^(1/19)*100-100</f>
        <v>-100</v>
      </c>
      <c r="C9" s="59"/>
      <c r="D9" s="11"/>
      <c r="E9" s="11"/>
      <c r="F9" s="11"/>
      <c r="G9" s="11"/>
      <c r="H9" s="11"/>
      <c r="J9" s="69" t="s">
        <v>90</v>
      </c>
      <c r="K9">
        <v>13.094246421784014</v>
      </c>
      <c r="L9">
        <v>13.145114115890207</v>
      </c>
      <c r="M9">
        <v>13.181821525049983</v>
      </c>
      <c r="N9">
        <v>13.218893940165849</v>
      </c>
      <c r="O9">
        <v>13.256491729888953</v>
      </c>
      <c r="P9">
        <v>13.294802082077432</v>
      </c>
      <c r="Q9">
        <v>13.333935317524478</v>
      </c>
      <c r="R9">
        <v>13.373607750950438</v>
      </c>
      <c r="S9">
        <v>13.413910809125735</v>
      </c>
      <c r="T9">
        <v>13.454996115566708</v>
      </c>
      <c r="U9">
        <v>13.496917408665631</v>
      </c>
      <c r="V9">
        <v>13.53975844723904</v>
      </c>
    </row>
    <row r="10" spans="1:22" x14ac:dyDescent="0.15">
      <c r="A10" t="s">
        <v>91</v>
      </c>
      <c r="B10" s="32">
        <f t="shared" si="0"/>
        <v>-100</v>
      </c>
      <c r="C10" s="59"/>
      <c r="D10" s="11"/>
      <c r="E10" s="11"/>
      <c r="F10" s="11"/>
      <c r="G10" s="11"/>
      <c r="H10" s="11"/>
      <c r="J10" s="69" t="s">
        <v>92</v>
      </c>
      <c r="K10">
        <v>35948.230000000003</v>
      </c>
      <c r="L10">
        <v>35498.880000000005</v>
      </c>
      <c r="M10">
        <v>35659.060543697924</v>
      </c>
      <c r="N10">
        <v>35669.445962605503</v>
      </c>
      <c r="O10">
        <v>35651.151418980793</v>
      </c>
      <c r="P10">
        <v>35646.349409149552</v>
      </c>
      <c r="Q10">
        <v>35654.09369984427</v>
      </c>
      <c r="R10">
        <v>35672.643270473913</v>
      </c>
      <c r="S10">
        <v>35713.11575842341</v>
      </c>
      <c r="T10">
        <v>35765.110510920618</v>
      </c>
      <c r="U10">
        <v>35828.221702692375</v>
      </c>
      <c r="V10">
        <v>35903.298212362366</v>
      </c>
    </row>
    <row r="11" spans="1:22" x14ac:dyDescent="0.15">
      <c r="A11" t="s">
        <v>93</v>
      </c>
      <c r="B11" s="32">
        <f t="shared" si="0"/>
        <v>-100</v>
      </c>
      <c r="C11" s="59"/>
      <c r="D11" s="11"/>
      <c r="E11" s="11"/>
      <c r="F11" s="11"/>
      <c r="G11" s="11"/>
      <c r="H11" s="11"/>
      <c r="J11" s="69" t="s">
        <v>94</v>
      </c>
      <c r="K11">
        <v>34763.4</v>
      </c>
      <c r="L11">
        <v>34911.300000000003</v>
      </c>
      <c r="M11">
        <v>34989.709392824174</v>
      </c>
      <c r="N11">
        <v>35070.30440058867</v>
      </c>
      <c r="O11">
        <v>35153.1812477434</v>
      </c>
      <c r="P11">
        <v>35237.991794588183</v>
      </c>
      <c r="Q11">
        <v>35326.086866871898</v>
      </c>
      <c r="R11">
        <v>35416.334459864898</v>
      </c>
      <c r="S11">
        <v>35508.922133650718</v>
      </c>
      <c r="T11">
        <v>35604.188004334785</v>
      </c>
      <c r="U11">
        <v>35702.229370840112</v>
      </c>
      <c r="V11">
        <v>35803.219396427696</v>
      </c>
    </row>
    <row r="12" spans="1:22" x14ac:dyDescent="0.15">
      <c r="A12" s="4" t="s">
        <v>95</v>
      </c>
      <c r="B12" s="32">
        <f t="shared" si="0"/>
        <v>-100</v>
      </c>
      <c r="C12" s="59"/>
      <c r="D12" s="11"/>
      <c r="E12" s="11"/>
      <c r="F12" s="11"/>
      <c r="G12" s="11"/>
      <c r="H12" s="58"/>
      <c r="I12" s="4"/>
      <c r="J12" s="71" t="s">
        <v>96</v>
      </c>
      <c r="K12">
        <v>1184.83</v>
      </c>
      <c r="L12">
        <v>587.58000000000004</v>
      </c>
      <c r="M12">
        <v>669.35115087375345</v>
      </c>
      <c r="N12">
        <v>599.14156201682999</v>
      </c>
      <c r="O12">
        <v>497.97017123738988</v>
      </c>
      <c r="P12">
        <v>408.35761456136709</v>
      </c>
      <c r="Q12">
        <v>328.00683297237163</v>
      </c>
      <c r="R12">
        <v>256.30881060901453</v>
      </c>
      <c r="S12">
        <v>204.19362477269374</v>
      </c>
      <c r="T12">
        <v>160.92250658583006</v>
      </c>
      <c r="U12">
        <v>125.99233185226538</v>
      </c>
      <c r="V12">
        <v>100.07881593466664</v>
      </c>
    </row>
    <row r="13" spans="1:22" x14ac:dyDescent="0.15">
      <c r="A13" t="s">
        <v>97</v>
      </c>
      <c r="B13" s="32">
        <f t="shared" si="0"/>
        <v>-100</v>
      </c>
      <c r="C13" s="59"/>
      <c r="D13" s="11"/>
      <c r="E13" s="11"/>
      <c r="F13" s="11"/>
      <c r="G13" s="11"/>
      <c r="H13" s="11"/>
      <c r="J13" s="69" t="s">
        <v>98</v>
      </c>
      <c r="K13">
        <v>35948.229999999996</v>
      </c>
      <c r="L13">
        <v>35498.879999999997</v>
      </c>
      <c r="M13">
        <v>35659.060543697924</v>
      </c>
      <c r="N13">
        <v>35669.445962605503</v>
      </c>
      <c r="O13">
        <v>35651.151418980793</v>
      </c>
      <c r="P13">
        <v>35646.349409149545</v>
      </c>
      <c r="Q13">
        <v>35654.09369984427</v>
      </c>
      <c r="R13">
        <v>35672.643270473913</v>
      </c>
      <c r="S13">
        <v>35713.11575842341</v>
      </c>
      <c r="T13">
        <v>35765.110510920611</v>
      </c>
      <c r="U13">
        <v>35828.221702692375</v>
      </c>
      <c r="V13">
        <v>35903.298212362359</v>
      </c>
    </row>
    <row r="14" spans="1:22" x14ac:dyDescent="0.15">
      <c r="A14" t="s">
        <v>99</v>
      </c>
      <c r="B14" s="32">
        <f t="shared" si="0"/>
        <v>-100</v>
      </c>
      <c r="C14" s="59"/>
      <c r="D14" s="11"/>
      <c r="E14" s="11"/>
      <c r="F14" s="11"/>
      <c r="G14" s="11"/>
      <c r="H14" s="11"/>
      <c r="J14" s="69" t="s">
        <v>100</v>
      </c>
      <c r="K14">
        <v>175.74630045161473</v>
      </c>
      <c r="L14">
        <v>173.67907807728719</v>
      </c>
      <c r="M14">
        <v>172.21603793983209</v>
      </c>
      <c r="N14">
        <v>170.83240335140314</v>
      </c>
      <c r="O14">
        <v>169.54155572574001</v>
      </c>
      <c r="P14">
        <v>168.34453450207397</v>
      </c>
      <c r="Q14">
        <v>167.22563815925096</v>
      </c>
      <c r="R14">
        <v>166.17990940400489</v>
      </c>
      <c r="S14">
        <v>165.18736849062867</v>
      </c>
      <c r="T14">
        <v>164.25145087046329</v>
      </c>
      <c r="U14">
        <v>163.36673846293354</v>
      </c>
      <c r="V14">
        <v>162.53016204202405</v>
      </c>
    </row>
    <row r="15" spans="1:22" x14ac:dyDescent="0.15">
      <c r="A15" t="s">
        <v>101</v>
      </c>
      <c r="B15" s="32">
        <f t="shared" si="0"/>
        <v>-100</v>
      </c>
      <c r="C15" s="59"/>
      <c r="D15" s="11"/>
      <c r="E15" s="11"/>
      <c r="F15" s="11"/>
      <c r="G15" s="11"/>
      <c r="H15" s="11"/>
      <c r="J15" s="69" t="s">
        <v>102</v>
      </c>
      <c r="K15">
        <v>791</v>
      </c>
      <c r="L15">
        <v>842</v>
      </c>
      <c r="M15">
        <v>841.40565114392189</v>
      </c>
      <c r="N15">
        <v>840.84502500022609</v>
      </c>
      <c r="O15">
        <v>840.31194282240631</v>
      </c>
      <c r="P15">
        <v>839.81401693914404</v>
      </c>
      <c r="Q15">
        <v>839.38690977988858</v>
      </c>
      <c r="R15">
        <v>838.98122671032513</v>
      </c>
      <c r="S15">
        <v>838.59588988032431</v>
      </c>
      <c r="T15">
        <v>838.22987597223175</v>
      </c>
      <c r="U15">
        <v>837.88221341299345</v>
      </c>
      <c r="V15">
        <v>837.55197973148006</v>
      </c>
    </row>
    <row r="16" spans="1:22" x14ac:dyDescent="0.15">
      <c r="A16" t="s">
        <v>103</v>
      </c>
      <c r="B16" s="32">
        <f t="shared" si="0"/>
        <v>-100</v>
      </c>
      <c r="C16" s="59"/>
      <c r="D16" s="11"/>
      <c r="E16" s="11"/>
      <c r="F16" s="11"/>
      <c r="G16" s="11"/>
      <c r="H16" s="11"/>
      <c r="J16" s="69" t="s">
        <v>104</v>
      </c>
      <c r="K16">
        <v>2509.8599999999997</v>
      </c>
      <c r="L16">
        <v>2903.84</v>
      </c>
      <c r="M16">
        <v>2889.8383601569567</v>
      </c>
      <c r="N16">
        <v>2882.0941937369771</v>
      </c>
      <c r="O16">
        <v>2877.6089029327632</v>
      </c>
      <c r="P16">
        <v>2874.4275922322695</v>
      </c>
      <c r="Q16">
        <v>2871.1268370784678</v>
      </c>
      <c r="R16">
        <v>2867.8254417618773</v>
      </c>
      <c r="S16">
        <v>2864.7219526605754</v>
      </c>
      <c r="T16">
        <v>2861.8009618153128</v>
      </c>
      <c r="U16">
        <v>2859.0557077959029</v>
      </c>
      <c r="V16">
        <v>2856.4772030773324</v>
      </c>
    </row>
    <row r="17" spans="1:25" x14ac:dyDescent="0.15">
      <c r="A17" t="s">
        <v>105</v>
      </c>
      <c r="B17" s="32">
        <f t="shared" si="0"/>
        <v>-100</v>
      </c>
      <c r="C17" s="59"/>
      <c r="D17" s="11"/>
      <c r="E17" s="11"/>
      <c r="F17" s="11"/>
      <c r="G17" s="11"/>
      <c r="H17" s="11"/>
      <c r="J17" s="69" t="s">
        <v>106</v>
      </c>
      <c r="K17">
        <v>2930</v>
      </c>
      <c r="L17">
        <v>2800</v>
      </c>
      <c r="M17">
        <v>2965.3055813770629</v>
      </c>
      <c r="N17">
        <v>3139.6646748265184</v>
      </c>
      <c r="O17">
        <v>3321.764624920901</v>
      </c>
      <c r="P17">
        <v>3512.1631932115297</v>
      </c>
      <c r="Q17">
        <v>3712.2361481201742</v>
      </c>
      <c r="R17">
        <v>3920.7729612880917</v>
      </c>
      <c r="S17">
        <v>4138.5655863092288</v>
      </c>
      <c r="T17">
        <v>4366.5107449054831</v>
      </c>
      <c r="U17">
        <v>4604.466234223526</v>
      </c>
      <c r="V17">
        <v>4852.6998596653439</v>
      </c>
    </row>
    <row r="18" spans="1:25" x14ac:dyDescent="0.15">
      <c r="A18" t="s">
        <v>107</v>
      </c>
      <c r="B18" s="32">
        <f t="shared" si="0"/>
        <v>-100</v>
      </c>
      <c r="C18" s="59"/>
      <c r="D18" s="11"/>
      <c r="E18" s="11"/>
      <c r="F18" s="11"/>
      <c r="G18" s="11"/>
      <c r="H18" s="11"/>
      <c r="J18" s="69" t="s">
        <v>108</v>
      </c>
      <c r="K18">
        <v>1390.1399999999999</v>
      </c>
      <c r="L18">
        <v>1396.164</v>
      </c>
      <c r="M18">
        <v>1399.3000044644668</v>
      </c>
      <c r="N18">
        <v>1402.52341289275</v>
      </c>
      <c r="O18">
        <v>1405.8380703535436</v>
      </c>
      <c r="P18">
        <v>1409.2300326381414</v>
      </c>
      <c r="Q18">
        <v>1412.7533149026608</v>
      </c>
      <c r="R18">
        <v>1416.362674016058</v>
      </c>
      <c r="S18">
        <v>1420.0656093771545</v>
      </c>
      <c r="T18">
        <v>1423.8756403919515</v>
      </c>
      <c r="U18">
        <v>1427.7966573895628</v>
      </c>
      <c r="V18">
        <v>1431.8355841510242</v>
      </c>
    </row>
    <row r="19" spans="1:25" x14ac:dyDescent="0.15">
      <c r="A19" t="s">
        <v>109</v>
      </c>
      <c r="B19" s="32">
        <f t="shared" si="0"/>
        <v>-100</v>
      </c>
      <c r="C19" s="59"/>
      <c r="D19" s="11"/>
      <c r="E19" s="11"/>
      <c r="F19" s="11"/>
      <c r="G19" s="11"/>
      <c r="H19" s="11"/>
      <c r="J19" s="69" t="s">
        <v>110</v>
      </c>
      <c r="K19">
        <v>3577.2299999999996</v>
      </c>
      <c r="L19">
        <v>3156.8760000000002</v>
      </c>
      <c r="M19">
        <v>3394.4638468908661</v>
      </c>
      <c r="N19">
        <v>3467.1849240805086</v>
      </c>
      <c r="O19">
        <v>3497.8844625601955</v>
      </c>
      <c r="P19">
        <v>3529.1081578475278</v>
      </c>
      <c r="Q19">
        <v>3560.9892043104792</v>
      </c>
      <c r="R19">
        <v>3593.4468199846347</v>
      </c>
      <c r="S19">
        <v>3626.5061470456621</v>
      </c>
      <c r="T19">
        <v>3660.2069614289157</v>
      </c>
      <c r="U19">
        <v>3694.5665742476781</v>
      </c>
      <c r="V19">
        <v>3729.6097813735105</v>
      </c>
    </row>
    <row r="20" spans="1:25" x14ac:dyDescent="0.15">
      <c r="A20" t="s">
        <v>111</v>
      </c>
      <c r="B20" s="32">
        <f t="shared" si="0"/>
        <v>-100</v>
      </c>
      <c r="C20" s="59"/>
      <c r="D20" s="11"/>
      <c r="E20" s="11"/>
      <c r="F20" s="11"/>
      <c r="G20" s="11"/>
      <c r="H20" s="11"/>
      <c r="J20" s="69" t="s">
        <v>112</v>
      </c>
      <c r="K20">
        <v>32370.999999999996</v>
      </c>
      <c r="L20">
        <v>32342.003999999997</v>
      </c>
      <c r="M20">
        <v>32264.596696807057</v>
      </c>
      <c r="N20">
        <v>32202.261038524994</v>
      </c>
      <c r="O20">
        <v>32153.266956420597</v>
      </c>
      <c r="P20">
        <v>32117.241251302017</v>
      </c>
      <c r="Q20">
        <v>32093.104495533793</v>
      </c>
      <c r="R20">
        <v>32079.196450489279</v>
      </c>
      <c r="S20">
        <v>32086.609611377746</v>
      </c>
      <c r="T20">
        <v>32104.903549491697</v>
      </c>
      <c r="U20">
        <v>32133.655128444698</v>
      </c>
      <c r="V20">
        <v>32173.688430988848</v>
      </c>
    </row>
    <row r="21" spans="1:25" x14ac:dyDescent="0.15">
      <c r="A21" t="s">
        <v>113</v>
      </c>
      <c r="B21" s="32">
        <f t="shared" si="0"/>
        <v>-100</v>
      </c>
      <c r="C21" s="59"/>
      <c r="D21" s="11"/>
      <c r="E21" s="11"/>
      <c r="F21" s="11"/>
      <c r="G21" s="11"/>
      <c r="H21" s="11"/>
      <c r="J21" s="69" t="s">
        <v>114</v>
      </c>
      <c r="K21">
        <v>1198.4146258430828</v>
      </c>
      <c r="L21">
        <v>1184.2508784939905</v>
      </c>
      <c r="M21">
        <v>1174.2735863924686</v>
      </c>
      <c r="N21">
        <v>1164.8378330581347</v>
      </c>
      <c r="O21">
        <v>1156.0348740529978</v>
      </c>
      <c r="P21">
        <v>1147.8714239429607</v>
      </c>
      <c r="Q21">
        <v>1140.2404271873831</v>
      </c>
      <c r="R21">
        <v>1133.1083667783712</v>
      </c>
      <c r="S21">
        <v>1126.3390126175582</v>
      </c>
      <c r="T21">
        <v>1119.9557961728256</v>
      </c>
      <c r="U21">
        <v>1113.9217749435313</v>
      </c>
      <c r="V21">
        <v>1108.2160239545869</v>
      </c>
    </row>
    <row r="22" spans="1:25" x14ac:dyDescent="0.15">
      <c r="A22" t="s">
        <v>115</v>
      </c>
      <c r="B22" s="32">
        <f t="shared" si="0"/>
        <v>-100</v>
      </c>
      <c r="C22" s="59"/>
      <c r="D22" s="11"/>
      <c r="E22" s="11"/>
      <c r="F22" s="11"/>
      <c r="G22" s="11"/>
      <c r="H22" s="11"/>
      <c r="J22" s="69" t="s">
        <v>116</v>
      </c>
      <c r="K22">
        <v>24750</v>
      </c>
      <c r="L22">
        <v>24400</v>
      </c>
      <c r="M22">
        <v>24168.747099664652</v>
      </c>
      <c r="N22">
        <v>23937.13373206852</v>
      </c>
      <c r="O22">
        <v>23707.743415390978</v>
      </c>
      <c r="P22">
        <v>23481.606416280934</v>
      </c>
      <c r="Q22">
        <v>23257.60128565257</v>
      </c>
      <c r="R22">
        <v>23035.254146712923</v>
      </c>
      <c r="S22">
        <v>22824.660573150468</v>
      </c>
      <c r="T22">
        <v>22614.486326406717</v>
      </c>
      <c r="U22">
        <v>22404.454315622712</v>
      </c>
      <c r="V22">
        <v>22195.123804363669</v>
      </c>
    </row>
    <row r="23" spans="1:25" x14ac:dyDescent="0.15">
      <c r="A23" t="s">
        <v>117</v>
      </c>
      <c r="B23" s="32">
        <f t="shared" si="0"/>
        <v>-100</v>
      </c>
      <c r="C23" s="59"/>
      <c r="D23" s="11"/>
      <c r="E23" s="11"/>
      <c r="F23" s="11"/>
      <c r="G23" s="11"/>
      <c r="H23" s="11"/>
      <c r="J23" s="69" t="s">
        <v>118</v>
      </c>
      <c r="K23">
        <v>21019.604153008404</v>
      </c>
      <c r="L23">
        <v>20847.774409412785</v>
      </c>
      <c r="M23">
        <v>20833.222390836829</v>
      </c>
      <c r="N23">
        <v>20688.717980315807</v>
      </c>
      <c r="O23">
        <v>20517.099178899742</v>
      </c>
      <c r="P23">
        <v>20354.412341719944</v>
      </c>
      <c r="Q23">
        <v>20200.34526003668</v>
      </c>
      <c r="R23">
        <v>20053.543832851174</v>
      </c>
      <c r="S23">
        <v>19920.304489943253</v>
      </c>
      <c r="T23">
        <v>19794.110624098743</v>
      </c>
      <c r="U23">
        <v>19674.509576365093</v>
      </c>
      <c r="V23">
        <v>19561.760557198435</v>
      </c>
    </row>
    <row r="24" spans="1:25" x14ac:dyDescent="0.15">
      <c r="A24" t="s">
        <v>119</v>
      </c>
      <c r="B24" s="32" t="e">
        <f t="shared" si="0"/>
        <v>#DIV/0!</v>
      </c>
      <c r="C24" s="59"/>
      <c r="D24" s="11"/>
      <c r="E24" s="11"/>
      <c r="F24" s="11"/>
      <c r="G24" s="11"/>
      <c r="H24" s="11"/>
    </row>
    <row r="25" spans="1:25" x14ac:dyDescent="0.15">
      <c r="A25" t="s">
        <v>120</v>
      </c>
      <c r="B25" s="32" t="e">
        <f t="shared" si="0"/>
        <v>#DIV/0!</v>
      </c>
      <c r="C25" s="59"/>
      <c r="D25" s="11"/>
      <c r="E25" s="11"/>
      <c r="F25" s="11"/>
      <c r="G25" s="11"/>
      <c r="L25" s="18"/>
      <c r="Y25" s="18"/>
    </row>
    <row r="26" spans="1:25" x14ac:dyDescent="0.15">
      <c r="A26" t="s">
        <v>121</v>
      </c>
      <c r="B26" s="32" t="e">
        <f t="shared" si="0"/>
        <v>#DIV/0!</v>
      </c>
      <c r="C26" s="59"/>
      <c r="D26" s="11"/>
      <c r="E26" s="11"/>
      <c r="F26" s="11"/>
      <c r="G26" s="11"/>
    </row>
    <row r="27" spans="1:25" x14ac:dyDescent="0.15">
      <c r="A27" t="s">
        <v>122</v>
      </c>
      <c r="B27" s="32" t="e">
        <f t="shared" si="0"/>
        <v>#DIV/0!</v>
      </c>
      <c r="C27" s="59"/>
      <c r="D27" s="11"/>
      <c r="E27" s="11"/>
      <c r="F27" s="11"/>
      <c r="G27" s="11"/>
    </row>
    <row r="28" spans="1:25" x14ac:dyDescent="0.15">
      <c r="A28" t="s">
        <v>123</v>
      </c>
      <c r="B28" s="32" t="e">
        <f t="shared" si="0"/>
        <v>#DIV/0!</v>
      </c>
      <c r="C28" s="59"/>
      <c r="D28" s="11"/>
      <c r="E28" s="11"/>
      <c r="F28" s="11"/>
      <c r="G28" s="11"/>
    </row>
    <row r="29" spans="1:25" x14ac:dyDescent="0.15">
      <c r="A29" t="s">
        <v>124</v>
      </c>
      <c r="B29" s="32" t="e">
        <f t="shared" si="0"/>
        <v>#DIV/0!</v>
      </c>
      <c r="C29" s="59"/>
      <c r="D29" s="11"/>
      <c r="E29" s="11"/>
      <c r="F29" s="11"/>
      <c r="G29" s="11"/>
    </row>
    <row r="30" spans="1:25" x14ac:dyDescent="0.15">
      <c r="A30" t="s">
        <v>125</v>
      </c>
      <c r="B30" s="32" t="e">
        <f t="shared" si="0"/>
        <v>#DIV/0!</v>
      </c>
      <c r="C30" s="59"/>
      <c r="D30" s="11"/>
      <c r="E30" s="11"/>
      <c r="F30" s="11"/>
      <c r="G30" s="11"/>
    </row>
    <row r="31" spans="1:25" x14ac:dyDescent="0.15">
      <c r="A31" t="s">
        <v>126</v>
      </c>
      <c r="B31" s="32" t="e">
        <f t="shared" si="0"/>
        <v>#DIV/0!</v>
      </c>
      <c r="C31" s="59"/>
      <c r="D31" s="11"/>
      <c r="E31" s="11"/>
      <c r="F31" s="11"/>
      <c r="G31" s="11"/>
      <c r="H31" s="11"/>
    </row>
    <row r="32" spans="1:25" x14ac:dyDescent="0.15">
      <c r="A32" t="s">
        <v>127</v>
      </c>
      <c r="B32" s="32" t="e">
        <f t="shared" si="0"/>
        <v>#DIV/0!</v>
      </c>
      <c r="C32" s="59"/>
      <c r="D32" s="11"/>
      <c r="E32" s="11"/>
      <c r="F32" s="11"/>
      <c r="G32" s="11"/>
    </row>
    <row r="33" spans="1:10" x14ac:dyDescent="0.15">
      <c r="A33" s="4" t="s">
        <v>128</v>
      </c>
      <c r="B33" s="32" t="e">
        <f t="shared" si="0"/>
        <v>#DIV/0!</v>
      </c>
      <c r="C33" s="59"/>
      <c r="D33" s="11"/>
      <c r="E33" s="11"/>
      <c r="F33" s="11"/>
      <c r="G33" s="11"/>
      <c r="H33" s="58"/>
      <c r="I33" s="4"/>
      <c r="J33" s="4"/>
    </row>
    <row r="34" spans="1:10" x14ac:dyDescent="0.15">
      <c r="A34" t="s">
        <v>129</v>
      </c>
      <c r="B34" s="32" t="e">
        <f t="shared" si="0"/>
        <v>#DIV/0!</v>
      </c>
      <c r="C34" s="59"/>
      <c r="D34" s="11"/>
      <c r="E34" s="11"/>
      <c r="F34" s="11"/>
      <c r="G34" s="11"/>
      <c r="H34" s="11"/>
    </row>
    <row r="35" spans="1:10" x14ac:dyDescent="0.15">
      <c r="C35" s="59"/>
      <c r="D35" s="11"/>
      <c r="E35" s="11"/>
      <c r="F35" s="11"/>
      <c r="G35" s="11"/>
      <c r="H35" s="11"/>
    </row>
    <row r="36" spans="1:10" x14ac:dyDescent="0.15">
      <c r="C36" s="11"/>
      <c r="D36" s="11"/>
      <c r="E36" s="11"/>
      <c r="F36" s="11"/>
      <c r="G36" s="11"/>
      <c r="H36" s="11"/>
    </row>
    <row r="37" spans="1:10" x14ac:dyDescent="0.15">
      <c r="C37" s="11"/>
      <c r="D37" s="11"/>
      <c r="E37" s="11"/>
      <c r="F37" s="11"/>
      <c r="G37" s="11"/>
      <c r="H37" s="11"/>
    </row>
    <row r="38" spans="1:10" x14ac:dyDescent="0.15">
      <c r="C38" s="11"/>
      <c r="D38" s="11"/>
      <c r="E38" s="11"/>
      <c r="F38" s="11"/>
      <c r="G38" s="11"/>
      <c r="H38" s="11"/>
    </row>
    <row r="39" spans="1:10" x14ac:dyDescent="0.15">
      <c r="C39" s="11"/>
      <c r="D39" s="11"/>
      <c r="E39" s="11"/>
      <c r="F39" s="11"/>
      <c r="G39" s="11"/>
      <c r="H39" s="11"/>
    </row>
    <row r="40" spans="1:10" x14ac:dyDescent="0.15">
      <c r="C40" s="11"/>
      <c r="D40" s="11"/>
      <c r="E40" s="11"/>
      <c r="F40" s="11"/>
      <c r="G40" s="11"/>
      <c r="H40" s="11"/>
    </row>
    <row r="41" spans="1:10" x14ac:dyDescent="0.15">
      <c r="C41" s="11"/>
      <c r="D41" s="11"/>
      <c r="E41" s="11"/>
      <c r="F41" s="11"/>
      <c r="G41" s="11"/>
      <c r="H41" s="11"/>
    </row>
    <row r="42" spans="1:10" x14ac:dyDescent="0.15">
      <c r="C42" s="11"/>
      <c r="D42" s="11"/>
      <c r="E42" s="11"/>
      <c r="F42" s="11"/>
      <c r="G42" s="11"/>
      <c r="H42" s="11"/>
    </row>
    <row r="43" spans="1:10" x14ac:dyDescent="0.15">
      <c r="C43" s="11"/>
      <c r="D43" s="11"/>
      <c r="E43" s="11"/>
      <c r="F43" s="11"/>
      <c r="G43" s="11"/>
      <c r="H43" s="11"/>
    </row>
    <row r="44" spans="1:10" x14ac:dyDescent="0.15">
      <c r="C44" s="11"/>
      <c r="D44" s="11"/>
      <c r="E44" s="11"/>
      <c r="F44" s="11"/>
      <c r="G44" s="11"/>
      <c r="H44" s="11"/>
    </row>
    <row r="45" spans="1:10" x14ac:dyDescent="0.15">
      <c r="C45" s="11"/>
      <c r="D45" s="11"/>
      <c r="E45" s="11"/>
      <c r="F45" s="11"/>
      <c r="G45" s="11"/>
      <c r="H45" s="11"/>
    </row>
    <row r="46" spans="1:10" x14ac:dyDescent="0.15">
      <c r="C46" s="11"/>
      <c r="D46" s="11"/>
      <c r="E46" s="11"/>
      <c r="F46" s="11"/>
      <c r="G46" s="11"/>
      <c r="H46" s="11"/>
    </row>
    <row r="51" spans="3:8" x14ac:dyDescent="0.15">
      <c r="C51" s="11"/>
      <c r="D51" s="11"/>
      <c r="E51" s="11"/>
      <c r="F51" s="11"/>
      <c r="G51" s="11"/>
      <c r="H51" s="11"/>
    </row>
    <row r="53" spans="3:8" x14ac:dyDescent="0.15">
      <c r="C53" s="11"/>
      <c r="D53" s="11"/>
      <c r="E53" s="11"/>
      <c r="F53" s="11"/>
      <c r="G53" s="11"/>
      <c r="H53" s="11"/>
    </row>
    <row r="54" spans="3:8" x14ac:dyDescent="0.15">
      <c r="C54" s="11"/>
      <c r="D54" s="11"/>
      <c r="E54" s="11"/>
      <c r="F54" s="11"/>
      <c r="G54" s="11"/>
      <c r="H54" s="11"/>
    </row>
    <row r="55" spans="3:8" x14ac:dyDescent="0.15">
      <c r="C55" s="11"/>
      <c r="D55" s="11"/>
      <c r="E55" s="11"/>
      <c r="F55" s="11"/>
      <c r="G55" s="11"/>
      <c r="H55" s="11"/>
    </row>
    <row r="56" spans="3:8" x14ac:dyDescent="0.15">
      <c r="C56" s="11"/>
      <c r="D56" s="11"/>
      <c r="E56" s="11"/>
      <c r="F56" s="11"/>
      <c r="G56" s="11"/>
      <c r="H56" s="11"/>
    </row>
    <row r="57" spans="3:8" x14ac:dyDescent="0.15">
      <c r="C57" s="11"/>
      <c r="D57" s="11"/>
      <c r="E57" s="11"/>
      <c r="F57" s="11"/>
      <c r="G57" s="11"/>
      <c r="H57" s="11"/>
    </row>
    <row r="58" spans="3:8" x14ac:dyDescent="0.15">
      <c r="C58" s="11"/>
      <c r="D58" s="11"/>
      <c r="E58" s="11"/>
      <c r="F58" s="11"/>
      <c r="G58" s="11"/>
      <c r="H58" s="11"/>
    </row>
    <row r="59" spans="3:8" x14ac:dyDescent="0.15">
      <c r="C59" s="11"/>
      <c r="D59" s="11"/>
      <c r="E59" s="11"/>
      <c r="F59" s="11"/>
      <c r="G59" s="11"/>
      <c r="H59" s="11"/>
    </row>
    <row r="60" spans="3:8" x14ac:dyDescent="0.15">
      <c r="C60" s="11"/>
      <c r="D60" s="11"/>
      <c r="E60" s="11"/>
      <c r="F60" s="11"/>
      <c r="G60" s="11"/>
      <c r="H60" s="11"/>
    </row>
    <row r="61" spans="3:8" x14ac:dyDescent="0.15">
      <c r="C61" s="11"/>
      <c r="D61" s="11"/>
      <c r="E61" s="11"/>
      <c r="F61" s="11"/>
      <c r="G61" s="11"/>
      <c r="H61" s="11"/>
    </row>
    <row r="62" spans="3:8" x14ac:dyDescent="0.15">
      <c r="C62" s="11"/>
      <c r="D62" s="11"/>
      <c r="E62" s="11"/>
      <c r="F62" s="11"/>
      <c r="G62" s="11"/>
      <c r="H62" s="11"/>
    </row>
    <row r="63" spans="3:8" x14ac:dyDescent="0.15">
      <c r="C63" s="11"/>
      <c r="D63" s="11"/>
      <c r="E63" s="11"/>
      <c r="F63" s="11"/>
      <c r="G63" s="11"/>
      <c r="H63" s="11"/>
    </row>
    <row r="64" spans="3:8" x14ac:dyDescent="0.15">
      <c r="C64" s="11"/>
      <c r="D64" s="11"/>
      <c r="E64" s="11"/>
      <c r="F64" s="11"/>
      <c r="G64" s="11"/>
      <c r="H64" s="11"/>
    </row>
    <row r="65" spans="3:8" x14ac:dyDescent="0.15">
      <c r="C65" s="11"/>
      <c r="D65" s="11"/>
      <c r="E65" s="11"/>
      <c r="F65" s="11"/>
      <c r="G65" s="11"/>
      <c r="H65" s="11"/>
    </row>
    <row r="66" spans="3:8" x14ac:dyDescent="0.15">
      <c r="C66" s="11"/>
      <c r="D66" s="11"/>
      <c r="E66" s="11"/>
      <c r="F66" s="11"/>
      <c r="G66" s="11"/>
      <c r="H66" s="11"/>
    </row>
    <row r="71" spans="3:8" x14ac:dyDescent="0.15">
      <c r="C71" s="11"/>
      <c r="D71" s="11"/>
      <c r="E71" s="11"/>
      <c r="F71" s="11"/>
      <c r="G71" s="11"/>
      <c r="H71" s="11"/>
    </row>
    <row r="73" spans="3:8" x14ac:dyDescent="0.15">
      <c r="C73" s="11"/>
      <c r="D73" s="11"/>
      <c r="E73" s="11"/>
      <c r="F73" s="11"/>
      <c r="G73" s="11"/>
      <c r="H73" s="11"/>
    </row>
    <row r="74" spans="3:8" x14ac:dyDescent="0.15">
      <c r="C74" s="11"/>
      <c r="D74" s="11"/>
      <c r="E74" s="11"/>
      <c r="F74" s="11"/>
      <c r="G74" s="11"/>
      <c r="H74" s="11"/>
    </row>
    <row r="75" spans="3:8" x14ac:dyDescent="0.15">
      <c r="C75" s="11"/>
      <c r="D75" s="11"/>
      <c r="E75" s="11"/>
      <c r="F75" s="11"/>
      <c r="G75" s="11"/>
      <c r="H75" s="11"/>
    </row>
    <row r="76" spans="3:8" x14ac:dyDescent="0.15">
      <c r="C76" s="11"/>
      <c r="D76" s="11"/>
      <c r="E76" s="11"/>
      <c r="F76" s="11"/>
      <c r="G76" s="11"/>
      <c r="H76" s="11"/>
    </row>
    <row r="77" spans="3:8" x14ac:dyDescent="0.15">
      <c r="C77" s="11"/>
      <c r="D77" s="11"/>
      <c r="E77" s="11"/>
      <c r="F77" s="11"/>
      <c r="G77" s="11"/>
      <c r="H77" s="11"/>
    </row>
    <row r="78" spans="3:8" x14ac:dyDescent="0.15">
      <c r="C78" s="11"/>
      <c r="D78" s="11"/>
      <c r="E78" s="11"/>
      <c r="F78" s="11"/>
      <c r="G78" s="11"/>
      <c r="H78" s="11"/>
    </row>
    <row r="79" spans="3:8" x14ac:dyDescent="0.15">
      <c r="C79" s="11"/>
      <c r="D79" s="11"/>
      <c r="E79" s="11"/>
      <c r="F79" s="11"/>
      <c r="G79" s="11"/>
      <c r="H79" s="11"/>
    </row>
    <row r="80" spans="3:8" x14ac:dyDescent="0.15">
      <c r="C80" s="11"/>
      <c r="D80" s="11"/>
      <c r="E80" s="11"/>
      <c r="F80" s="11"/>
      <c r="G80" s="11"/>
      <c r="H80" s="11"/>
    </row>
    <row r="81" spans="3:8" x14ac:dyDescent="0.15">
      <c r="C81" s="11"/>
      <c r="D81" s="11"/>
      <c r="E81" s="11"/>
      <c r="F81" s="11"/>
      <c r="G81" s="11"/>
      <c r="H81" s="11"/>
    </row>
    <row r="82" spans="3:8" x14ac:dyDescent="0.15">
      <c r="C82" s="11"/>
      <c r="D82" s="11"/>
      <c r="E82" s="11"/>
      <c r="F82" s="11"/>
      <c r="G82" s="11"/>
      <c r="H82" s="11"/>
    </row>
    <row r="83" spans="3:8" x14ac:dyDescent="0.15">
      <c r="C83" s="11"/>
      <c r="D83" s="11"/>
      <c r="E83" s="11"/>
      <c r="F83" s="11"/>
      <c r="G83" s="11"/>
      <c r="H83" s="11"/>
    </row>
    <row r="84" spans="3:8" x14ac:dyDescent="0.15">
      <c r="C84" s="11"/>
      <c r="D84" s="11"/>
      <c r="E84" s="11"/>
      <c r="F84" s="11"/>
      <c r="G84" s="11"/>
      <c r="H84" s="11"/>
    </row>
    <row r="85" spans="3:8" x14ac:dyDescent="0.15">
      <c r="C85" s="11"/>
      <c r="D85" s="11"/>
      <c r="E85" s="11"/>
      <c r="F85" s="11"/>
      <c r="G85" s="11"/>
      <c r="H85" s="11"/>
    </row>
    <row r="86" spans="3:8" x14ac:dyDescent="0.15">
      <c r="C86" s="11"/>
      <c r="D86" s="11"/>
      <c r="E86" s="11"/>
      <c r="F86" s="11"/>
      <c r="G86" s="11"/>
      <c r="H86" s="11"/>
    </row>
  </sheetData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BR86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S55" sqref="S55"/>
    </sheetView>
  </sheetViews>
  <sheetFormatPr defaultColWidth="9" defaultRowHeight="13.5" x14ac:dyDescent="0.15"/>
  <cols>
    <col min="1" max="1" width="30.875" customWidth="1"/>
    <col min="2" max="2" width="15.5" style="32" customWidth="1"/>
    <col min="3" max="3" width="12.875" customWidth="1"/>
    <col min="8" max="8" width="4.625" customWidth="1"/>
    <col min="9" max="9" width="2.125" customWidth="1"/>
    <col min="10" max="10" width="35.375" customWidth="1"/>
    <col min="12" max="12" width="12.625"/>
    <col min="25" max="25" width="12.625"/>
    <col min="28" max="28" width="9" style="4"/>
  </cols>
  <sheetData>
    <row r="5" spans="1:70" x14ac:dyDescent="0.15">
      <c r="L5">
        <f>L11/L10</f>
        <v>0.98707037794735175</v>
      </c>
      <c r="Y5" t="e">
        <f>Y11/Y10</f>
        <v>#DIV/0!</v>
      </c>
    </row>
    <row r="6" spans="1:70" ht="12.75" customHeight="1" x14ac:dyDescent="0.15">
      <c r="B6" s="32" t="s">
        <v>73</v>
      </c>
      <c r="K6" s="69" t="s">
        <v>73</v>
      </c>
      <c r="L6" s="70" t="s">
        <v>73</v>
      </c>
      <c r="M6" s="70" t="s">
        <v>73</v>
      </c>
      <c r="N6" s="70" t="s">
        <v>73</v>
      </c>
      <c r="O6" s="70" t="s">
        <v>73</v>
      </c>
      <c r="P6" s="70" t="s">
        <v>73</v>
      </c>
      <c r="Q6" s="70" t="s">
        <v>73</v>
      </c>
      <c r="R6" s="70" t="s">
        <v>73</v>
      </c>
      <c r="S6" s="70" t="s">
        <v>73</v>
      </c>
      <c r="T6" s="70" t="s">
        <v>73</v>
      </c>
      <c r="U6" s="70" t="s">
        <v>73</v>
      </c>
      <c r="V6" s="70" t="s">
        <v>73</v>
      </c>
    </row>
    <row r="7" spans="1:70" x14ac:dyDescent="0.15">
      <c r="B7" s="32" t="s">
        <v>74</v>
      </c>
      <c r="C7" s="32"/>
      <c r="D7" s="32"/>
      <c r="E7" s="32"/>
      <c r="F7" s="32"/>
      <c r="G7" s="32"/>
      <c r="H7" s="11"/>
      <c r="K7" s="69" t="s">
        <v>75</v>
      </c>
      <c r="L7" s="70" t="s">
        <v>76</v>
      </c>
      <c r="M7" s="70" t="s">
        <v>77</v>
      </c>
      <c r="N7" s="70" t="s">
        <v>78</v>
      </c>
      <c r="O7" s="70" t="s">
        <v>79</v>
      </c>
      <c r="P7" s="70" t="s">
        <v>80</v>
      </c>
      <c r="Q7" s="70" t="s">
        <v>81</v>
      </c>
      <c r="R7" s="70" t="s">
        <v>82</v>
      </c>
      <c r="S7" s="70" t="s">
        <v>83</v>
      </c>
      <c r="T7" s="70" t="s">
        <v>84</v>
      </c>
      <c r="U7" s="70" t="s">
        <v>85</v>
      </c>
      <c r="V7" s="70" t="s">
        <v>86</v>
      </c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R7" s="4"/>
    </row>
    <row r="8" spans="1:70" x14ac:dyDescent="0.15">
      <c r="A8" t="s">
        <v>87</v>
      </c>
      <c r="B8" s="32">
        <f>(AD8/K8)^(1/19)*100-100</f>
        <v>-100</v>
      </c>
      <c r="C8" s="59"/>
      <c r="D8" s="11"/>
      <c r="E8" s="11"/>
      <c r="F8" s="11"/>
      <c r="G8" s="11"/>
      <c r="J8" s="69" t="s">
        <v>88</v>
      </c>
      <c r="K8">
        <v>9733.5300000000007</v>
      </c>
      <c r="L8">
        <v>9752.7330000000002</v>
      </c>
      <c r="M8">
        <v>9746.3834950397941</v>
      </c>
      <c r="N8">
        <v>9740.0331880522353</v>
      </c>
      <c r="O8">
        <v>9733.8564908775334</v>
      </c>
      <c r="P8">
        <v>9727.4153834251956</v>
      </c>
      <c r="Q8">
        <v>9721.1321636941411</v>
      </c>
      <c r="R8">
        <v>9715.1657330914459</v>
      </c>
      <c r="S8">
        <v>9709.4999953950974</v>
      </c>
      <c r="T8">
        <v>9704.1196843031285</v>
      </c>
      <c r="U8">
        <v>9699.0103194789099</v>
      </c>
      <c r="V8">
        <v>9694.1581650354219</v>
      </c>
    </row>
    <row r="9" spans="1:70" x14ac:dyDescent="0.15">
      <c r="A9" t="s">
        <v>89</v>
      </c>
      <c r="B9" s="32">
        <f t="shared" ref="B9:B34" si="0">(AD9/K9)^(1/19)*100-100</f>
        <v>-100</v>
      </c>
      <c r="C9" s="59"/>
      <c r="D9" s="11"/>
      <c r="E9" s="11"/>
      <c r="F9" s="11"/>
      <c r="G9" s="11"/>
      <c r="H9" s="11"/>
      <c r="J9" s="69" t="s">
        <v>90</v>
      </c>
      <c r="K9">
        <v>19.685963191637168</v>
      </c>
      <c r="L9">
        <v>19.849157639929043</v>
      </c>
      <c r="M9">
        <v>19.925121070431384</v>
      </c>
      <c r="N9">
        <v>20.001675453051604</v>
      </c>
      <c r="O9">
        <v>20.079290096472832</v>
      </c>
      <c r="P9">
        <v>20.158026887453808</v>
      </c>
      <c r="Q9">
        <v>20.238090195945304</v>
      </c>
      <c r="R9">
        <v>20.319252921886232</v>
      </c>
      <c r="S9">
        <v>20.401694244973882</v>
      </c>
      <c r="T9">
        <v>20.485708152421864</v>
      </c>
      <c r="U9">
        <v>20.571405112368566</v>
      </c>
      <c r="V9">
        <v>20.658953136033759</v>
      </c>
    </row>
    <row r="10" spans="1:70" x14ac:dyDescent="0.15">
      <c r="A10" t="s">
        <v>91</v>
      </c>
      <c r="B10" s="32">
        <f t="shared" si="0"/>
        <v>-100</v>
      </c>
      <c r="C10" s="59"/>
      <c r="D10" s="11"/>
      <c r="E10" s="11"/>
      <c r="F10" s="11"/>
      <c r="G10" s="11"/>
      <c r="H10" s="11"/>
      <c r="J10" s="69" t="s">
        <v>92</v>
      </c>
      <c r="K10">
        <v>66803.23</v>
      </c>
      <c r="L10">
        <v>65886.69</v>
      </c>
      <c r="M10">
        <v>66204.34683566993</v>
      </c>
      <c r="N10">
        <v>66603.285371265461</v>
      </c>
      <c r="O10">
        <v>66766.123509083205</v>
      </c>
      <c r="P10">
        <v>66907.721003786821</v>
      </c>
      <c r="Q10">
        <v>67046.615646172577</v>
      </c>
      <c r="R10">
        <v>67186.598258771075</v>
      </c>
      <c r="S10">
        <v>67344.9173945355</v>
      </c>
      <c r="T10">
        <v>67512.373272420737</v>
      </c>
      <c r="U10">
        <v>67688.237764428472</v>
      </c>
      <c r="V10">
        <v>67873.549900393511</v>
      </c>
    </row>
    <row r="11" spans="1:70" x14ac:dyDescent="0.15">
      <c r="A11" t="s">
        <v>93</v>
      </c>
      <c r="B11" s="32">
        <f t="shared" si="0"/>
        <v>-100</v>
      </c>
      <c r="C11" s="59"/>
      <c r="D11" s="11"/>
      <c r="E11" s="11"/>
      <c r="F11" s="11"/>
      <c r="G11" s="11"/>
      <c r="H11" s="11"/>
      <c r="J11" s="69" t="s">
        <v>94</v>
      </c>
      <c r="K11">
        <v>64255.4</v>
      </c>
      <c r="L11">
        <v>65034.8</v>
      </c>
      <c r="M11">
        <v>65268.950530044582</v>
      </c>
      <c r="N11">
        <v>65504.671959692794</v>
      </c>
      <c r="O11">
        <v>65744.921870758757</v>
      </c>
      <c r="P11">
        <v>65986.430420737641</v>
      </c>
      <c r="Q11">
        <v>66232.684195793263</v>
      </c>
      <c r="R11">
        <v>66484.579331527464</v>
      </c>
      <c r="S11">
        <v>66742.646933970362</v>
      </c>
      <c r="T11">
        <v>67007.813953335892</v>
      </c>
      <c r="U11">
        <v>67280.38499959762</v>
      </c>
      <c r="V11">
        <v>67560.865085917001</v>
      </c>
    </row>
    <row r="12" spans="1:70" x14ac:dyDescent="0.15">
      <c r="A12" s="4" t="s">
        <v>95</v>
      </c>
      <c r="B12" s="32">
        <f t="shared" si="0"/>
        <v>-100</v>
      </c>
      <c r="C12" s="59"/>
      <c r="D12" s="11"/>
      <c r="E12" s="11"/>
      <c r="F12" s="11"/>
      <c r="G12" s="11"/>
      <c r="H12" s="58"/>
      <c r="I12" s="4"/>
      <c r="J12" s="71" t="s">
        <v>96</v>
      </c>
      <c r="K12">
        <v>2547.83</v>
      </c>
      <c r="L12">
        <v>851.8900000000001</v>
      </c>
      <c r="M12">
        <v>935.3963056253499</v>
      </c>
      <c r="N12">
        <v>1098.6134115726652</v>
      </c>
      <c r="O12">
        <v>1021.2016383244535</v>
      </c>
      <c r="P12">
        <v>921.29058304918431</v>
      </c>
      <c r="Q12">
        <v>813.93145037930685</v>
      </c>
      <c r="R12">
        <v>702.0189272436071</v>
      </c>
      <c r="S12">
        <v>602.270460565132</v>
      </c>
      <c r="T12">
        <v>504.55931908484956</v>
      </c>
      <c r="U12">
        <v>407.85276483085522</v>
      </c>
      <c r="V12">
        <v>312.68481447651311</v>
      </c>
    </row>
    <row r="13" spans="1:70" x14ac:dyDescent="0.15">
      <c r="A13" t="s">
        <v>97</v>
      </c>
      <c r="B13" s="32">
        <f t="shared" si="0"/>
        <v>-100</v>
      </c>
      <c r="C13" s="59"/>
      <c r="D13" s="11"/>
      <c r="E13" s="11"/>
      <c r="F13" s="11"/>
      <c r="G13" s="11"/>
      <c r="H13" s="11"/>
      <c r="J13" s="69" t="s">
        <v>98</v>
      </c>
      <c r="K13">
        <v>66803.23</v>
      </c>
      <c r="L13">
        <v>65886.69</v>
      </c>
      <c r="M13">
        <v>66204.34683566993</v>
      </c>
      <c r="N13">
        <v>66603.285371265461</v>
      </c>
      <c r="O13">
        <v>66766.12350908322</v>
      </c>
      <c r="P13">
        <v>66907.721003786821</v>
      </c>
      <c r="Q13">
        <v>67046.615646172577</v>
      </c>
      <c r="R13">
        <v>67186.598258771075</v>
      </c>
      <c r="S13">
        <v>67344.9173945355</v>
      </c>
      <c r="T13">
        <v>67512.373272420751</v>
      </c>
      <c r="U13">
        <v>67688.237764428457</v>
      </c>
      <c r="V13">
        <v>67873.549900393497</v>
      </c>
    </row>
    <row r="14" spans="1:70" x14ac:dyDescent="0.15">
      <c r="A14" t="s">
        <v>99</v>
      </c>
      <c r="B14" s="32">
        <f t="shared" si="0"/>
        <v>-100</v>
      </c>
      <c r="C14" s="59"/>
      <c r="D14" s="11"/>
      <c r="E14" s="11"/>
      <c r="F14" s="11"/>
      <c r="G14" s="11"/>
      <c r="H14" s="11"/>
      <c r="J14" s="69" t="s">
        <v>100</v>
      </c>
      <c r="K14">
        <v>189.16692703155621</v>
      </c>
      <c r="L14">
        <v>187.34562848336881</v>
      </c>
      <c r="M14">
        <v>185.83736175873122</v>
      </c>
      <c r="N14">
        <v>184.41503555018275</v>
      </c>
      <c r="O14">
        <v>183.09062982191742</v>
      </c>
      <c r="P14">
        <v>181.86537453268579</v>
      </c>
      <c r="Q14">
        <v>180.72275151246293</v>
      </c>
      <c r="R14">
        <v>179.65658522874693</v>
      </c>
      <c r="S14">
        <v>178.64680579342507</v>
      </c>
      <c r="T14">
        <v>177.69634188486327</v>
      </c>
      <c r="U14">
        <v>176.79949152393613</v>
      </c>
      <c r="V14">
        <v>175.95289232707214</v>
      </c>
    </row>
    <row r="15" spans="1:70" x14ac:dyDescent="0.15">
      <c r="A15" t="s">
        <v>101</v>
      </c>
      <c r="B15" s="32">
        <f t="shared" si="0"/>
        <v>-100</v>
      </c>
      <c r="C15" s="59"/>
      <c r="D15" s="11"/>
      <c r="E15" s="11"/>
      <c r="F15" s="11"/>
      <c r="G15" s="11"/>
      <c r="H15" s="11"/>
      <c r="J15" s="69" t="s">
        <v>102</v>
      </c>
      <c r="K15">
        <v>918</v>
      </c>
      <c r="L15">
        <v>966.5</v>
      </c>
      <c r="M15">
        <v>965.82080495423349</v>
      </c>
      <c r="N15">
        <v>965.16966195804491</v>
      </c>
      <c r="O15">
        <v>964.54649468212165</v>
      </c>
      <c r="P15">
        <v>963.9494001760836</v>
      </c>
      <c r="Q15">
        <v>963.42109979213831</v>
      </c>
      <c r="R15">
        <v>962.91933775359905</v>
      </c>
      <c r="S15">
        <v>962.4427751582258</v>
      </c>
      <c r="T15">
        <v>961.99014121177697</v>
      </c>
      <c r="U15">
        <v>961.56022971004109</v>
      </c>
      <c r="V15">
        <v>961.15189570762266</v>
      </c>
    </row>
    <row r="16" spans="1:70" x14ac:dyDescent="0.15">
      <c r="A16" t="s">
        <v>103</v>
      </c>
      <c r="B16" s="32">
        <f t="shared" si="0"/>
        <v>-100</v>
      </c>
      <c r="C16" s="59"/>
      <c r="D16" s="11"/>
      <c r="E16" s="11"/>
      <c r="F16" s="11"/>
      <c r="G16" s="11"/>
      <c r="H16" s="11"/>
      <c r="J16" s="69" t="s">
        <v>104</v>
      </c>
      <c r="K16">
        <v>19709.86</v>
      </c>
      <c r="L16">
        <v>22403.84</v>
      </c>
      <c r="M16">
        <v>22433.657059684694</v>
      </c>
      <c r="N16">
        <v>22432.398044101734</v>
      </c>
      <c r="O16">
        <v>22460.042515905207</v>
      </c>
      <c r="P16">
        <v>22500.616616759238</v>
      </c>
      <c r="Q16">
        <v>22541.307015764127</v>
      </c>
      <c r="R16">
        <v>22582.919589122856</v>
      </c>
      <c r="S16">
        <v>22626.610566575473</v>
      </c>
      <c r="T16">
        <v>22672.269569316704</v>
      </c>
      <c r="U16">
        <v>22719.853396314677</v>
      </c>
      <c r="V16">
        <v>22769.300533571906</v>
      </c>
    </row>
    <row r="17" spans="1:22" x14ac:dyDescent="0.15">
      <c r="A17" t="s">
        <v>105</v>
      </c>
      <c r="B17" s="32">
        <f t="shared" si="0"/>
        <v>-100</v>
      </c>
      <c r="C17" s="59"/>
      <c r="D17" s="11"/>
      <c r="E17" s="11"/>
      <c r="F17" s="11"/>
      <c r="G17" s="11"/>
      <c r="H17" s="11"/>
      <c r="J17" s="69" t="s">
        <v>106</v>
      </c>
      <c r="K17">
        <v>10680</v>
      </c>
      <c r="L17">
        <v>10700</v>
      </c>
      <c r="M17">
        <v>10954.269773152349</v>
      </c>
      <c r="N17">
        <v>11217.059032119105</v>
      </c>
      <c r="O17">
        <v>11483.019410110981</v>
      </c>
      <c r="P17">
        <v>11753.415764641624</v>
      </c>
      <c r="Q17">
        <v>12031.810464847047</v>
      </c>
      <c r="R17">
        <v>12313.743678342742</v>
      </c>
      <c r="S17">
        <v>12601.076215318612</v>
      </c>
      <c r="T17">
        <v>12895.681044519679</v>
      </c>
      <c r="U17">
        <v>13196.511780842962</v>
      </c>
      <c r="V17">
        <v>13503.731075228872</v>
      </c>
    </row>
    <row r="18" spans="1:22" x14ac:dyDescent="0.15">
      <c r="A18" t="s">
        <v>107</v>
      </c>
      <c r="B18" s="32">
        <f t="shared" si="0"/>
        <v>-100</v>
      </c>
      <c r="C18" s="59"/>
      <c r="D18" s="11"/>
      <c r="E18" s="11"/>
      <c r="F18" s="11"/>
      <c r="G18" s="11"/>
      <c r="H18" s="11"/>
      <c r="J18" s="69" t="s">
        <v>108</v>
      </c>
      <c r="K18">
        <v>2864.74</v>
      </c>
      <c r="L18">
        <v>2902.3389999999999</v>
      </c>
      <c r="M18">
        <v>2913.2620613254871</v>
      </c>
      <c r="N18">
        <v>2924.2417908479561</v>
      </c>
      <c r="O18">
        <v>2935.4251015043114</v>
      </c>
      <c r="P18">
        <v>2946.6519639456137</v>
      </c>
      <c r="Q18">
        <v>2958.0831813487257</v>
      </c>
      <c r="R18">
        <v>2969.7749175991862</v>
      </c>
      <c r="S18">
        <v>2981.7518493931366</v>
      </c>
      <c r="T18">
        <v>2994.0569378420068</v>
      </c>
      <c r="U18">
        <v>3006.704438827438</v>
      </c>
      <c r="V18">
        <v>3019.7178686254892</v>
      </c>
    </row>
    <row r="19" spans="1:22" x14ac:dyDescent="0.15">
      <c r="A19" t="s">
        <v>109</v>
      </c>
      <c r="B19" s="32">
        <f t="shared" si="0"/>
        <v>-100</v>
      </c>
      <c r="C19" s="59"/>
      <c r="D19" s="11"/>
      <c r="E19" s="11"/>
      <c r="F19" s="11"/>
      <c r="G19" s="11"/>
      <c r="H19" s="11"/>
      <c r="J19" s="69" t="s">
        <v>110</v>
      </c>
      <c r="K19">
        <v>5990.6299999999992</v>
      </c>
      <c r="L19">
        <v>2594.0110000000013</v>
      </c>
      <c r="M19">
        <v>2856.9775385413564</v>
      </c>
      <c r="N19">
        <v>3224.0769443767454</v>
      </c>
      <c r="O19">
        <v>3320.7197892043628</v>
      </c>
      <c r="P19">
        <v>3375.5209267690266</v>
      </c>
      <c r="Q19">
        <v>3417.2254111784391</v>
      </c>
      <c r="R19">
        <v>3453.8988415140279</v>
      </c>
      <c r="S19">
        <v>3488.6261450711891</v>
      </c>
      <c r="T19">
        <v>3522.7682895412304</v>
      </c>
      <c r="U19">
        <v>3556.9579081983647</v>
      </c>
      <c r="V19">
        <v>3591.516272487876</v>
      </c>
    </row>
    <row r="20" spans="1:22" x14ac:dyDescent="0.15">
      <c r="A20" t="s">
        <v>111</v>
      </c>
      <c r="B20" s="32">
        <f t="shared" si="0"/>
        <v>-100</v>
      </c>
      <c r="C20" s="59"/>
      <c r="D20" s="11"/>
      <c r="E20" s="11"/>
      <c r="F20" s="11"/>
      <c r="G20" s="11"/>
      <c r="H20" s="11"/>
      <c r="J20" s="69" t="s">
        <v>112</v>
      </c>
      <c r="K20">
        <v>60812.6</v>
      </c>
      <c r="L20">
        <v>63292.679000000004</v>
      </c>
      <c r="M20">
        <v>63347.369297128571</v>
      </c>
      <c r="N20">
        <v>63379.208426888719</v>
      </c>
      <c r="O20">
        <v>63445.403719878857</v>
      </c>
      <c r="P20">
        <v>63532.200077017791</v>
      </c>
      <c r="Q20">
        <v>63629.390234994135</v>
      </c>
      <c r="R20">
        <v>63732.699417257048</v>
      </c>
      <c r="S20">
        <v>63856.29124946431</v>
      </c>
      <c r="T20">
        <v>63989.604982879522</v>
      </c>
      <c r="U20">
        <v>64131.279856230089</v>
      </c>
      <c r="V20">
        <v>64282.033627905621</v>
      </c>
    </row>
    <row r="21" spans="1:22" x14ac:dyDescent="0.15">
      <c r="A21" t="s">
        <v>113</v>
      </c>
      <c r="B21" s="32">
        <f t="shared" si="0"/>
        <v>-100</v>
      </c>
      <c r="C21" s="59"/>
      <c r="D21" s="11"/>
      <c r="E21" s="11"/>
      <c r="F21" s="11"/>
      <c r="G21" s="11"/>
      <c r="H21" s="11"/>
      <c r="J21" s="69" t="s">
        <v>114</v>
      </c>
      <c r="K21">
        <v>1292.6237827357702</v>
      </c>
      <c r="L21">
        <v>1280.1863539145411</v>
      </c>
      <c r="M21">
        <v>1269.8915834432712</v>
      </c>
      <c r="N21">
        <v>1260.1842254347025</v>
      </c>
      <c r="O21">
        <v>1251.1456976553181</v>
      </c>
      <c r="P21">
        <v>1242.7840520663483</v>
      </c>
      <c r="Q21">
        <v>1234.986500473678</v>
      </c>
      <c r="R21">
        <v>1227.7109741605479</v>
      </c>
      <c r="S21">
        <v>1220.8206102533643</v>
      </c>
      <c r="T21">
        <v>1214.3352828112365</v>
      </c>
      <c r="U21">
        <v>1208.2160564427365</v>
      </c>
      <c r="V21">
        <v>1202.4399482862805</v>
      </c>
    </row>
    <row r="22" spans="1:22" x14ac:dyDescent="0.15">
      <c r="A22" t="s">
        <v>115</v>
      </c>
      <c r="B22" s="32">
        <f t="shared" si="0"/>
        <v>-100</v>
      </c>
      <c r="C22" s="59"/>
      <c r="D22" s="11"/>
      <c r="E22" s="11"/>
      <c r="F22" s="11"/>
      <c r="G22" s="11"/>
      <c r="H22" s="11"/>
      <c r="J22" s="69" t="s">
        <v>116</v>
      </c>
      <c r="K22">
        <v>26640</v>
      </c>
      <c r="L22">
        <v>26320</v>
      </c>
      <c r="M22">
        <v>26080.359598011808</v>
      </c>
      <c r="N22">
        <v>25840.339897861872</v>
      </c>
      <c r="O22">
        <v>25602.370197676231</v>
      </c>
      <c r="P22">
        <v>25367.566331495236</v>
      </c>
      <c r="Q22">
        <v>25134.768473242075</v>
      </c>
      <c r="R22">
        <v>24903.341894438661</v>
      </c>
      <c r="S22">
        <v>24684.409843018861</v>
      </c>
      <c r="T22">
        <v>24465.607289989348</v>
      </c>
      <c r="U22">
        <v>24246.650010534973</v>
      </c>
      <c r="V22">
        <v>24028.132254771743</v>
      </c>
    </row>
    <row r="23" spans="1:22" x14ac:dyDescent="0.15">
      <c r="A23" t="s">
        <v>117</v>
      </c>
      <c r="B23" s="32">
        <f t="shared" si="0"/>
        <v>-100</v>
      </c>
      <c r="C23" s="59"/>
      <c r="D23" s="11"/>
      <c r="E23" s="11"/>
      <c r="F23" s="11"/>
      <c r="G23" s="11"/>
      <c r="H23" s="11"/>
      <c r="J23" s="69" t="s">
        <v>118</v>
      </c>
      <c r="K23">
        <v>26558.956030335681</v>
      </c>
      <c r="L23">
        <v>26182.271422040179</v>
      </c>
      <c r="M23">
        <v>26145.338836759511</v>
      </c>
      <c r="N23">
        <v>26022.08347540336</v>
      </c>
      <c r="O23">
        <v>25831.766856068796</v>
      </c>
      <c r="P23">
        <v>25643.696651109472</v>
      </c>
      <c r="Q23">
        <v>25461.263476296528</v>
      </c>
      <c r="R23">
        <v>25284.168662914875</v>
      </c>
      <c r="S23">
        <v>25119.809220010175</v>
      </c>
      <c r="T23">
        <v>24961.809583992163</v>
      </c>
      <c r="U23">
        <v>24809.648075227884</v>
      </c>
      <c r="V23">
        <v>24663.588599893319</v>
      </c>
    </row>
    <row r="24" spans="1:22" x14ac:dyDescent="0.15">
      <c r="A24" t="s">
        <v>119</v>
      </c>
      <c r="B24" s="32" t="e">
        <f t="shared" si="0"/>
        <v>#DIV/0!</v>
      </c>
      <c r="C24" s="59"/>
      <c r="D24" s="11"/>
      <c r="E24" s="11"/>
      <c r="F24" s="11"/>
      <c r="G24" s="11"/>
      <c r="H24" s="11"/>
    </row>
    <row r="25" spans="1:22" x14ac:dyDescent="0.15">
      <c r="A25" t="s">
        <v>120</v>
      </c>
      <c r="B25" s="32" t="e">
        <f t="shared" si="0"/>
        <v>#DIV/0!</v>
      </c>
      <c r="C25" s="59"/>
      <c r="D25" s="11"/>
      <c r="E25" s="11"/>
      <c r="F25" s="11"/>
      <c r="G25" s="11"/>
    </row>
    <row r="26" spans="1:22" x14ac:dyDescent="0.15">
      <c r="A26" t="s">
        <v>121</v>
      </c>
      <c r="B26" s="32" t="e">
        <f t="shared" si="0"/>
        <v>#DIV/0!</v>
      </c>
      <c r="C26" s="59"/>
      <c r="D26" s="11"/>
      <c r="E26" s="11"/>
      <c r="F26" s="11"/>
      <c r="G26" s="11"/>
    </row>
    <row r="27" spans="1:22" x14ac:dyDescent="0.15">
      <c r="A27" t="s">
        <v>122</v>
      </c>
      <c r="B27" s="32" t="e">
        <f t="shared" si="0"/>
        <v>#DIV/0!</v>
      </c>
      <c r="C27" s="59"/>
      <c r="D27" s="11"/>
      <c r="E27" s="11"/>
      <c r="F27" s="11"/>
      <c r="G27" s="11"/>
    </row>
    <row r="28" spans="1:22" x14ac:dyDescent="0.15">
      <c r="A28" t="s">
        <v>123</v>
      </c>
      <c r="B28" s="32" t="e">
        <f t="shared" si="0"/>
        <v>#DIV/0!</v>
      </c>
      <c r="C28" s="59"/>
      <c r="D28" s="11"/>
      <c r="E28" s="11"/>
      <c r="F28" s="11"/>
      <c r="G28" s="11"/>
    </row>
    <row r="29" spans="1:22" x14ac:dyDescent="0.15">
      <c r="A29" t="s">
        <v>124</v>
      </c>
      <c r="B29" s="32" t="e">
        <f t="shared" si="0"/>
        <v>#DIV/0!</v>
      </c>
      <c r="C29" s="59"/>
      <c r="D29" s="11"/>
      <c r="E29" s="11"/>
      <c r="F29" s="11"/>
      <c r="G29" s="11"/>
    </row>
    <row r="30" spans="1:22" x14ac:dyDescent="0.15">
      <c r="A30" t="s">
        <v>125</v>
      </c>
      <c r="B30" s="32" t="e">
        <f t="shared" si="0"/>
        <v>#DIV/0!</v>
      </c>
      <c r="C30" s="59"/>
      <c r="D30" s="11"/>
      <c r="E30" s="11"/>
      <c r="F30" s="11"/>
      <c r="G30" s="11"/>
    </row>
    <row r="31" spans="1:22" x14ac:dyDescent="0.15">
      <c r="A31" t="s">
        <v>126</v>
      </c>
      <c r="B31" s="32" t="e">
        <f t="shared" si="0"/>
        <v>#DIV/0!</v>
      </c>
      <c r="C31" s="59"/>
      <c r="D31" s="11"/>
      <c r="E31" s="11"/>
      <c r="F31" s="11"/>
      <c r="G31" s="11"/>
      <c r="H31" s="11"/>
    </row>
    <row r="32" spans="1:22" x14ac:dyDescent="0.15">
      <c r="A32" t="s">
        <v>127</v>
      </c>
      <c r="B32" s="32" t="e">
        <f t="shared" si="0"/>
        <v>#DIV/0!</v>
      </c>
      <c r="C32" s="59"/>
      <c r="D32" s="11"/>
      <c r="E32" s="11"/>
      <c r="F32" s="11"/>
      <c r="G32" s="11"/>
    </row>
    <row r="33" spans="1:10" x14ac:dyDescent="0.15">
      <c r="A33" s="4" t="s">
        <v>128</v>
      </c>
      <c r="B33" s="32" t="e">
        <f t="shared" si="0"/>
        <v>#DIV/0!</v>
      </c>
      <c r="C33" s="59"/>
      <c r="D33" s="11"/>
      <c r="E33" s="11"/>
      <c r="F33" s="11"/>
      <c r="G33" s="11"/>
      <c r="H33" s="58"/>
      <c r="I33" s="4"/>
      <c r="J33" s="4"/>
    </row>
    <row r="34" spans="1:10" x14ac:dyDescent="0.15">
      <c r="A34" t="s">
        <v>129</v>
      </c>
      <c r="B34" s="32" t="e">
        <f t="shared" si="0"/>
        <v>#DIV/0!</v>
      </c>
      <c r="C34" s="59"/>
      <c r="D34" s="11"/>
      <c r="E34" s="11"/>
      <c r="F34" s="11"/>
      <c r="G34" s="11"/>
      <c r="H34" s="11"/>
    </row>
    <row r="35" spans="1:10" x14ac:dyDescent="0.15">
      <c r="C35" s="59"/>
      <c r="D35" s="11"/>
      <c r="E35" s="11"/>
      <c r="F35" s="11"/>
      <c r="G35" s="11"/>
      <c r="H35" s="11"/>
    </row>
    <row r="36" spans="1:10" x14ac:dyDescent="0.15">
      <c r="C36" s="11"/>
      <c r="D36" s="11"/>
      <c r="E36" s="11"/>
      <c r="F36" s="11"/>
      <c r="G36" s="11"/>
      <c r="H36" s="11"/>
    </row>
    <row r="37" spans="1:10" x14ac:dyDescent="0.15">
      <c r="C37" s="11"/>
      <c r="D37" s="11"/>
      <c r="E37" s="11"/>
      <c r="F37" s="11"/>
      <c r="G37" s="11"/>
      <c r="H37" s="11"/>
    </row>
    <row r="38" spans="1:10" x14ac:dyDescent="0.15">
      <c r="C38" s="11"/>
      <c r="D38" s="11"/>
      <c r="E38" s="11"/>
      <c r="F38" s="11"/>
      <c r="G38" s="11"/>
      <c r="H38" s="11"/>
    </row>
    <row r="39" spans="1:10" x14ac:dyDescent="0.15">
      <c r="C39" s="11"/>
      <c r="D39" s="11"/>
      <c r="E39" s="11"/>
      <c r="F39" s="11"/>
      <c r="G39" s="11"/>
      <c r="H39" s="11"/>
    </row>
    <row r="40" spans="1:10" x14ac:dyDescent="0.15">
      <c r="C40" s="11"/>
      <c r="D40" s="11"/>
      <c r="E40" s="11"/>
      <c r="F40" s="11"/>
      <c r="G40" s="11"/>
      <c r="H40" s="11"/>
    </row>
    <row r="41" spans="1:10" x14ac:dyDescent="0.15">
      <c r="C41" s="11"/>
      <c r="D41" s="11"/>
      <c r="E41" s="11"/>
      <c r="F41" s="11"/>
      <c r="G41" s="11"/>
      <c r="H41" s="11"/>
    </row>
    <row r="42" spans="1:10" x14ac:dyDescent="0.15">
      <c r="C42" s="11"/>
      <c r="D42" s="11"/>
      <c r="E42" s="11"/>
      <c r="F42" s="11"/>
      <c r="G42" s="11"/>
      <c r="H42" s="11"/>
    </row>
    <row r="43" spans="1:10" x14ac:dyDescent="0.15">
      <c r="C43" s="11"/>
      <c r="D43" s="11"/>
      <c r="E43" s="11"/>
      <c r="F43" s="11"/>
      <c r="G43" s="11"/>
      <c r="H43" s="11"/>
    </row>
    <row r="44" spans="1:10" x14ac:dyDescent="0.15">
      <c r="C44" s="11"/>
      <c r="D44" s="11"/>
      <c r="E44" s="11"/>
      <c r="F44" s="11"/>
      <c r="G44" s="11"/>
      <c r="H44" s="11"/>
    </row>
    <row r="45" spans="1:10" x14ac:dyDescent="0.15">
      <c r="C45" s="11"/>
      <c r="D45" s="11"/>
      <c r="E45" s="11"/>
      <c r="F45" s="11"/>
      <c r="G45" s="11"/>
      <c r="H45" s="11"/>
    </row>
    <row r="46" spans="1:10" x14ac:dyDescent="0.15">
      <c r="C46" s="11"/>
      <c r="D46" s="11"/>
      <c r="E46" s="11"/>
      <c r="F46" s="11"/>
      <c r="G46" s="11"/>
      <c r="H46" s="11"/>
    </row>
    <row r="51" spans="3:8" x14ac:dyDescent="0.15">
      <c r="C51" s="11"/>
      <c r="D51" s="11"/>
      <c r="E51" s="11"/>
      <c r="F51" s="11"/>
      <c r="G51" s="11"/>
      <c r="H51" s="11"/>
    </row>
    <row r="53" spans="3:8" x14ac:dyDescent="0.15">
      <c r="C53" s="11"/>
      <c r="D53" s="11"/>
      <c r="E53" s="11"/>
      <c r="F53" s="11"/>
      <c r="G53" s="11"/>
      <c r="H53" s="11"/>
    </row>
    <row r="54" spans="3:8" x14ac:dyDescent="0.15">
      <c r="C54" s="11"/>
      <c r="D54" s="11"/>
      <c r="E54" s="11"/>
      <c r="F54" s="11"/>
      <c r="G54" s="11"/>
      <c r="H54" s="11"/>
    </row>
    <row r="55" spans="3:8" x14ac:dyDescent="0.15">
      <c r="C55" s="11"/>
      <c r="D55" s="11"/>
      <c r="E55" s="11"/>
      <c r="F55" s="11"/>
      <c r="G55" s="11"/>
      <c r="H55" s="11"/>
    </row>
    <row r="56" spans="3:8" x14ac:dyDescent="0.15">
      <c r="C56" s="11"/>
      <c r="D56" s="11"/>
      <c r="E56" s="11"/>
      <c r="F56" s="11"/>
      <c r="G56" s="11"/>
      <c r="H56" s="11"/>
    </row>
    <row r="57" spans="3:8" x14ac:dyDescent="0.15">
      <c r="C57" s="11"/>
      <c r="D57" s="11"/>
      <c r="E57" s="11"/>
      <c r="F57" s="11"/>
      <c r="G57" s="11"/>
      <c r="H57" s="11"/>
    </row>
    <row r="58" spans="3:8" x14ac:dyDescent="0.15">
      <c r="C58" s="11"/>
      <c r="D58" s="11"/>
      <c r="E58" s="11"/>
      <c r="F58" s="11"/>
      <c r="G58" s="11"/>
      <c r="H58" s="11"/>
    </row>
    <row r="59" spans="3:8" x14ac:dyDescent="0.15">
      <c r="C59" s="11"/>
      <c r="D59" s="11"/>
      <c r="E59" s="11"/>
      <c r="F59" s="11"/>
      <c r="G59" s="11"/>
      <c r="H59" s="11"/>
    </row>
    <row r="60" spans="3:8" x14ac:dyDescent="0.15">
      <c r="C60" s="11"/>
      <c r="D60" s="11"/>
      <c r="E60" s="11"/>
      <c r="F60" s="11"/>
      <c r="G60" s="11"/>
      <c r="H60" s="11"/>
    </row>
    <row r="61" spans="3:8" x14ac:dyDescent="0.15">
      <c r="C61" s="11"/>
      <c r="D61" s="11"/>
      <c r="E61" s="11"/>
      <c r="F61" s="11"/>
      <c r="G61" s="11"/>
      <c r="H61" s="11"/>
    </row>
    <row r="62" spans="3:8" x14ac:dyDescent="0.15">
      <c r="C62" s="11"/>
      <c r="D62" s="11"/>
      <c r="E62" s="11"/>
      <c r="F62" s="11"/>
      <c r="G62" s="11"/>
      <c r="H62" s="11"/>
    </row>
    <row r="63" spans="3:8" x14ac:dyDescent="0.15">
      <c r="C63" s="11"/>
      <c r="D63" s="11"/>
      <c r="E63" s="11"/>
      <c r="F63" s="11"/>
      <c r="G63" s="11"/>
      <c r="H63" s="11"/>
    </row>
    <row r="64" spans="3:8" x14ac:dyDescent="0.15">
      <c r="C64" s="11"/>
      <c r="D64" s="11"/>
      <c r="E64" s="11"/>
      <c r="F64" s="11"/>
      <c r="G64" s="11"/>
      <c r="H64" s="11"/>
    </row>
    <row r="65" spans="3:8" x14ac:dyDescent="0.15">
      <c r="C65" s="11"/>
      <c r="D65" s="11"/>
      <c r="E65" s="11"/>
      <c r="F65" s="11"/>
      <c r="G65" s="11"/>
      <c r="H65" s="11"/>
    </row>
    <row r="66" spans="3:8" x14ac:dyDescent="0.15">
      <c r="C66" s="11"/>
      <c r="D66" s="11"/>
      <c r="E66" s="11"/>
      <c r="F66" s="11"/>
      <c r="G66" s="11"/>
      <c r="H66" s="11"/>
    </row>
    <row r="71" spans="3:8" x14ac:dyDescent="0.15">
      <c r="C71" s="11"/>
      <c r="D71" s="11"/>
      <c r="E71" s="11"/>
      <c r="F71" s="11"/>
      <c r="G71" s="11"/>
      <c r="H71" s="11"/>
    </row>
    <row r="73" spans="3:8" x14ac:dyDescent="0.15">
      <c r="C73" s="11"/>
      <c r="D73" s="11"/>
      <c r="E73" s="11"/>
      <c r="F73" s="11"/>
      <c r="G73" s="11"/>
      <c r="H73" s="11"/>
    </row>
    <row r="74" spans="3:8" x14ac:dyDescent="0.15">
      <c r="C74" s="11"/>
      <c r="D74" s="11"/>
      <c r="E74" s="11"/>
      <c r="F74" s="11"/>
      <c r="G74" s="11"/>
      <c r="H74" s="11"/>
    </row>
    <row r="75" spans="3:8" x14ac:dyDescent="0.15">
      <c r="C75" s="11"/>
      <c r="D75" s="11"/>
      <c r="E75" s="11"/>
      <c r="F75" s="11"/>
      <c r="G75" s="11"/>
      <c r="H75" s="11"/>
    </row>
    <row r="76" spans="3:8" x14ac:dyDescent="0.15">
      <c r="C76" s="11"/>
      <c r="D76" s="11"/>
      <c r="E76" s="11"/>
      <c r="F76" s="11"/>
      <c r="G76" s="11"/>
      <c r="H76" s="11"/>
    </row>
    <row r="77" spans="3:8" x14ac:dyDescent="0.15">
      <c r="C77" s="11"/>
      <c r="D77" s="11"/>
      <c r="E77" s="11"/>
      <c r="F77" s="11"/>
      <c r="G77" s="11"/>
      <c r="H77" s="11"/>
    </row>
    <row r="78" spans="3:8" x14ac:dyDescent="0.15">
      <c r="C78" s="11"/>
      <c r="D78" s="11"/>
      <c r="E78" s="11"/>
      <c r="F78" s="11"/>
      <c r="G78" s="11"/>
      <c r="H78" s="11"/>
    </row>
    <row r="79" spans="3:8" x14ac:dyDescent="0.15">
      <c r="C79" s="11"/>
      <c r="D79" s="11"/>
      <c r="E79" s="11"/>
      <c r="F79" s="11"/>
      <c r="G79" s="11"/>
      <c r="H79" s="11"/>
    </row>
    <row r="80" spans="3:8" x14ac:dyDescent="0.15">
      <c r="C80" s="11"/>
      <c r="D80" s="11"/>
      <c r="E80" s="11"/>
      <c r="F80" s="11"/>
      <c r="G80" s="11"/>
      <c r="H80" s="11"/>
    </row>
    <row r="81" spans="3:8" x14ac:dyDescent="0.15">
      <c r="C81" s="11"/>
      <c r="D81" s="11"/>
      <c r="E81" s="11"/>
      <c r="F81" s="11"/>
      <c r="G81" s="11"/>
      <c r="H81" s="11"/>
    </row>
    <row r="82" spans="3:8" x14ac:dyDescent="0.15">
      <c r="C82" s="11"/>
      <c r="D82" s="11"/>
      <c r="E82" s="11"/>
      <c r="F82" s="11"/>
      <c r="G82" s="11"/>
      <c r="H82" s="11"/>
    </row>
    <row r="83" spans="3:8" x14ac:dyDescent="0.15">
      <c r="C83" s="11"/>
      <c r="D83" s="11"/>
      <c r="E83" s="11"/>
      <c r="F83" s="11"/>
      <c r="G83" s="11"/>
      <c r="H83" s="11"/>
    </row>
    <row r="84" spans="3:8" x14ac:dyDescent="0.15">
      <c r="C84" s="11"/>
      <c r="D84" s="11"/>
      <c r="E84" s="11"/>
      <c r="F84" s="11"/>
      <c r="G84" s="11"/>
      <c r="H84" s="11"/>
    </row>
    <row r="85" spans="3:8" x14ac:dyDescent="0.15">
      <c r="C85" s="11"/>
      <c r="D85" s="11"/>
      <c r="E85" s="11"/>
      <c r="F85" s="11"/>
      <c r="G85" s="11"/>
      <c r="H85" s="11"/>
    </row>
    <row r="86" spans="3:8" x14ac:dyDescent="0.15">
      <c r="C86" s="11"/>
      <c r="D86" s="11"/>
      <c r="E86" s="11"/>
      <c r="F86" s="11"/>
      <c r="G86" s="11"/>
      <c r="H86" s="11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87"/>
  <sheetViews>
    <sheetView topLeftCell="H1" workbookViewId="0">
      <pane xSplit="3" ySplit="7" topLeftCell="K8" activePane="bottomRight" state="frozen"/>
      <selection pane="topRight"/>
      <selection pane="bottomLeft"/>
      <selection pane="bottomRight" activeCell="V5" sqref="V5"/>
    </sheetView>
  </sheetViews>
  <sheetFormatPr defaultColWidth="9" defaultRowHeight="13.5" x14ac:dyDescent="0.15"/>
  <cols>
    <col min="1" max="1" width="39" customWidth="1"/>
    <col min="2" max="2" width="10.375" style="32" customWidth="1"/>
    <col min="3" max="3" width="12.875" customWidth="1"/>
    <col min="8" max="8" width="4.625" customWidth="1"/>
    <col min="9" max="9" width="3.375" customWidth="1"/>
    <col min="10" max="10" width="38.125" customWidth="1"/>
    <col min="11" max="14" width="12.625" customWidth="1"/>
    <col min="15" max="15" width="12.625" style="4" customWidth="1"/>
    <col min="16" max="19" width="12.625" customWidth="1"/>
    <col min="20" max="20" width="12.625" style="4" customWidth="1"/>
    <col min="21" max="24" width="12.625" customWidth="1"/>
    <col min="25" max="25" width="12.625" style="4" customWidth="1"/>
    <col min="27" max="27" width="8.375" customWidth="1"/>
    <col min="30" max="30" width="9" style="4"/>
    <col min="35" max="35" width="9" style="4"/>
  </cols>
  <sheetData>
    <row r="1" spans="1:27" x14ac:dyDescent="0.15">
      <c r="X1" s="14">
        <f>X2/X3</f>
        <v>-1</v>
      </c>
    </row>
    <row r="2" spans="1:27" x14ac:dyDescent="0.15">
      <c r="X2">
        <f>X11-X3</f>
        <v>-66949.2</v>
      </c>
    </row>
    <row r="3" spans="1:27" x14ac:dyDescent="0.15">
      <c r="X3">
        <v>66949.2</v>
      </c>
    </row>
    <row r="4" spans="1:27" x14ac:dyDescent="0.15">
      <c r="K4">
        <v>141.67236736241199</v>
      </c>
      <c r="M4">
        <f>M16/M10</f>
        <v>0.30789107164162477</v>
      </c>
      <c r="V4">
        <f>V11/V10</f>
        <v>0.86457259244837259</v>
      </c>
      <c r="W4" t="e">
        <f>W11/W10</f>
        <v>#DIV/0!</v>
      </c>
      <c r="X4" t="e">
        <f>X11/X13</f>
        <v>#DIV/0!</v>
      </c>
      <c r="AA4" t="e">
        <f>AA10/AA9</f>
        <v>#DIV/0!</v>
      </c>
    </row>
    <row r="5" spans="1:27" x14ac:dyDescent="0.15">
      <c r="Y5" s="4" t="e">
        <f>Y11/Y13</f>
        <v>#DIV/0!</v>
      </c>
    </row>
    <row r="6" spans="1:27" ht="12.75" customHeight="1" x14ac:dyDescent="0.15">
      <c r="B6" s="32" t="s">
        <v>73</v>
      </c>
      <c r="K6" s="69" t="s">
        <v>73</v>
      </c>
      <c r="L6" s="70" t="s">
        <v>73</v>
      </c>
      <c r="M6" s="70" t="s">
        <v>73</v>
      </c>
      <c r="N6" s="70" t="s">
        <v>73</v>
      </c>
      <c r="O6" s="72" t="s">
        <v>73</v>
      </c>
      <c r="P6" s="70" t="s">
        <v>73</v>
      </c>
      <c r="Q6" s="70" t="s">
        <v>73</v>
      </c>
      <c r="R6" s="70" t="s">
        <v>73</v>
      </c>
      <c r="S6" s="70" t="s">
        <v>73</v>
      </c>
      <c r="T6" s="72" t="s">
        <v>73</v>
      </c>
      <c r="U6" s="70" t="s">
        <v>73</v>
      </c>
      <c r="V6" s="70" t="s">
        <v>73</v>
      </c>
    </row>
    <row r="7" spans="1:27" x14ac:dyDescent="0.15">
      <c r="B7" s="32" t="s">
        <v>74</v>
      </c>
      <c r="C7" s="32"/>
      <c r="D7" s="32"/>
      <c r="E7" s="32"/>
      <c r="F7" s="32"/>
      <c r="G7" s="32"/>
      <c r="H7" s="11"/>
      <c r="I7">
        <v>1</v>
      </c>
      <c r="K7" s="69" t="s">
        <v>75</v>
      </c>
      <c r="L7" s="70" t="s">
        <v>76</v>
      </c>
      <c r="M7" s="70" t="s">
        <v>77</v>
      </c>
      <c r="N7" s="70" t="s">
        <v>78</v>
      </c>
      <c r="O7" s="72" t="s">
        <v>79</v>
      </c>
      <c r="P7" s="70" t="s">
        <v>80</v>
      </c>
      <c r="Q7" s="70" t="s">
        <v>81</v>
      </c>
      <c r="R7" s="70" t="s">
        <v>82</v>
      </c>
      <c r="S7" s="70" t="s">
        <v>83</v>
      </c>
      <c r="T7" s="72" t="s">
        <v>84</v>
      </c>
      <c r="U7" s="70" t="s">
        <v>85</v>
      </c>
      <c r="V7" s="70" t="s">
        <v>86</v>
      </c>
    </row>
    <row r="8" spans="1:27" x14ac:dyDescent="0.15">
      <c r="A8" t="s">
        <v>87</v>
      </c>
      <c r="B8" s="32">
        <f>(AD8/K8)^(1/19)*100-100</f>
        <v>-100</v>
      </c>
      <c r="C8" s="59"/>
      <c r="D8" s="11"/>
      <c r="E8" s="11"/>
      <c r="F8" s="11"/>
      <c r="G8" s="11"/>
      <c r="I8">
        <v>2</v>
      </c>
      <c r="J8" s="69" t="s">
        <v>88</v>
      </c>
      <c r="K8" s="12">
        <v>11931.900000000001</v>
      </c>
      <c r="L8" s="12">
        <v>11940.9</v>
      </c>
      <c r="M8" s="12">
        <v>11953.292348472674</v>
      </c>
      <c r="N8" s="12">
        <v>11966.121836426662</v>
      </c>
      <c r="O8" s="60">
        <v>11979.566540446813</v>
      </c>
      <c r="P8" s="12">
        <v>11993.243872538618</v>
      </c>
      <c r="Q8" s="12">
        <v>12007.471108345408</v>
      </c>
      <c r="R8" s="12">
        <v>12022.411216832119</v>
      </c>
      <c r="S8" s="12">
        <v>12038.056281446548</v>
      </c>
      <c r="T8" s="60">
        <v>12054.399570973819</v>
      </c>
      <c r="U8" s="12">
        <v>12071.434892777797</v>
      </c>
      <c r="V8" s="12">
        <v>12089.157046448583</v>
      </c>
      <c r="W8" s="12"/>
    </row>
    <row r="9" spans="1:27" x14ac:dyDescent="0.15">
      <c r="A9" t="s">
        <v>89</v>
      </c>
      <c r="B9" s="32">
        <f t="shared" ref="B9:B23" si="0">(AD9/K9)^(1/19)*100-100</f>
        <v>-100</v>
      </c>
      <c r="C9" s="59"/>
      <c r="D9" s="11"/>
      <c r="E9" s="11"/>
      <c r="F9" s="11"/>
      <c r="G9" s="11"/>
      <c r="H9" s="11"/>
      <c r="I9">
        <v>3</v>
      </c>
      <c r="J9" s="69" t="s">
        <v>90</v>
      </c>
      <c r="K9" s="12">
        <v>33.889185439558211</v>
      </c>
      <c r="L9" s="12">
        <v>34.307582722287947</v>
      </c>
      <c r="M9" s="12">
        <v>34.461504662115878</v>
      </c>
      <c r="N9" s="12">
        <v>34.618846420945459</v>
      </c>
      <c r="O9" s="60">
        <v>34.780358255258278</v>
      </c>
      <c r="P9" s="12">
        <v>34.946599300686636</v>
      </c>
      <c r="Q9" s="12">
        <v>35.117622775261673</v>
      </c>
      <c r="R9" s="12">
        <v>35.244099890260294</v>
      </c>
      <c r="S9" s="12">
        <v>35.37247853350086</v>
      </c>
      <c r="T9" s="60">
        <v>35.503316946453872</v>
      </c>
      <c r="U9" s="12">
        <v>35.636849087605569</v>
      </c>
      <c r="V9" s="12">
        <v>35.773408045761052</v>
      </c>
      <c r="W9" s="12"/>
    </row>
    <row r="10" spans="1:27" x14ac:dyDescent="0.15">
      <c r="A10" t="s">
        <v>91</v>
      </c>
      <c r="B10" s="32">
        <f t="shared" si="0"/>
        <v>-100</v>
      </c>
      <c r="C10" s="59"/>
      <c r="D10" s="11"/>
      <c r="E10" s="11"/>
      <c r="F10" s="11"/>
      <c r="G10" s="11"/>
      <c r="H10" s="11"/>
      <c r="I10">
        <v>4</v>
      </c>
      <c r="J10" s="69" t="s">
        <v>92</v>
      </c>
      <c r="K10" s="12">
        <v>86177</v>
      </c>
      <c r="L10" s="12">
        <v>85215.3</v>
      </c>
      <c r="M10" s="12">
        <v>85177.636658829637</v>
      </c>
      <c r="N10" s="12">
        <v>85488.842357999383</v>
      </c>
      <c r="O10" s="60">
        <v>85633.991076465943</v>
      </c>
      <c r="P10" s="12">
        <v>85796.771492710366</v>
      </c>
      <c r="Q10" s="12">
        <v>85971.270630406449</v>
      </c>
      <c r="R10" s="12">
        <v>86149.016562550343</v>
      </c>
      <c r="S10" s="12">
        <v>86355.623742731099</v>
      </c>
      <c r="T10" s="60">
        <v>86578.029280335337</v>
      </c>
      <c r="U10" s="12">
        <v>86813.897938253926</v>
      </c>
      <c r="V10" s="12">
        <v>87063.206830234732</v>
      </c>
      <c r="W10" s="12"/>
    </row>
    <row r="11" spans="1:27" x14ac:dyDescent="0.15">
      <c r="A11" t="s">
        <v>93</v>
      </c>
      <c r="B11" s="32">
        <f t="shared" si="0"/>
        <v>-100</v>
      </c>
      <c r="C11" s="59"/>
      <c r="D11" s="11"/>
      <c r="E11" s="11"/>
      <c r="F11" s="11"/>
      <c r="G11" s="11"/>
      <c r="H11" s="11"/>
      <c r="I11">
        <v>5</v>
      </c>
      <c r="J11" s="69" t="s">
        <v>94</v>
      </c>
      <c r="K11" s="12">
        <v>70650</v>
      </c>
      <c r="L11" s="12">
        <v>71488</v>
      </c>
      <c r="M11" s="12">
        <v>71845.738010383589</v>
      </c>
      <c r="N11" s="12">
        <v>72211.8699550007</v>
      </c>
      <c r="O11" s="60">
        <v>72589.789913386092</v>
      </c>
      <c r="P11" s="12">
        <v>72976.885345840608</v>
      </c>
      <c r="Q11" s="12">
        <v>73376.605842393474</v>
      </c>
      <c r="R11" s="12">
        <v>73734.422408936254</v>
      </c>
      <c r="S11" s="12">
        <v>74102.016290557091</v>
      </c>
      <c r="T11" s="60">
        <v>74480.5278399948</v>
      </c>
      <c r="U11" s="12">
        <v>74870.440700083316</v>
      </c>
      <c r="V11" s="12">
        <v>75272.462436084897</v>
      </c>
      <c r="W11" s="12"/>
    </row>
    <row r="12" spans="1:27" x14ac:dyDescent="0.15">
      <c r="A12" t="s">
        <v>95</v>
      </c>
      <c r="B12" s="32">
        <f t="shared" si="0"/>
        <v>-100</v>
      </c>
      <c r="C12" s="59"/>
      <c r="D12" s="11"/>
      <c r="E12" s="11"/>
      <c r="F12" s="11"/>
      <c r="G12" s="11"/>
      <c r="H12" s="11"/>
      <c r="I12">
        <v>6</v>
      </c>
      <c r="J12" s="69" t="s">
        <v>96</v>
      </c>
      <c r="K12" s="12">
        <v>15527</v>
      </c>
      <c r="L12" s="12">
        <v>13727.3</v>
      </c>
      <c r="M12" s="12">
        <v>13331.898648446053</v>
      </c>
      <c r="N12" s="12">
        <v>13276.972402998676</v>
      </c>
      <c r="O12" s="60">
        <v>13044.201163079857</v>
      </c>
      <c r="P12" s="12">
        <v>12819.886146869752</v>
      </c>
      <c r="Q12" s="12">
        <v>12594.664788012971</v>
      </c>
      <c r="R12" s="12">
        <v>12414.594153614091</v>
      </c>
      <c r="S12" s="12">
        <v>12253.607452174007</v>
      </c>
      <c r="T12" s="60">
        <v>12097.50144034054</v>
      </c>
      <c r="U12" s="12">
        <v>11943.457238170609</v>
      </c>
      <c r="V12" s="12">
        <v>11790.744394149828</v>
      </c>
      <c r="W12" s="12"/>
    </row>
    <row r="13" spans="1:27" x14ac:dyDescent="0.15">
      <c r="A13" t="s">
        <v>97</v>
      </c>
      <c r="B13" s="32">
        <f t="shared" si="0"/>
        <v>-100</v>
      </c>
      <c r="C13" s="59"/>
      <c r="D13" s="11"/>
      <c r="E13" s="11"/>
      <c r="F13" s="11"/>
      <c r="G13" s="11"/>
      <c r="H13" s="11"/>
      <c r="I13">
        <v>7</v>
      </c>
      <c r="J13" s="69" t="s">
        <v>98</v>
      </c>
      <c r="K13" s="12">
        <v>86177</v>
      </c>
      <c r="L13" s="12">
        <v>85215.3</v>
      </c>
      <c r="M13" s="12">
        <v>85177.636658829637</v>
      </c>
      <c r="N13" s="12">
        <v>85488.842357999369</v>
      </c>
      <c r="O13" s="60">
        <v>85633.991076465973</v>
      </c>
      <c r="P13" s="12">
        <v>85796.771492710337</v>
      </c>
      <c r="Q13" s="12">
        <v>85971.270630406449</v>
      </c>
      <c r="R13" s="12">
        <v>86149.016562550343</v>
      </c>
      <c r="S13" s="12">
        <v>86355.623742731113</v>
      </c>
      <c r="T13" s="60">
        <v>86578.029280335366</v>
      </c>
      <c r="U13" s="12">
        <v>86813.897938253896</v>
      </c>
      <c r="V13" s="12">
        <v>87063.206830234732</v>
      </c>
      <c r="W13" s="12"/>
    </row>
    <row r="14" spans="1:27" x14ac:dyDescent="0.15">
      <c r="A14" t="s">
        <v>99</v>
      </c>
      <c r="B14" s="32">
        <f t="shared" si="0"/>
        <v>-100</v>
      </c>
      <c r="C14" s="59"/>
      <c r="D14" s="11"/>
      <c r="E14" s="11"/>
      <c r="F14" s="11"/>
      <c r="G14" s="11"/>
      <c r="H14" s="11"/>
      <c r="I14">
        <v>8</v>
      </c>
      <c r="J14" s="69" t="s">
        <v>100</v>
      </c>
      <c r="K14" s="12">
        <v>207.12395432203201</v>
      </c>
      <c r="L14" s="12">
        <v>203.45097398945219</v>
      </c>
      <c r="M14" s="12">
        <v>202.00713539910495</v>
      </c>
      <c r="N14" s="12">
        <v>200.65553530135909</v>
      </c>
      <c r="O14" s="60">
        <v>199.40305682179178</v>
      </c>
      <c r="P14" s="12">
        <v>198.25001638618554</v>
      </c>
      <c r="Q14" s="12">
        <v>197.18116680044793</v>
      </c>
      <c r="R14" s="12">
        <v>196.18835770399167</v>
      </c>
      <c r="S14" s="12">
        <v>195.25516908412661</v>
      </c>
      <c r="T14" s="60">
        <v>194.38207097842098</v>
      </c>
      <c r="U14" s="12">
        <v>193.56299768489004</v>
      </c>
      <c r="V14" s="12">
        <v>192.79424155784614</v>
      </c>
      <c r="W14" s="12"/>
    </row>
    <row r="15" spans="1:27" x14ac:dyDescent="0.15">
      <c r="A15" t="s">
        <v>101</v>
      </c>
      <c r="B15" s="32">
        <f t="shared" si="0"/>
        <v>-100</v>
      </c>
      <c r="C15" s="59"/>
      <c r="D15" s="11"/>
      <c r="E15" s="11"/>
      <c r="F15" s="11"/>
      <c r="G15" s="11"/>
      <c r="H15" s="11"/>
      <c r="I15">
        <v>9</v>
      </c>
      <c r="J15" s="69" t="s">
        <v>102</v>
      </c>
      <c r="K15" s="12">
        <v>1118.0902140601481</v>
      </c>
      <c r="L15" s="12">
        <v>1138.4333324310867</v>
      </c>
      <c r="M15" s="12">
        <v>1139.2731176138327</v>
      </c>
      <c r="N15" s="12">
        <v>1140.1761136027842</v>
      </c>
      <c r="O15" s="60">
        <v>1141.1424965216704</v>
      </c>
      <c r="P15" s="12">
        <v>1142.1747823125379</v>
      </c>
      <c r="Q15" s="12">
        <v>1143.3076085208806</v>
      </c>
      <c r="R15" s="12">
        <v>1144.4991952192463</v>
      </c>
      <c r="S15" s="12">
        <v>1145.748857128767</v>
      </c>
      <c r="T15" s="60">
        <v>1147.0560051390576</v>
      </c>
      <c r="U15" s="12">
        <v>1148.420096859476</v>
      </c>
      <c r="V15" s="12">
        <v>1149.8406710179395</v>
      </c>
      <c r="W15" s="12"/>
    </row>
    <row r="16" spans="1:27" x14ac:dyDescent="0.15">
      <c r="A16" t="s">
        <v>103</v>
      </c>
      <c r="B16" s="32">
        <f t="shared" si="0"/>
        <v>-100</v>
      </c>
      <c r="C16" s="59"/>
      <c r="D16" s="11"/>
      <c r="E16" s="11"/>
      <c r="F16" s="11"/>
      <c r="G16" s="11"/>
      <c r="H16" s="11"/>
      <c r="I16">
        <v>10</v>
      </c>
      <c r="J16" s="69" t="s">
        <v>104</v>
      </c>
      <c r="K16" s="12">
        <v>23305.063706260691</v>
      </c>
      <c r="L16" s="12">
        <v>26188.313096513</v>
      </c>
      <c r="M16" s="12">
        <v>26225.433830787999</v>
      </c>
      <c r="N16" s="12">
        <v>26223.936861341965</v>
      </c>
      <c r="O16" s="60">
        <v>26256.312564411492</v>
      </c>
      <c r="P16" s="12">
        <v>26303.92440565108</v>
      </c>
      <c r="Q16" s="12">
        <v>26351.73148902076</v>
      </c>
      <c r="R16" s="12">
        <v>26400.667144888863</v>
      </c>
      <c r="S16" s="12">
        <v>26452.039073454525</v>
      </c>
      <c r="T16" s="60">
        <v>26505.718147290056</v>
      </c>
      <c r="U16" s="12">
        <v>26561.653765992854</v>
      </c>
      <c r="V16" s="12">
        <v>26619.773923627414</v>
      </c>
      <c r="W16" s="12"/>
    </row>
    <row r="17" spans="1:25" x14ac:dyDescent="0.15">
      <c r="A17" t="s">
        <v>105</v>
      </c>
      <c r="B17" s="32">
        <f t="shared" si="0"/>
        <v>-100</v>
      </c>
      <c r="C17" s="59"/>
      <c r="D17" s="11"/>
      <c r="E17" s="11"/>
      <c r="F17" s="11"/>
      <c r="G17" s="11"/>
      <c r="H17" s="11"/>
      <c r="I17">
        <v>11</v>
      </c>
      <c r="J17" s="69" t="s">
        <v>106</v>
      </c>
      <c r="K17" s="12">
        <v>12831.670320315839</v>
      </c>
      <c r="L17" s="12">
        <v>12317.699403780631</v>
      </c>
      <c r="M17" s="12">
        <v>12581.525452904592</v>
      </c>
      <c r="N17" s="12">
        <v>12853.773478996694</v>
      </c>
      <c r="O17" s="60">
        <v>13128.923370772853</v>
      </c>
      <c r="P17" s="12">
        <v>13408.240357325796</v>
      </c>
      <c r="Q17" s="12">
        <v>13695.423257406312</v>
      </c>
      <c r="R17" s="12">
        <v>13985.947521785518</v>
      </c>
      <c r="S17" s="12">
        <v>14281.782538849771</v>
      </c>
      <c r="T17" s="60">
        <v>14584.757691726678</v>
      </c>
      <c r="U17" s="12">
        <v>14893.785229892937</v>
      </c>
      <c r="V17" s="12">
        <v>15209.019490413941</v>
      </c>
      <c r="W17" s="12"/>
    </row>
    <row r="18" spans="1:25" x14ac:dyDescent="0.15">
      <c r="A18" t="s">
        <v>107</v>
      </c>
      <c r="B18" s="32">
        <f t="shared" si="0"/>
        <v>-100</v>
      </c>
      <c r="C18" s="59"/>
      <c r="D18" s="11"/>
      <c r="E18" s="11"/>
      <c r="F18" s="11"/>
      <c r="G18" s="11"/>
      <c r="H18" s="11"/>
      <c r="I18">
        <v>12</v>
      </c>
      <c r="J18" s="69" t="s">
        <v>130</v>
      </c>
      <c r="K18" s="12">
        <v>10240</v>
      </c>
      <c r="L18" s="12">
        <v>10650</v>
      </c>
      <c r="M18" s="12">
        <v>10423.10757607533</v>
      </c>
      <c r="N18" s="12">
        <v>10418.995152139289</v>
      </c>
      <c r="O18" s="60">
        <v>10447.838297179367</v>
      </c>
      <c r="P18" s="12">
        <v>10492.532085794348</v>
      </c>
      <c r="Q18" s="12">
        <v>10537.433509895269</v>
      </c>
      <c r="R18" s="12">
        <v>10582.902774406246</v>
      </c>
      <c r="S18" s="12">
        <v>10629.463245094987</v>
      </c>
      <c r="T18" s="60">
        <v>10677.06672055142</v>
      </c>
      <c r="U18" s="12">
        <v>10725.696184794591</v>
      </c>
      <c r="V18" s="12">
        <v>10775.325642619937</v>
      </c>
      <c r="W18" s="12"/>
    </row>
    <row r="19" spans="1:25" x14ac:dyDescent="0.15">
      <c r="A19" t="s">
        <v>109</v>
      </c>
      <c r="B19" s="32">
        <f t="shared" si="0"/>
        <v>-100</v>
      </c>
      <c r="C19" s="59"/>
      <c r="D19" s="11"/>
      <c r="E19" s="11"/>
      <c r="F19" s="11"/>
      <c r="G19" s="11"/>
      <c r="H19" s="11"/>
      <c r="I19">
        <v>13</v>
      </c>
      <c r="J19" s="69" t="s">
        <v>108</v>
      </c>
      <c r="K19" s="12">
        <v>3251.4002410601474</v>
      </c>
      <c r="L19" s="12">
        <v>3184.7093324310868</v>
      </c>
      <c r="M19" s="12">
        <v>3203.1731931276099</v>
      </c>
      <c r="N19" s="12">
        <v>3222.117388476187</v>
      </c>
      <c r="O19" s="60">
        <v>3241.7154374275297</v>
      </c>
      <c r="P19" s="12">
        <v>3261.8479636096395</v>
      </c>
      <c r="Q19" s="12">
        <v>3282.6856114835009</v>
      </c>
      <c r="R19" s="12">
        <v>3300.7634783197173</v>
      </c>
      <c r="S19" s="12">
        <v>3319.3538946417307</v>
      </c>
      <c r="T19" s="60">
        <v>3338.5140804482094</v>
      </c>
      <c r="U19" s="12">
        <v>3358.2699734678727</v>
      </c>
      <c r="V19" s="12">
        <v>3378.6583714828043</v>
      </c>
      <c r="W19" s="12"/>
    </row>
    <row r="20" spans="1:25" x14ac:dyDescent="0.15">
      <c r="A20" t="s">
        <v>111</v>
      </c>
      <c r="B20" s="32">
        <f t="shared" si="0"/>
        <v>-100</v>
      </c>
      <c r="C20" s="59"/>
      <c r="D20" s="11"/>
      <c r="E20" s="11"/>
      <c r="F20" s="11"/>
      <c r="G20" s="11"/>
      <c r="H20" s="11"/>
      <c r="I20">
        <v>14</v>
      </c>
      <c r="J20" s="69" t="s">
        <v>131</v>
      </c>
      <c r="K20" s="12">
        <v>0.74711299999992198</v>
      </c>
      <c r="L20" s="12">
        <v>1.8353650000000099</v>
      </c>
      <c r="M20" s="12">
        <v>1.8359945228635308</v>
      </c>
      <c r="N20" s="12">
        <v>1.8366581611165886</v>
      </c>
      <c r="O20" s="60">
        <v>1.8373812831810019</v>
      </c>
      <c r="P20" s="12">
        <v>1.8382276658906154</v>
      </c>
      <c r="Q20" s="12">
        <v>1.839144789934658</v>
      </c>
      <c r="R20" s="12">
        <v>1.839916877886234</v>
      </c>
      <c r="S20" s="12">
        <v>1.8405763223571585</v>
      </c>
      <c r="T20" s="60">
        <v>1.8411687849239486</v>
      </c>
      <c r="U20" s="12">
        <v>1.8417162678676675</v>
      </c>
      <c r="V20" s="12">
        <v>1.8422470607488703</v>
      </c>
      <c r="W20" s="12"/>
    </row>
    <row r="21" spans="1:25" x14ac:dyDescent="0.15">
      <c r="A21" t="s">
        <v>113</v>
      </c>
      <c r="B21" s="32">
        <f t="shared" si="0"/>
        <v>-100</v>
      </c>
      <c r="C21" s="59"/>
      <c r="D21" s="11"/>
      <c r="E21" s="11"/>
      <c r="F21" s="11"/>
      <c r="G21" s="11"/>
      <c r="H21" s="11"/>
      <c r="J21" s="69" t="s">
        <v>110</v>
      </c>
      <c r="K21" s="12">
        <v>6261.1761660400452</v>
      </c>
      <c r="L21" s="12">
        <v>3151.685585040047</v>
      </c>
      <c r="M21" s="12">
        <v>3253.6667140276418</v>
      </c>
      <c r="N21" s="12">
        <v>3512.0387251997709</v>
      </c>
      <c r="O21" s="60">
        <v>3532.812725998137</v>
      </c>
      <c r="P21" s="12">
        <v>3533.2288522172421</v>
      </c>
      <c r="Q21" s="12">
        <v>3535.0589628636058</v>
      </c>
      <c r="R21" s="12">
        <v>3537.4805117475985</v>
      </c>
      <c r="S21" s="12">
        <v>3546.1355797963124</v>
      </c>
      <c r="T21" s="60">
        <v>3560.1417879162409</v>
      </c>
      <c r="U21" s="12">
        <v>3578.5988574372927</v>
      </c>
      <c r="V21" s="12">
        <v>3600.7590730452239</v>
      </c>
      <c r="W21" s="12"/>
    </row>
    <row r="22" spans="1:25" x14ac:dyDescent="0.15">
      <c r="A22" t="s">
        <v>115</v>
      </c>
      <c r="B22" s="32">
        <f t="shared" si="0"/>
        <v>-100</v>
      </c>
      <c r="C22" s="59"/>
      <c r="D22" s="11"/>
      <c r="E22" s="11"/>
      <c r="F22" s="11"/>
      <c r="G22" s="11"/>
      <c r="H22" s="11"/>
      <c r="J22" s="69" t="s">
        <v>112</v>
      </c>
      <c r="K22" s="12">
        <v>79915.823833959948</v>
      </c>
      <c r="L22" s="12">
        <v>82063.614414959957</v>
      </c>
      <c r="M22" s="12">
        <v>81923.969944801996</v>
      </c>
      <c r="N22" s="12">
        <v>81976.803632799594</v>
      </c>
      <c r="O22" s="60">
        <v>82101.178350467831</v>
      </c>
      <c r="P22" s="12">
        <v>82263.542640493091</v>
      </c>
      <c r="Q22" s="12">
        <v>82436.211667542841</v>
      </c>
      <c r="R22" s="12">
        <v>82611.536050802752</v>
      </c>
      <c r="S22" s="12">
        <v>82809.488162934795</v>
      </c>
      <c r="T22" s="60">
        <v>83017.887492419119</v>
      </c>
      <c r="U22" s="12">
        <v>83235.299080816607</v>
      </c>
      <c r="V22" s="12">
        <v>83462.447757189511</v>
      </c>
      <c r="W22" s="12"/>
    </row>
    <row r="23" spans="1:25" x14ac:dyDescent="0.15">
      <c r="A23" t="s">
        <v>117</v>
      </c>
      <c r="B23" s="32">
        <f t="shared" si="0"/>
        <v>-100</v>
      </c>
      <c r="C23" s="59"/>
      <c r="D23" s="11"/>
      <c r="E23" s="11"/>
      <c r="F23" s="11"/>
      <c r="G23" s="11"/>
      <c r="H23" s="11"/>
      <c r="J23" s="69" t="s">
        <v>114</v>
      </c>
      <c r="K23" s="12">
        <v>1473.5227914092529</v>
      </c>
      <c r="L23" s="12">
        <v>1448.9095521001309</v>
      </c>
      <c r="M23" s="12">
        <v>1439.3554698321943</v>
      </c>
      <c r="N23" s="12">
        <v>1430.4547629157098</v>
      </c>
      <c r="O23" s="60">
        <v>1422.2332985822748</v>
      </c>
      <c r="P23" s="12">
        <v>1414.6897231651456</v>
      </c>
      <c r="Q23" s="12">
        <v>1407.7247943496725</v>
      </c>
      <c r="R23" s="12">
        <v>1401.2738712698326</v>
      </c>
      <c r="S23" s="12">
        <v>1395.2407125402242</v>
      </c>
      <c r="T23" s="60">
        <v>1389.6185464728128</v>
      </c>
      <c r="U23" s="12">
        <v>1384.3647098600907</v>
      </c>
      <c r="V23" s="12">
        <v>1379.4527443599811</v>
      </c>
      <c r="W23" s="12"/>
    </row>
    <row r="24" spans="1:25" x14ac:dyDescent="0.15">
      <c r="C24" s="59"/>
      <c r="D24" s="11"/>
      <c r="E24" s="11"/>
      <c r="F24" s="11"/>
      <c r="G24" s="11"/>
      <c r="H24" s="11"/>
      <c r="J24" s="69" t="s">
        <v>116</v>
      </c>
      <c r="K24" s="12">
        <v>29168.852239263128</v>
      </c>
      <c r="L24" s="12">
        <v>28582.62388480415</v>
      </c>
      <c r="M24" s="12">
        <v>28349.620779769768</v>
      </c>
      <c r="N24" s="12">
        <v>28115.967980081561</v>
      </c>
      <c r="O24" s="60">
        <v>27883.408802871727</v>
      </c>
      <c r="P24" s="12">
        <v>27652.984818133809</v>
      </c>
      <c r="Q24" s="12">
        <v>27423.791046426188</v>
      </c>
      <c r="R24" s="12">
        <v>27194.916019305274</v>
      </c>
      <c r="S24" s="12">
        <v>26979.259977442671</v>
      </c>
      <c r="T24" s="60">
        <v>26762.933678478759</v>
      </c>
      <c r="U24" s="12">
        <v>26545.632113541003</v>
      </c>
      <c r="V24" s="12">
        <v>26327.987410966718</v>
      </c>
      <c r="W24" s="12"/>
    </row>
    <row r="25" spans="1:25" x14ac:dyDescent="0.15">
      <c r="A25" t="s">
        <v>119</v>
      </c>
      <c r="B25" s="32">
        <f t="shared" ref="B25:B35" si="1">(AD25/K25)^(1/19)*100-100</f>
        <v>-100</v>
      </c>
      <c r="C25" s="59"/>
      <c r="D25" s="11"/>
      <c r="E25" s="11"/>
      <c r="F25" s="11"/>
      <c r="G25" s="11"/>
      <c r="H25" s="11"/>
      <c r="J25" s="69" t="s">
        <v>118</v>
      </c>
      <c r="K25">
        <v>27120.776712885392</v>
      </c>
      <c r="L25">
        <v>26863.590667701483</v>
      </c>
      <c r="M25">
        <v>26727.973880890499</v>
      </c>
      <c r="N25">
        <v>26563.987411645616</v>
      </c>
      <c r="O25">
        <v>26346.965304774643</v>
      </c>
      <c r="P25">
        <v>26139.796356150884</v>
      </c>
      <c r="Q25">
        <v>25941.372230006433</v>
      </c>
      <c r="R25">
        <v>25758.410819387354</v>
      </c>
      <c r="S25">
        <v>25589.815734379863</v>
      </c>
      <c r="T25">
        <v>25428.566501548041</v>
      </c>
      <c r="U25">
        <v>25273.841311027711</v>
      </c>
      <c r="V25">
        <v>25125.699352135322</v>
      </c>
      <c r="Y25"/>
    </row>
    <row r="26" spans="1:25" x14ac:dyDescent="0.15">
      <c r="A26" t="s">
        <v>120</v>
      </c>
      <c r="B26" s="32" t="e">
        <f t="shared" si="1"/>
        <v>#DIV/0!</v>
      </c>
      <c r="C26" s="59"/>
      <c r="D26" s="11"/>
      <c r="E26" s="11"/>
      <c r="F26" s="11"/>
      <c r="G26" s="11"/>
      <c r="O26"/>
      <c r="T26"/>
      <c r="Y26"/>
    </row>
    <row r="27" spans="1:25" x14ac:dyDescent="0.15">
      <c r="A27" t="s">
        <v>121</v>
      </c>
      <c r="B27" s="32" t="e">
        <f t="shared" si="1"/>
        <v>#DIV/0!</v>
      </c>
      <c r="C27" s="59"/>
      <c r="D27" s="11"/>
      <c r="E27" s="11"/>
      <c r="F27" s="11"/>
      <c r="G27" s="11"/>
      <c r="O27"/>
      <c r="T27"/>
      <c r="Y27"/>
    </row>
    <row r="28" spans="1:25" x14ac:dyDescent="0.15">
      <c r="A28" t="s">
        <v>122</v>
      </c>
      <c r="B28" s="32" t="e">
        <f t="shared" si="1"/>
        <v>#DIV/0!</v>
      </c>
      <c r="C28" s="59"/>
      <c r="D28" s="11"/>
      <c r="E28" s="11"/>
      <c r="F28" s="11"/>
      <c r="G28" s="11"/>
      <c r="O28"/>
      <c r="T28"/>
      <c r="Y28"/>
    </row>
    <row r="29" spans="1:25" x14ac:dyDescent="0.15">
      <c r="A29" t="s">
        <v>123</v>
      </c>
      <c r="B29" s="32" t="e">
        <f t="shared" si="1"/>
        <v>#DIV/0!</v>
      </c>
      <c r="C29" s="59"/>
      <c r="D29" s="11"/>
      <c r="E29" s="11"/>
      <c r="F29" s="11"/>
      <c r="G29" s="11"/>
      <c r="Y29"/>
    </row>
    <row r="30" spans="1:25" x14ac:dyDescent="0.15">
      <c r="A30" t="s">
        <v>124</v>
      </c>
      <c r="B30" s="32" t="e">
        <f t="shared" si="1"/>
        <v>#DIV/0!</v>
      </c>
      <c r="C30" s="59"/>
      <c r="D30" s="11"/>
      <c r="E30" s="11"/>
      <c r="F30" s="11"/>
      <c r="G30" s="11"/>
    </row>
    <row r="31" spans="1:25" x14ac:dyDescent="0.15">
      <c r="A31" t="s">
        <v>125</v>
      </c>
      <c r="B31" s="32" t="e">
        <f t="shared" si="1"/>
        <v>#DIV/0!</v>
      </c>
      <c r="C31" s="59"/>
      <c r="D31" s="11"/>
      <c r="E31" s="11"/>
      <c r="F31" s="11"/>
      <c r="G31" s="11"/>
    </row>
    <row r="32" spans="1:25" s="4" customFormat="1" x14ac:dyDescent="0.15">
      <c r="A32" s="4" t="s">
        <v>126</v>
      </c>
      <c r="B32" s="61" t="e">
        <f t="shared" si="1"/>
        <v>#DIV/0!</v>
      </c>
      <c r="C32" s="62"/>
      <c r="D32" s="58"/>
      <c r="E32" s="58"/>
      <c r="F32" s="58"/>
      <c r="G32" s="58"/>
      <c r="H32" s="58"/>
      <c r="I32" s="4" t="s">
        <v>132</v>
      </c>
    </row>
    <row r="33" spans="1:25" x14ac:dyDescent="0.15">
      <c r="A33" t="s">
        <v>127</v>
      </c>
      <c r="B33" s="32" t="e">
        <f t="shared" si="1"/>
        <v>#DIV/0!</v>
      </c>
      <c r="C33" s="59"/>
      <c r="D33" s="11"/>
      <c r="E33" s="11"/>
      <c r="F33" s="11"/>
      <c r="G33" s="11"/>
    </row>
    <row r="34" spans="1:25" x14ac:dyDescent="0.15">
      <c r="A34" t="s">
        <v>128</v>
      </c>
      <c r="B34" s="32" t="e">
        <f t="shared" si="1"/>
        <v>#DIV/0!</v>
      </c>
      <c r="C34" s="59"/>
      <c r="D34" s="11"/>
      <c r="E34" s="11"/>
      <c r="F34" s="11"/>
      <c r="G34" s="11"/>
      <c r="H34" s="11"/>
    </row>
    <row r="35" spans="1:25" x14ac:dyDescent="0.15">
      <c r="A35" t="s">
        <v>129</v>
      </c>
      <c r="B35" s="32" t="e">
        <f t="shared" si="1"/>
        <v>#DIV/0!</v>
      </c>
      <c r="C35" s="59"/>
      <c r="D35" s="11"/>
      <c r="E35" s="11"/>
      <c r="F35" s="11"/>
      <c r="G35" s="11"/>
      <c r="H35" s="11"/>
      <c r="O35"/>
      <c r="T35"/>
      <c r="Y35"/>
    </row>
    <row r="36" spans="1:25" x14ac:dyDescent="0.15">
      <c r="C36" s="59"/>
      <c r="D36" s="11"/>
      <c r="E36" s="11"/>
      <c r="F36" s="11"/>
      <c r="G36" s="11"/>
      <c r="H36" s="11"/>
      <c r="O36"/>
      <c r="T36"/>
      <c r="Y36"/>
    </row>
    <row r="37" spans="1:25" x14ac:dyDescent="0.15">
      <c r="C37" s="11"/>
      <c r="D37" s="11"/>
      <c r="E37" s="11"/>
      <c r="F37" s="11"/>
      <c r="G37" s="11"/>
      <c r="H37" s="11"/>
      <c r="O37"/>
      <c r="T37"/>
      <c r="Y37"/>
    </row>
    <row r="38" spans="1:25" x14ac:dyDescent="0.15">
      <c r="C38" s="11"/>
      <c r="D38" s="11"/>
      <c r="E38" s="11"/>
      <c r="F38" s="11"/>
      <c r="G38" s="11"/>
      <c r="H38" s="11"/>
      <c r="O38"/>
      <c r="T38"/>
      <c r="Y38"/>
    </row>
    <row r="39" spans="1:25" x14ac:dyDescent="0.15">
      <c r="C39" s="11"/>
      <c r="D39" s="11"/>
      <c r="E39" s="11"/>
      <c r="F39" s="11"/>
      <c r="G39" s="11"/>
      <c r="H39" s="11"/>
      <c r="O39"/>
      <c r="T39"/>
      <c r="Y39"/>
    </row>
    <row r="40" spans="1:25" x14ac:dyDescent="0.15">
      <c r="C40" s="11"/>
      <c r="D40" s="11"/>
      <c r="E40" s="11"/>
      <c r="F40" s="11"/>
      <c r="G40" s="11"/>
      <c r="H40" s="11"/>
    </row>
    <row r="41" spans="1:25" x14ac:dyDescent="0.15">
      <c r="C41" s="11"/>
      <c r="D41" s="11"/>
      <c r="E41" s="11"/>
      <c r="F41" s="11"/>
      <c r="G41" s="11"/>
      <c r="H41" s="11"/>
    </row>
    <row r="42" spans="1:25" x14ac:dyDescent="0.15">
      <c r="C42" s="11"/>
      <c r="D42" s="11"/>
      <c r="E42" s="11"/>
      <c r="F42" s="11"/>
      <c r="G42" s="11"/>
      <c r="H42" s="11"/>
    </row>
    <row r="43" spans="1:25" x14ac:dyDescent="0.15">
      <c r="C43" s="11"/>
      <c r="D43" s="11"/>
      <c r="E43" s="11"/>
      <c r="F43" s="11"/>
      <c r="G43" s="11"/>
      <c r="H43" s="11"/>
    </row>
    <row r="44" spans="1:25" x14ac:dyDescent="0.15">
      <c r="C44" s="11"/>
      <c r="D44" s="11"/>
      <c r="E44" s="11"/>
      <c r="F44" s="11"/>
      <c r="G44" s="11"/>
      <c r="H44" s="11"/>
    </row>
    <row r="45" spans="1:25" x14ac:dyDescent="0.15">
      <c r="C45" s="11"/>
      <c r="D45" s="11"/>
      <c r="E45" s="11"/>
      <c r="F45" s="11"/>
      <c r="G45" s="11"/>
      <c r="H45" s="11"/>
    </row>
    <row r="46" spans="1:25" x14ac:dyDescent="0.15">
      <c r="C46" s="11"/>
      <c r="D46" s="11"/>
      <c r="E46" s="11"/>
      <c r="F46" s="11"/>
      <c r="G46" s="11"/>
      <c r="H46" s="11"/>
    </row>
    <row r="47" spans="1:25" x14ac:dyDescent="0.15">
      <c r="C47" s="11"/>
      <c r="D47" s="11"/>
      <c r="E47" s="11"/>
      <c r="F47" s="11"/>
      <c r="G47" s="11"/>
      <c r="H47" s="11"/>
    </row>
    <row r="52" spans="3:8" x14ac:dyDescent="0.15">
      <c r="C52" s="11"/>
      <c r="D52" s="11"/>
      <c r="E52" s="11"/>
      <c r="F52" s="11"/>
      <c r="G52" s="11"/>
      <c r="H52" s="11"/>
    </row>
    <row r="54" spans="3:8" x14ac:dyDescent="0.15">
      <c r="C54" s="11"/>
      <c r="D54" s="11"/>
      <c r="E54" s="11"/>
      <c r="F54" s="11"/>
      <c r="G54" s="11"/>
      <c r="H54" s="11"/>
    </row>
    <row r="55" spans="3:8" x14ac:dyDescent="0.15">
      <c r="C55" s="11"/>
      <c r="D55" s="11"/>
      <c r="E55" s="11"/>
      <c r="F55" s="11"/>
      <c r="G55" s="11"/>
      <c r="H55" s="11"/>
    </row>
    <row r="56" spans="3:8" x14ac:dyDescent="0.15">
      <c r="C56" s="11"/>
      <c r="D56" s="11"/>
      <c r="E56" s="11"/>
      <c r="F56" s="11"/>
      <c r="G56" s="11"/>
      <c r="H56" s="11"/>
    </row>
    <row r="57" spans="3:8" x14ac:dyDescent="0.15">
      <c r="C57" s="11"/>
      <c r="D57" s="11"/>
      <c r="E57" s="11"/>
      <c r="F57" s="11"/>
      <c r="G57" s="11"/>
      <c r="H57" s="11"/>
    </row>
    <row r="58" spans="3:8" x14ac:dyDescent="0.15">
      <c r="C58" s="11"/>
      <c r="D58" s="11"/>
      <c r="E58" s="11"/>
      <c r="F58" s="11"/>
      <c r="G58" s="11"/>
      <c r="H58" s="11"/>
    </row>
    <row r="59" spans="3:8" x14ac:dyDescent="0.15">
      <c r="C59" s="11"/>
      <c r="D59" s="11"/>
      <c r="E59" s="11"/>
      <c r="F59" s="11"/>
      <c r="G59" s="11"/>
      <c r="H59" s="11"/>
    </row>
    <row r="60" spans="3:8" x14ac:dyDescent="0.15">
      <c r="C60" s="11"/>
      <c r="D60" s="11"/>
      <c r="E60" s="11"/>
      <c r="F60" s="11"/>
      <c r="G60" s="11"/>
      <c r="H60" s="11"/>
    </row>
    <row r="61" spans="3:8" x14ac:dyDescent="0.15">
      <c r="C61" s="11"/>
      <c r="D61" s="11"/>
      <c r="E61" s="11"/>
      <c r="F61" s="11"/>
      <c r="G61" s="11"/>
      <c r="H61" s="11"/>
    </row>
    <row r="62" spans="3:8" x14ac:dyDescent="0.15">
      <c r="C62" s="11"/>
      <c r="D62" s="11"/>
      <c r="E62" s="11"/>
      <c r="F62" s="11"/>
      <c r="G62" s="11"/>
      <c r="H62" s="11"/>
    </row>
    <row r="63" spans="3:8" x14ac:dyDescent="0.15">
      <c r="C63" s="11"/>
      <c r="D63" s="11"/>
      <c r="E63" s="11"/>
      <c r="F63" s="11"/>
      <c r="G63" s="11"/>
      <c r="H63" s="11"/>
    </row>
    <row r="64" spans="3:8" x14ac:dyDescent="0.15">
      <c r="C64" s="11"/>
      <c r="D64" s="11"/>
      <c r="E64" s="11"/>
      <c r="F64" s="11"/>
      <c r="G64" s="11"/>
      <c r="H64" s="11"/>
    </row>
    <row r="65" spans="3:8" x14ac:dyDescent="0.15">
      <c r="C65" s="11"/>
      <c r="D65" s="11"/>
      <c r="E65" s="11"/>
      <c r="F65" s="11"/>
      <c r="G65" s="11"/>
      <c r="H65" s="11"/>
    </row>
    <row r="66" spans="3:8" x14ac:dyDescent="0.15">
      <c r="C66" s="11"/>
      <c r="D66" s="11"/>
      <c r="E66" s="11"/>
      <c r="F66" s="11"/>
      <c r="G66" s="11"/>
      <c r="H66" s="11"/>
    </row>
    <row r="67" spans="3:8" x14ac:dyDescent="0.15">
      <c r="C67" s="11"/>
      <c r="D67" s="11"/>
      <c r="E67" s="11"/>
      <c r="F67" s="11"/>
      <c r="G67" s="11"/>
      <c r="H67" s="11"/>
    </row>
    <row r="72" spans="3:8" x14ac:dyDescent="0.15">
      <c r="C72" s="11"/>
      <c r="D72" s="11"/>
      <c r="E72" s="11"/>
      <c r="F72" s="11"/>
      <c r="G72" s="11"/>
      <c r="H72" s="11"/>
    </row>
    <row r="74" spans="3:8" x14ac:dyDescent="0.15">
      <c r="C74" s="11"/>
      <c r="D74" s="11"/>
      <c r="E74" s="11"/>
      <c r="F74" s="11"/>
      <c r="G74" s="11"/>
      <c r="H74" s="11"/>
    </row>
    <row r="75" spans="3:8" x14ac:dyDescent="0.15">
      <c r="C75" s="11"/>
      <c r="D75" s="11"/>
      <c r="E75" s="11"/>
      <c r="F75" s="11"/>
      <c r="G75" s="11"/>
      <c r="H75" s="11"/>
    </row>
    <row r="76" spans="3:8" x14ac:dyDescent="0.15">
      <c r="C76" s="11"/>
      <c r="D76" s="11"/>
      <c r="E76" s="11"/>
      <c r="F76" s="11"/>
      <c r="G76" s="11"/>
      <c r="H76" s="11"/>
    </row>
    <row r="77" spans="3:8" x14ac:dyDescent="0.15">
      <c r="C77" s="11"/>
      <c r="D77" s="11"/>
      <c r="E77" s="11"/>
      <c r="F77" s="11"/>
      <c r="G77" s="11"/>
      <c r="H77" s="11"/>
    </row>
    <row r="78" spans="3:8" x14ac:dyDescent="0.15">
      <c r="C78" s="11"/>
      <c r="D78" s="11"/>
      <c r="E78" s="11"/>
      <c r="F78" s="11"/>
      <c r="G78" s="11"/>
      <c r="H78" s="11"/>
    </row>
    <row r="79" spans="3:8" x14ac:dyDescent="0.15">
      <c r="C79" s="11"/>
      <c r="D79" s="11"/>
      <c r="E79" s="11"/>
      <c r="F79" s="11"/>
      <c r="G79" s="11"/>
      <c r="H79" s="11"/>
    </row>
    <row r="80" spans="3:8" x14ac:dyDescent="0.15">
      <c r="C80" s="11"/>
      <c r="D80" s="11"/>
      <c r="E80" s="11"/>
      <c r="F80" s="11"/>
      <c r="G80" s="11"/>
      <c r="H80" s="11"/>
    </row>
    <row r="81" spans="3:8" x14ac:dyDescent="0.15">
      <c r="C81" s="11"/>
      <c r="D81" s="11"/>
      <c r="E81" s="11"/>
      <c r="F81" s="11"/>
      <c r="G81" s="11"/>
      <c r="H81" s="11"/>
    </row>
    <row r="82" spans="3:8" x14ac:dyDescent="0.15">
      <c r="C82" s="11"/>
      <c r="D82" s="11"/>
      <c r="E82" s="11"/>
      <c r="F82" s="11"/>
      <c r="G82" s="11"/>
      <c r="H82" s="11"/>
    </row>
    <row r="83" spans="3:8" x14ac:dyDescent="0.15">
      <c r="C83" s="11"/>
      <c r="D83" s="11"/>
      <c r="E83" s="11"/>
      <c r="F83" s="11"/>
      <c r="G83" s="11"/>
      <c r="H83" s="11"/>
    </row>
    <row r="84" spans="3:8" x14ac:dyDescent="0.15">
      <c r="C84" s="11"/>
      <c r="D84" s="11"/>
      <c r="E84" s="11"/>
      <c r="F84" s="11"/>
      <c r="G84" s="11"/>
      <c r="H84" s="11"/>
    </row>
    <row r="85" spans="3:8" x14ac:dyDescent="0.15">
      <c r="C85" s="11"/>
      <c r="D85" s="11"/>
      <c r="E85" s="11"/>
      <c r="F85" s="11"/>
      <c r="G85" s="11"/>
      <c r="H85" s="11"/>
    </row>
    <row r="86" spans="3:8" x14ac:dyDescent="0.15">
      <c r="C86" s="11"/>
      <c r="D86" s="11"/>
      <c r="E86" s="11"/>
      <c r="F86" s="11"/>
      <c r="G86" s="11"/>
      <c r="H86" s="11"/>
    </row>
    <row r="87" spans="3:8" x14ac:dyDescent="0.15">
      <c r="C87" s="11"/>
      <c r="D87" s="11"/>
      <c r="E87" s="11"/>
      <c r="F87" s="11"/>
      <c r="G87" s="11"/>
      <c r="H87" s="11"/>
    </row>
  </sheetData>
  <phoneticPr fontId="1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I4:AM9"/>
  <sheetViews>
    <sheetView workbookViewId="0">
      <selection activeCell="I5" sqref="I5"/>
    </sheetView>
  </sheetViews>
  <sheetFormatPr defaultColWidth="9" defaultRowHeight="13.5" x14ac:dyDescent="0.15"/>
  <cols>
    <col min="9" max="9" width="11.125" customWidth="1"/>
    <col min="14" max="14" width="9" style="4"/>
  </cols>
  <sheetData>
    <row r="4" spans="9:39" ht="14.25" x14ac:dyDescent="0.15">
      <c r="I4" t="s">
        <v>133</v>
      </c>
      <c r="J4" s="56">
        <v>6.4512</v>
      </c>
      <c r="K4" s="56">
        <v>6.7208249999999996</v>
      </c>
      <c r="L4" s="56">
        <v>7.0422500000000001</v>
      </c>
      <c r="M4" s="56">
        <v>6.7386845690238504</v>
      </c>
      <c r="N4" s="56">
        <v>6.61140109601146</v>
      </c>
      <c r="O4" s="56">
        <v>6.5208986469806502</v>
      </c>
      <c r="P4" s="56">
        <v>6.5132847694045601</v>
      </c>
      <c r="Q4" s="56">
        <v>6.4965676351724602</v>
      </c>
      <c r="R4" s="56">
        <v>6.4798934074900902</v>
      </c>
      <c r="S4" s="56">
        <v>6.4632619762326202</v>
      </c>
      <c r="T4" s="56">
        <v>6.4466732315578197</v>
      </c>
      <c r="U4" s="56">
        <v>6.4301270639054096</v>
      </c>
      <c r="V4" s="56">
        <v>6.4136233639963098</v>
      </c>
      <c r="W4" s="56">
        <v>6.3971620228319104</v>
      </c>
      <c r="X4" s="56">
        <v>6.3896926215862901</v>
      </c>
      <c r="Y4" s="56">
        <v>6.3822319417009901</v>
      </c>
      <c r="Z4" s="56">
        <v>6.3747799729928296</v>
      </c>
      <c r="AA4" s="56">
        <v>6.3673367052905503</v>
      </c>
      <c r="AB4" s="56">
        <v>6.3599021284347499</v>
      </c>
      <c r="AC4" s="56">
        <v>6.3524762322778896</v>
      </c>
      <c r="AD4" s="56">
        <v>6.3450590066843002</v>
      </c>
      <c r="AE4" s="56">
        <v>6.33765044153012</v>
      </c>
      <c r="AF4" s="56">
        <v>6.3302505267033098</v>
      </c>
      <c r="AG4" s="56">
        <v>6.32285925210366</v>
      </c>
      <c r="AH4" s="56">
        <v>6.3154766076427302</v>
      </c>
      <c r="AI4" s="56">
        <v>6.3081025832438797</v>
      </c>
      <c r="AJ4" s="56">
        <v>6.3007371688422102</v>
      </c>
      <c r="AK4" s="56">
        <v>6.2933803543845999</v>
      </c>
      <c r="AL4" s="56">
        <v>6.2860321298296498</v>
      </c>
      <c r="AM4" s="56">
        <v>6.2786924851476904</v>
      </c>
    </row>
    <row r="6" spans="9:39" x14ac:dyDescent="0.15">
      <c r="K6" s="69" t="s">
        <v>73</v>
      </c>
      <c r="L6" s="69" t="s">
        <v>73</v>
      </c>
      <c r="M6" s="69" t="s">
        <v>73</v>
      </c>
      <c r="N6" s="71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9:39" x14ac:dyDescent="0.15">
      <c r="K7" s="69" t="s">
        <v>75</v>
      </c>
      <c r="L7" s="69" t="s">
        <v>76</v>
      </c>
      <c r="M7" s="69" t="s">
        <v>77</v>
      </c>
      <c r="N7" s="71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9:39" x14ac:dyDescent="0.15">
      <c r="I8" t="s">
        <v>134</v>
      </c>
      <c r="J8" s="69" t="s">
        <v>135</v>
      </c>
      <c r="K8">
        <v>95796.574544834832</v>
      </c>
      <c r="L8">
        <v>99785.677170454626</v>
      </c>
      <c r="M8">
        <v>104756.56619616544</v>
      </c>
      <c r="N8" s="4">
        <v>109998.53853387263</v>
      </c>
      <c r="O8">
        <v>115415.17532412878</v>
      </c>
      <c r="P8">
        <v>121026.33201590713</v>
      </c>
      <c r="Q8">
        <v>126902.63289767873</v>
      </c>
      <c r="R8">
        <v>132954.14767249161</v>
      </c>
      <c r="S8">
        <v>139128.09314162462</v>
      </c>
      <c r="T8">
        <v>145545.64519527674</v>
      </c>
      <c r="U8">
        <v>152182.69505877874</v>
      </c>
      <c r="V8">
        <v>159036.28451740617</v>
      </c>
    </row>
    <row r="9" spans="9:39" s="18" customFormat="1" x14ac:dyDescent="0.15">
      <c r="I9" s="18" t="s">
        <v>136</v>
      </c>
      <c r="N9" s="57"/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I6:V10"/>
  <sheetViews>
    <sheetView workbookViewId="0">
      <selection activeCell="B13" sqref="B13"/>
    </sheetView>
  </sheetViews>
  <sheetFormatPr defaultColWidth="9" defaultRowHeight="13.5" x14ac:dyDescent="0.15"/>
  <cols>
    <col min="9" max="9" width="21.375" customWidth="1"/>
    <col min="10" max="10" width="23.5" customWidth="1"/>
  </cols>
  <sheetData>
    <row r="6" spans="9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9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9:22" x14ac:dyDescent="0.15">
      <c r="I8" t="s">
        <v>137</v>
      </c>
      <c r="J8" s="69" t="s">
        <v>138</v>
      </c>
      <c r="K8">
        <v>34176.327743258116</v>
      </c>
      <c r="L8">
        <v>33530.489977450976</v>
      </c>
      <c r="M8">
        <v>33401.665691327995</v>
      </c>
      <c r="N8">
        <v>33204.928059576487</v>
      </c>
      <c r="O8">
        <v>32954.668716661654</v>
      </c>
      <c r="P8">
        <v>32713.052747327994</v>
      </c>
      <c r="Q8">
        <v>32478.917368953767</v>
      </c>
      <c r="R8">
        <v>32259.010102849614</v>
      </c>
      <c r="S8">
        <v>32053.653472519552</v>
      </c>
      <c r="T8">
        <v>31854.61766907512</v>
      </c>
      <c r="U8">
        <v>31661.032674759768</v>
      </c>
      <c r="V8">
        <v>31472.983820210611</v>
      </c>
    </row>
    <row r="9" spans="9:22" x14ac:dyDescent="0.15">
      <c r="I9" t="s">
        <v>139</v>
      </c>
      <c r="J9" s="69" t="s">
        <v>140</v>
      </c>
      <c r="K9">
        <v>31534.668208742081</v>
      </c>
      <c r="L9">
        <v>31580.703945263427</v>
      </c>
      <c r="M9">
        <v>31018.223020729409</v>
      </c>
      <c r="N9">
        <v>30710.92578155913</v>
      </c>
      <c r="O9">
        <v>30777.500806658682</v>
      </c>
      <c r="P9">
        <v>30987.833594987835</v>
      </c>
      <c r="Q9">
        <v>31176.409949286164</v>
      </c>
      <c r="R9">
        <v>31347.359087789126</v>
      </c>
      <c r="S9">
        <v>31535.822771003102</v>
      </c>
      <c r="T9">
        <v>31715.343729335058</v>
      </c>
      <c r="U9">
        <v>31884.89743665346</v>
      </c>
      <c r="V9">
        <v>32044.4852529544</v>
      </c>
    </row>
    <row r="10" spans="9:22" x14ac:dyDescent="0.15">
      <c r="I10" t="s">
        <v>141</v>
      </c>
      <c r="J10" s="69" t="s">
        <v>142</v>
      </c>
      <c r="K10">
        <v>65710.995952000201</v>
      </c>
      <c r="L10">
        <v>65111.193922714403</v>
      </c>
      <c r="M10">
        <v>64419.888712057407</v>
      </c>
      <c r="N10">
        <v>63915.853841135613</v>
      </c>
      <c r="O10">
        <v>63732.169523320335</v>
      </c>
      <c r="P10">
        <v>63700.886342315833</v>
      </c>
      <c r="Q10">
        <v>63655.327318239928</v>
      </c>
      <c r="R10">
        <v>63606.369190638739</v>
      </c>
      <c r="S10">
        <v>63589.476243522658</v>
      </c>
      <c r="T10">
        <v>63569.961398410174</v>
      </c>
      <c r="U10">
        <v>63545.930111413225</v>
      </c>
      <c r="V10">
        <v>63517.469073165012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6:V10"/>
  <sheetViews>
    <sheetView topLeftCell="G1" workbookViewId="0">
      <selection activeCell="Y8" sqref="L8 Y8"/>
    </sheetView>
  </sheetViews>
  <sheetFormatPr defaultColWidth="9" defaultRowHeight="13.5" x14ac:dyDescent="0.15"/>
  <sheetData>
    <row r="6" spans="9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9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9:22" x14ac:dyDescent="0.15">
      <c r="I8" t="s">
        <v>132</v>
      </c>
      <c r="J8" s="69" t="s">
        <v>143</v>
      </c>
      <c r="K8">
        <v>140828</v>
      </c>
      <c r="L8">
        <v>140489</v>
      </c>
      <c r="M8">
        <v>140339.70000000001</v>
      </c>
      <c r="N8">
        <v>140120.57</v>
      </c>
      <c r="O8">
        <v>139834.41000000003</v>
      </c>
      <c r="P8">
        <v>139485.41</v>
      </c>
      <c r="Q8">
        <v>139079.16</v>
      </c>
      <c r="R8">
        <v>138616.35999999999</v>
      </c>
      <c r="S8">
        <v>138174.37</v>
      </c>
      <c r="T8">
        <v>137682.10999999999</v>
      </c>
      <c r="U8">
        <v>137142.08000000002</v>
      </c>
      <c r="V8">
        <v>136560.03000000003</v>
      </c>
    </row>
    <row r="9" spans="9:22" x14ac:dyDescent="0.15">
      <c r="I9" t="s">
        <v>144</v>
      </c>
      <c r="J9" s="69" t="s">
        <v>145</v>
      </c>
      <c r="K9">
        <v>94350</v>
      </c>
      <c r="L9">
        <v>95380</v>
      </c>
      <c r="M9">
        <v>96404.532498900036</v>
      </c>
      <c r="N9">
        <v>97265.81463006002</v>
      </c>
      <c r="O9">
        <v>97975.818372960028</v>
      </c>
      <c r="P9">
        <v>98547.139592050007</v>
      </c>
      <c r="Q9">
        <v>98992.234634039996</v>
      </c>
      <c r="R9">
        <v>99319.592254520001</v>
      </c>
      <c r="S9">
        <v>99591.940664900001</v>
      </c>
      <c r="T9">
        <v>99765.558362879994</v>
      </c>
      <c r="U9">
        <v>99847.799906880013</v>
      </c>
      <c r="V9">
        <v>99848.460575070028</v>
      </c>
    </row>
    <row r="10" spans="9:22" x14ac:dyDescent="0.15">
      <c r="I10" t="s">
        <v>146</v>
      </c>
      <c r="J10" s="69" t="s">
        <v>147</v>
      </c>
      <c r="K10">
        <v>0.66996619990342832</v>
      </c>
      <c r="L10">
        <v>0.67891436340211686</v>
      </c>
      <c r="M10">
        <v>0.68693700000000024</v>
      </c>
      <c r="N10">
        <v>0.69415800000000016</v>
      </c>
      <c r="O10">
        <v>0.70065600000000006</v>
      </c>
      <c r="P10">
        <v>0.70650500000000005</v>
      </c>
      <c r="Q10">
        <v>0.71176899999999999</v>
      </c>
      <c r="R10">
        <v>0.71650700000000012</v>
      </c>
      <c r="S10">
        <v>0.72077000000000002</v>
      </c>
      <c r="T10">
        <v>0.72460800000000003</v>
      </c>
      <c r="U10">
        <v>0.72806099999999996</v>
      </c>
      <c r="V10">
        <v>0.73116900000000007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H6:AZ19"/>
  <sheetViews>
    <sheetView topLeftCell="G1" workbookViewId="0">
      <pane xSplit="4" ySplit="7" topLeftCell="Y8" activePane="bottomRight" state="frozen"/>
      <selection pane="topRight"/>
      <selection pane="bottomLeft"/>
      <selection pane="bottomRight" activeCell="AK19" sqref="AK19"/>
    </sheetView>
  </sheetViews>
  <sheetFormatPr defaultColWidth="9" defaultRowHeight="13.5" x14ac:dyDescent="0.15"/>
  <cols>
    <col min="8" max="8" width="15.125" customWidth="1"/>
    <col min="9" max="9" width="11" customWidth="1"/>
    <col min="10" max="10" width="29.375" customWidth="1"/>
  </cols>
  <sheetData>
    <row r="6" spans="8:5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8:5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8:52" x14ac:dyDescent="0.15">
      <c r="H8" t="s">
        <v>148</v>
      </c>
      <c r="I8" t="s">
        <v>149</v>
      </c>
      <c r="J8" s="69" t="s">
        <v>114</v>
      </c>
      <c r="K8" s="55">
        <v>2960.2672083116067</v>
      </c>
      <c r="L8" s="55">
        <v>2993.8945193741024</v>
      </c>
      <c r="M8" s="55">
        <v>2990.0227384976615</v>
      </c>
      <c r="N8" s="55">
        <v>2987.3819570271439</v>
      </c>
      <c r="O8" s="55">
        <v>2985.9947760609102</v>
      </c>
      <c r="P8" s="55">
        <v>2985.4467610511056</v>
      </c>
      <c r="Q8" s="55">
        <v>2985.4638247517087</v>
      </c>
      <c r="R8" s="55">
        <v>2985.8729996873112</v>
      </c>
      <c r="S8" s="55">
        <v>2986.9846658584033</v>
      </c>
      <c r="T8" s="55">
        <v>2988.5406582678602</v>
      </c>
      <c r="U8" s="55">
        <v>2990.4759078181892</v>
      </c>
      <c r="V8" s="55">
        <v>2992.7348446003325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8:52" x14ac:dyDescent="0.15">
      <c r="I9" t="s">
        <v>150</v>
      </c>
      <c r="J9" s="69" t="s">
        <v>151</v>
      </c>
      <c r="K9" s="55">
        <v>95.301285948688445</v>
      </c>
      <c r="L9" s="55">
        <v>96.002425492689895</v>
      </c>
      <c r="M9" s="55">
        <v>96.007413581271464</v>
      </c>
      <c r="N9" s="55">
        <v>96.058651296670604</v>
      </c>
      <c r="O9" s="55">
        <v>96.211691365147033</v>
      </c>
      <c r="P9" s="55">
        <v>96.409819594796332</v>
      </c>
      <c r="Q9" s="55">
        <v>96.616760814534132</v>
      </c>
      <c r="R9" s="55">
        <v>96.830597423665566</v>
      </c>
      <c r="S9" s="55">
        <v>97.071564947320908</v>
      </c>
      <c r="T9" s="55">
        <v>97.326038888511349</v>
      </c>
      <c r="U9" s="55">
        <v>97.591600424836102</v>
      </c>
      <c r="V9" s="55">
        <v>97.866317223314113</v>
      </c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8:52" x14ac:dyDescent="0.15">
      <c r="I10" t="s">
        <v>152</v>
      </c>
      <c r="J10" s="69" t="s">
        <v>153</v>
      </c>
      <c r="K10" s="55">
        <v>115.99299930899504</v>
      </c>
      <c r="L10" s="55">
        <v>119.49442721163182</v>
      </c>
      <c r="M10" s="55">
        <v>119.86815763169508</v>
      </c>
      <c r="N10" s="55">
        <v>120.28931511112005</v>
      </c>
      <c r="O10" s="55">
        <v>120.73678729662979</v>
      </c>
      <c r="P10" s="55">
        <v>121.19301830907065</v>
      </c>
      <c r="Q10" s="55">
        <v>121.65347916080398</v>
      </c>
      <c r="R10" s="55">
        <v>122.10774441588431</v>
      </c>
      <c r="S10" s="55">
        <v>122.58489718417674</v>
      </c>
      <c r="T10" s="55">
        <v>123.06615630238893</v>
      </c>
      <c r="U10" s="55">
        <v>123.54971379772851</v>
      </c>
      <c r="V10" s="55">
        <v>124.03304465971678</v>
      </c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</row>
    <row r="11" spans="8:52" x14ac:dyDescent="0.15">
      <c r="I11" t="s">
        <v>154</v>
      </c>
      <c r="J11" s="69" t="s">
        <v>155</v>
      </c>
      <c r="K11" s="55">
        <v>378.2232414735318</v>
      </c>
      <c r="L11" s="55">
        <v>377.97045827862235</v>
      </c>
      <c r="M11" s="55">
        <v>376.04783627807689</v>
      </c>
      <c r="N11" s="55">
        <v>374.26989239372614</v>
      </c>
      <c r="O11" s="55">
        <v>372.64150230119475</v>
      </c>
      <c r="P11" s="55">
        <v>371.15657603505525</v>
      </c>
      <c r="Q11" s="55">
        <v>369.79161389325662</v>
      </c>
      <c r="R11" s="55">
        <v>368.53187422625047</v>
      </c>
      <c r="S11" s="55">
        <v>367.36267384855762</v>
      </c>
      <c r="T11" s="55">
        <v>366.27944528083242</v>
      </c>
      <c r="U11" s="55">
        <v>365.27306950461946</v>
      </c>
      <c r="V11" s="55">
        <v>364.33773572952936</v>
      </c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</row>
    <row r="12" spans="8:52" x14ac:dyDescent="0.15">
      <c r="H12" t="s">
        <v>156</v>
      </c>
      <c r="I12" t="s">
        <v>150</v>
      </c>
      <c r="J12" s="69" t="s">
        <v>157</v>
      </c>
      <c r="K12" s="18">
        <v>0.12877389673622563</v>
      </c>
      <c r="L12" s="18">
        <v>0.12826427233349552</v>
      </c>
      <c r="M12" s="18">
        <v>0.12843703473574311</v>
      </c>
      <c r="N12" s="18">
        <v>0.12861917582479099</v>
      </c>
      <c r="O12" s="18">
        <v>0.12888393795794698</v>
      </c>
      <c r="P12" s="18">
        <v>0.12917305490432221</v>
      </c>
      <c r="Q12" s="18">
        <v>0.12944958168778942</v>
      </c>
      <c r="R12" s="18">
        <v>0.1297183067515677</v>
      </c>
      <c r="S12" s="18">
        <v>0.12999271948980609</v>
      </c>
      <c r="T12" s="18">
        <v>0.13026563800530111</v>
      </c>
      <c r="U12" s="18">
        <v>0.13053654793833483</v>
      </c>
      <c r="V12" s="18">
        <v>0.13080519632387783</v>
      </c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8:52" x14ac:dyDescent="0.15">
      <c r="I13" t="s">
        <v>152</v>
      </c>
      <c r="J13" s="69" t="s">
        <v>158</v>
      </c>
      <c r="K13" s="18">
        <v>0.35264958205457625</v>
      </c>
      <c r="L13" s="18">
        <v>0.35921434036678013</v>
      </c>
      <c r="M13" s="18">
        <v>0.36080441957685783</v>
      </c>
      <c r="N13" s="18">
        <v>0.36239217199980023</v>
      </c>
      <c r="O13" s="18">
        <v>0.36390923868364539</v>
      </c>
      <c r="P13" s="18">
        <v>0.3653514036866003</v>
      </c>
      <c r="Q13" s="18">
        <v>0.36673742397072706</v>
      </c>
      <c r="R13" s="18">
        <v>0.36805641092506136</v>
      </c>
      <c r="S13" s="18">
        <v>0.36935712702781265</v>
      </c>
      <c r="T13" s="18">
        <v>0.37061413357630407</v>
      </c>
      <c r="U13" s="18">
        <v>0.37182958781661563</v>
      </c>
      <c r="V13" s="18">
        <v>0.3730024408782957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8:52" x14ac:dyDescent="0.15">
      <c r="I14" t="s">
        <v>154</v>
      </c>
      <c r="J14" s="69" t="s">
        <v>159</v>
      </c>
      <c r="K14" s="18">
        <v>0.51857652120919817</v>
      </c>
      <c r="L14" s="18">
        <v>0.51252138729972441</v>
      </c>
      <c r="M14" s="18">
        <v>0.51075854568739909</v>
      </c>
      <c r="N14" s="18">
        <v>0.50898865217540878</v>
      </c>
      <c r="O14" s="18">
        <v>0.50720682335840772</v>
      </c>
      <c r="P14" s="18">
        <v>0.50547554140907747</v>
      </c>
      <c r="Q14" s="18">
        <v>0.50381299434148352</v>
      </c>
      <c r="R14" s="18">
        <v>0.50222528232337094</v>
      </c>
      <c r="S14" s="18">
        <v>0.50065015348238129</v>
      </c>
      <c r="T14" s="18">
        <v>0.49912022841839482</v>
      </c>
      <c r="U14" s="18">
        <v>0.49763386424504957</v>
      </c>
      <c r="V14" s="18">
        <v>0.49619236279782641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8:52" x14ac:dyDescent="0.15">
      <c r="H15" t="s">
        <v>156</v>
      </c>
      <c r="I15" t="s">
        <v>160</v>
      </c>
      <c r="J15" s="69" t="s">
        <v>161</v>
      </c>
      <c r="K15" s="18">
        <v>0.61250706577440273</v>
      </c>
      <c r="L15" s="18">
        <v>0.60222068852227839</v>
      </c>
      <c r="M15" s="18">
        <v>0.60040893090138092</v>
      </c>
      <c r="N15" s="18">
        <v>0.59859550659341232</v>
      </c>
      <c r="O15" s="18">
        <v>0.59675268074611465</v>
      </c>
      <c r="P15" s="18">
        <v>0.59496030019816359</v>
      </c>
      <c r="Q15" s="18">
        <v>0.59325033948593953</v>
      </c>
      <c r="R15" s="18">
        <v>0.59162277981123357</v>
      </c>
      <c r="S15" s="18">
        <v>0.59001261743480726</v>
      </c>
      <c r="T15" s="18">
        <v>0.58845310167510312</v>
      </c>
      <c r="U15" s="18">
        <v>0.58694170612922214</v>
      </c>
      <c r="V15" s="18">
        <v>0.58547941632844736</v>
      </c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8:52" x14ac:dyDescent="0.15">
      <c r="I16" t="s">
        <v>162</v>
      </c>
      <c r="J16" s="69" t="s">
        <v>163</v>
      </c>
      <c r="K16" s="18">
        <v>0.18063161380475876</v>
      </c>
      <c r="L16" s="18">
        <v>0.18480704721075777</v>
      </c>
      <c r="M16" s="18">
        <v>0.186220949196471</v>
      </c>
      <c r="N16" s="18">
        <v>0.18763397942826568</v>
      </c>
      <c r="O16" s="18">
        <v>0.18897908674372552</v>
      </c>
      <c r="P16" s="18">
        <v>0.19026939182997418</v>
      </c>
      <c r="Q16" s="18">
        <v>0.19153503794151291</v>
      </c>
      <c r="R16" s="18">
        <v>0.19275657305454996</v>
      </c>
      <c r="S16" s="18">
        <v>0.19395935300617972</v>
      </c>
      <c r="T16" s="18">
        <v>0.19512992292686235</v>
      </c>
      <c r="U16" s="18">
        <v>0.19626999676645801</v>
      </c>
      <c r="V16" s="18">
        <v>0.19737881299155613</v>
      </c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8:52" x14ac:dyDescent="0.15">
      <c r="I17" t="s">
        <v>164</v>
      </c>
      <c r="J17" s="69" t="s">
        <v>165</v>
      </c>
      <c r="K17" s="18">
        <v>0.1903099751512094</v>
      </c>
      <c r="L17" s="18">
        <v>0.19418302331298826</v>
      </c>
      <c r="M17" s="18">
        <v>0.19449519579042299</v>
      </c>
      <c r="N17" s="18">
        <v>0.19481821618520859</v>
      </c>
      <c r="O17" s="18">
        <v>0.19524887549203651</v>
      </c>
      <c r="P17" s="18">
        <v>0.19569182840957508</v>
      </c>
      <c r="Q17" s="18">
        <v>0.19608265308271849</v>
      </c>
      <c r="R17" s="18">
        <v>0.19643980187231475</v>
      </c>
      <c r="S17" s="18">
        <v>0.19680345431276647</v>
      </c>
      <c r="T17" s="18">
        <v>0.19715290648431577</v>
      </c>
      <c r="U17" s="18">
        <v>0.19748840899932349</v>
      </c>
      <c r="V17" s="18">
        <v>0.19780942150791231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8:52" x14ac:dyDescent="0.15">
      <c r="H18" t="s">
        <v>166</v>
      </c>
      <c r="I18" t="s">
        <v>160</v>
      </c>
      <c r="J18" s="69" t="s">
        <v>167</v>
      </c>
      <c r="K18" s="18">
        <v>0.59154501753901034</v>
      </c>
      <c r="L18" s="18">
        <v>0.58147729232754741</v>
      </c>
      <c r="M18" s="18">
        <v>0.5801992810263773</v>
      </c>
      <c r="N18" s="18">
        <v>0.57888141820383843</v>
      </c>
      <c r="O18" s="18">
        <v>0.57712740003891161</v>
      </c>
      <c r="P18" s="18">
        <v>0.57526932667488639</v>
      </c>
      <c r="Q18" s="18">
        <v>0.57351939860581047</v>
      </c>
      <c r="R18" s="18">
        <v>0.57184460460599007</v>
      </c>
      <c r="S18" s="18">
        <v>0.57015767352024294</v>
      </c>
      <c r="T18" s="18">
        <v>0.5685041515464464</v>
      </c>
      <c r="U18" s="18">
        <v>0.56688397416287617</v>
      </c>
      <c r="V18" s="18">
        <v>0.56529851843804479</v>
      </c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8:52" x14ac:dyDescent="0.15">
      <c r="I19" t="s">
        <v>164</v>
      </c>
      <c r="J19" s="69" t="s">
        <v>168</v>
      </c>
      <c r="K19" s="18">
        <v>0.40845498246098999</v>
      </c>
      <c r="L19" s="18">
        <v>0.41852270767245259</v>
      </c>
      <c r="M19" s="18">
        <v>0.41980071897362281</v>
      </c>
      <c r="N19" s="18">
        <v>0.42111858179616168</v>
      </c>
      <c r="O19" s="18">
        <v>0.42287259996108834</v>
      </c>
      <c r="P19" s="18">
        <v>0.42473067332511383</v>
      </c>
      <c r="Q19" s="18">
        <v>0.42648060139418942</v>
      </c>
      <c r="R19" s="18">
        <v>0.42815539539400971</v>
      </c>
      <c r="S19" s="18">
        <v>0.42984232647975701</v>
      </c>
      <c r="T19" s="18">
        <v>0.43149584845355365</v>
      </c>
      <c r="U19" s="18">
        <v>0.43311602583712344</v>
      </c>
      <c r="V19" s="18">
        <v>0.43470148156195515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AT44"/>
  <sheetViews>
    <sheetView topLeftCell="D1" zoomScale="90" zoomScaleNormal="90" workbookViewId="0">
      <pane xSplit="7" ySplit="7" topLeftCell="K8" activePane="bottomRight" state="frozen"/>
      <selection pane="topRight"/>
      <selection pane="bottomLeft"/>
      <selection pane="bottomRight" activeCell="R15" sqref="R15:R19"/>
    </sheetView>
  </sheetViews>
  <sheetFormatPr defaultColWidth="9" defaultRowHeight="15" x14ac:dyDescent="0.25"/>
  <cols>
    <col min="1" max="1" width="30.875" style="27" customWidth="1"/>
    <col min="2" max="2" width="11.125" style="35" customWidth="1"/>
    <col min="3" max="3" width="12.875" style="27" customWidth="1"/>
    <col min="4" max="4" width="3.625" style="27" customWidth="1"/>
    <col min="5" max="7" width="9" style="27" hidden="1" customWidth="1"/>
    <col min="8" max="8" width="37.125" style="27" customWidth="1"/>
    <col min="9" max="9" width="3.125" style="27" customWidth="1"/>
    <col min="10" max="10" width="28.125" style="27" customWidth="1"/>
    <col min="11" max="25" width="11.125" style="27" customWidth="1"/>
    <col min="26" max="35" width="14.5" style="27" customWidth="1"/>
    <col min="36" max="46" width="12.875" style="27" customWidth="1"/>
    <col min="47" max="16384" width="9" style="27"/>
  </cols>
  <sheetData>
    <row r="3" spans="3:46" x14ac:dyDescent="0.25">
      <c r="K3" s="27">
        <f t="shared" ref="K3:W3" si="0">K9/15</f>
        <v>476.97846604313679</v>
      </c>
      <c r="L3" s="27">
        <f t="shared" si="0"/>
        <v>480.35194389486713</v>
      </c>
      <c r="M3" s="27">
        <f t="shared" si="0"/>
        <v>481.99443906158467</v>
      </c>
      <c r="N3" s="27">
        <f t="shared" si="0"/>
        <v>483.64783458620201</v>
      </c>
      <c r="O3" s="27">
        <f t="shared" si="0"/>
        <v>485.31481869141106</v>
      </c>
      <c r="P3" s="27">
        <f t="shared" si="0"/>
        <v>486.99062605116882</v>
      </c>
      <c r="Q3" s="27">
        <f t="shared" si="0"/>
        <v>488.67689334292152</v>
      </c>
      <c r="R3" s="27">
        <f t="shared" si="0"/>
        <v>490.37536809610009</v>
      </c>
      <c r="S3" s="27">
        <f t="shared" si="0"/>
        <v>492.0875163185907</v>
      </c>
      <c r="T3" s="27">
        <f t="shared" si="0"/>
        <v>493.81574829664567</v>
      </c>
      <c r="U3" s="27">
        <f t="shared" si="0"/>
        <v>495.560949146886</v>
      </c>
      <c r="V3" s="27">
        <f t="shared" si="0"/>
        <v>497.3244742724799</v>
      </c>
      <c r="W3" s="27">
        <f t="shared" si="0"/>
        <v>0</v>
      </c>
    </row>
    <row r="4" spans="3:46" x14ac:dyDescent="0.25">
      <c r="L4" s="27">
        <f>L5/GUWUX!L22</f>
        <v>3.7628759584717803E-5</v>
      </c>
    </row>
    <row r="5" spans="3:46" x14ac:dyDescent="0.25">
      <c r="L5" s="22">
        <f>L11/L10</f>
        <v>0.99038895226977264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 spans="3:46" ht="12.75" customHeight="1" x14ac:dyDescent="0.25">
      <c r="K6" s="73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6"/>
      <c r="X6" s="26"/>
    </row>
    <row r="7" spans="3:46" x14ac:dyDescent="0.25">
      <c r="C7" s="35"/>
      <c r="D7" s="35"/>
      <c r="E7" s="35"/>
      <c r="F7" s="35"/>
      <c r="G7" s="35"/>
      <c r="K7" s="73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6"/>
      <c r="X7" s="26"/>
    </row>
    <row r="8" spans="3:46" ht="16.5" x14ac:dyDescent="0.3">
      <c r="H8" s="27" t="s">
        <v>169</v>
      </c>
      <c r="J8" s="74" t="s">
        <v>88</v>
      </c>
      <c r="K8" s="27">
        <v>2900.6900000000005</v>
      </c>
      <c r="L8" s="27">
        <v>2901.2200000000003</v>
      </c>
      <c r="M8" s="27">
        <v>2899.6812149031271</v>
      </c>
      <c r="N8" s="27">
        <v>2898.2505014009034</v>
      </c>
      <c r="O8" s="27">
        <v>2896.8979048230854</v>
      </c>
      <c r="P8" s="27">
        <v>2895.4794344445663</v>
      </c>
      <c r="Q8" s="27">
        <v>2894.0518414017288</v>
      </c>
      <c r="R8" s="27">
        <v>2892.6961383917169</v>
      </c>
      <c r="S8" s="27">
        <v>2891.4086810084445</v>
      </c>
      <c r="T8" s="27">
        <v>2890.1860119521461</v>
      </c>
      <c r="U8" s="27">
        <v>2889.0248511947575</v>
      </c>
      <c r="V8" s="27">
        <v>2887.9220866842011</v>
      </c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</row>
    <row r="9" spans="3:46" ht="16.5" x14ac:dyDescent="0.3">
      <c r="H9" s="27" t="s">
        <v>170</v>
      </c>
      <c r="J9" s="74" t="s">
        <v>90</v>
      </c>
      <c r="K9" s="27">
        <v>7154.6769906470518</v>
      </c>
      <c r="L9" s="27">
        <v>7205.2791584230072</v>
      </c>
      <c r="M9" s="27">
        <v>7229.9165859237701</v>
      </c>
      <c r="N9" s="27">
        <v>7254.7175187930297</v>
      </c>
      <c r="O9" s="27">
        <v>7279.7222803711657</v>
      </c>
      <c r="P9" s="27">
        <v>7304.8593907675322</v>
      </c>
      <c r="Q9" s="27">
        <v>7330.1534001438231</v>
      </c>
      <c r="R9" s="27">
        <v>7355.6305214415015</v>
      </c>
      <c r="S9" s="27">
        <v>7381.3127447788602</v>
      </c>
      <c r="T9" s="27">
        <v>7407.2362244496853</v>
      </c>
      <c r="U9" s="27">
        <v>7433.4142372032902</v>
      </c>
      <c r="V9" s="27">
        <v>7459.8671140871984</v>
      </c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</row>
    <row r="10" spans="3:46" ht="16.5" x14ac:dyDescent="0.3">
      <c r="H10" s="27" t="s">
        <v>171</v>
      </c>
      <c r="J10" s="74" t="s">
        <v>92</v>
      </c>
      <c r="K10" s="27">
        <v>20832.07</v>
      </c>
      <c r="L10" s="27">
        <v>21106.959999999999</v>
      </c>
      <c r="M10" s="27">
        <v>21304.815112930191</v>
      </c>
      <c r="N10" s="27">
        <v>21345.04727465317</v>
      </c>
      <c r="O10" s="27">
        <v>21349.459408066421</v>
      </c>
      <c r="P10" s="27">
        <v>21361.983389438745</v>
      </c>
      <c r="Q10" s="27">
        <v>21382.975123475517</v>
      </c>
      <c r="R10" s="27">
        <v>21410.922773792794</v>
      </c>
      <c r="S10" s="27">
        <v>21452.909948599197</v>
      </c>
      <c r="T10" s="27">
        <v>21502.318764166557</v>
      </c>
      <c r="U10" s="27">
        <v>21558.870023675547</v>
      </c>
      <c r="V10" s="27">
        <v>21623.09761458818</v>
      </c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</row>
    <row r="11" spans="3:46" ht="17.25" customHeight="1" x14ac:dyDescent="0.3">
      <c r="H11" s="27" t="s">
        <v>172</v>
      </c>
      <c r="J11" s="74" t="s">
        <v>94</v>
      </c>
      <c r="K11" s="27">
        <v>20753.5</v>
      </c>
      <c r="L11" s="27">
        <v>20904.099999999999</v>
      </c>
      <c r="M11" s="27">
        <v>20964.453309519711</v>
      </c>
      <c r="N11" s="27">
        <v>21025.988686363813</v>
      </c>
      <c r="O11" s="27">
        <v>21088.612221701173</v>
      </c>
      <c r="P11" s="27">
        <v>21151.070137476654</v>
      </c>
      <c r="Q11" s="27">
        <v>21213.843945443372</v>
      </c>
      <c r="R11" s="27">
        <v>21277.604004810088</v>
      </c>
      <c r="S11" s="27">
        <v>21342.391747491871</v>
      </c>
      <c r="T11" s="27">
        <v>21408.290523129712</v>
      </c>
      <c r="U11" s="27">
        <v>21475.318460505227</v>
      </c>
      <c r="V11" s="27">
        <v>21543.51500250155</v>
      </c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</row>
    <row r="12" spans="3:46" ht="16.5" x14ac:dyDescent="0.3">
      <c r="H12" s="27" t="s">
        <v>173</v>
      </c>
      <c r="J12" s="74" t="s">
        <v>96</v>
      </c>
      <c r="K12" s="27">
        <v>78.569999999999993</v>
      </c>
      <c r="L12" s="27">
        <v>202.85999999999999</v>
      </c>
      <c r="M12" s="27">
        <v>340.36180341047896</v>
      </c>
      <c r="N12" s="27">
        <v>319.05858828935743</v>
      </c>
      <c r="O12" s="27">
        <v>260.84718636524985</v>
      </c>
      <c r="P12" s="27">
        <v>210.91325196209155</v>
      </c>
      <c r="Q12" s="27">
        <v>169.13117803214305</v>
      </c>
      <c r="R12" s="27">
        <v>133.31876898270639</v>
      </c>
      <c r="S12" s="27">
        <v>110.5182011073266</v>
      </c>
      <c r="T12" s="27">
        <v>94.028241036845316</v>
      </c>
      <c r="U12" s="27">
        <v>83.551563170320151</v>
      </c>
      <c r="V12" s="27">
        <v>79.582612086629524</v>
      </c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</row>
    <row r="13" spans="3:46" ht="16.5" x14ac:dyDescent="0.3">
      <c r="H13" s="27" t="s">
        <v>174</v>
      </c>
      <c r="J13" s="74" t="s">
        <v>98</v>
      </c>
      <c r="K13" s="27">
        <v>20832.07</v>
      </c>
      <c r="L13" s="27">
        <v>21106.959999999999</v>
      </c>
      <c r="M13" s="27">
        <v>21304.815112930191</v>
      </c>
      <c r="N13" s="27">
        <v>21345.04727465317</v>
      </c>
      <c r="O13" s="27">
        <v>21349.459408066421</v>
      </c>
      <c r="P13" s="27">
        <v>21361.983389438745</v>
      </c>
      <c r="Q13" s="27">
        <v>21382.975123475517</v>
      </c>
      <c r="R13" s="27">
        <v>21410.922773792794</v>
      </c>
      <c r="S13" s="27">
        <v>21452.909948599197</v>
      </c>
      <c r="T13" s="27">
        <v>21502.318764166554</v>
      </c>
      <c r="U13" s="27">
        <v>21558.870023675547</v>
      </c>
      <c r="V13" s="27">
        <v>21623.09761458818</v>
      </c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</row>
    <row r="14" spans="3:46" ht="16.5" x14ac:dyDescent="0.3">
      <c r="H14" s="27" t="s">
        <v>175</v>
      </c>
      <c r="J14" s="74" t="s">
        <v>100</v>
      </c>
      <c r="K14" s="27">
        <v>111.12846877041497</v>
      </c>
      <c r="L14" s="27">
        <v>110.68482229925475</v>
      </c>
      <c r="M14" s="27">
        <v>109.77017489505117</v>
      </c>
      <c r="N14" s="27">
        <v>108.90481363493572</v>
      </c>
      <c r="O14" s="27">
        <v>108.09710174261306</v>
      </c>
      <c r="P14" s="27">
        <v>107.35248350805092</v>
      </c>
      <c r="Q14" s="27">
        <v>106.66086143697841</v>
      </c>
      <c r="R14" s="27">
        <v>106.01542395635514</v>
      </c>
      <c r="S14" s="27">
        <v>105.40338540075338</v>
      </c>
      <c r="T14" s="27">
        <v>104.8268525269286</v>
      </c>
      <c r="U14" s="27">
        <v>104.28235564482925</v>
      </c>
      <c r="V14" s="27">
        <v>103.76790160383962</v>
      </c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</row>
    <row r="15" spans="3:46" ht="16.5" x14ac:dyDescent="0.3">
      <c r="H15" s="27" t="s">
        <v>176</v>
      </c>
      <c r="J15" s="74" t="s">
        <v>102</v>
      </c>
      <c r="K15" s="27">
        <v>141</v>
      </c>
      <c r="L15" s="27">
        <v>142</v>
      </c>
      <c r="M15" s="27">
        <v>141.92468427635407</v>
      </c>
      <c r="N15" s="27">
        <v>141.85465810897767</v>
      </c>
      <c r="O15" s="27">
        <v>141.78845536873391</v>
      </c>
      <c r="P15" s="27">
        <v>141.71902844014878</v>
      </c>
      <c r="Q15" s="27">
        <v>141.64915500342801</v>
      </c>
      <c r="R15" s="27">
        <v>141.58280021908845</v>
      </c>
      <c r="S15" s="27">
        <v>141.51978571194158</v>
      </c>
      <c r="T15" s="27">
        <v>141.45994226470407</v>
      </c>
      <c r="U15" s="27">
        <v>141.40310933664307</v>
      </c>
      <c r="V15" s="27">
        <v>141.34913460859792</v>
      </c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</row>
    <row r="16" spans="3:46" ht="16.5" x14ac:dyDescent="0.3">
      <c r="H16" s="27" t="s">
        <v>177</v>
      </c>
      <c r="J16" s="74" t="s">
        <v>104</v>
      </c>
      <c r="K16" s="27">
        <v>1069.8599999999999</v>
      </c>
      <c r="L16" s="27">
        <v>863.84</v>
      </c>
      <c r="M16" s="27">
        <v>860.54281960987794</v>
      </c>
      <c r="N16" s="27">
        <v>858.98195542374526</v>
      </c>
      <c r="O16" s="27">
        <v>857.41668811386023</v>
      </c>
      <c r="P16" s="27">
        <v>855.64637061745066</v>
      </c>
      <c r="Q16" s="27">
        <v>853.74897065211871</v>
      </c>
      <c r="R16" s="27">
        <v>851.77799969126522</v>
      </c>
      <c r="S16" s="27">
        <v>849.84737285358904</v>
      </c>
      <c r="T16" s="27">
        <v>847.95216423112311</v>
      </c>
      <c r="U16" s="27">
        <v>846.09007712956259</v>
      </c>
      <c r="V16" s="27">
        <v>844.25814244165747</v>
      </c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</row>
    <row r="17" spans="8:46" ht="16.5" x14ac:dyDescent="0.3">
      <c r="H17" s="27" t="s">
        <v>178</v>
      </c>
      <c r="J17" s="74" t="s">
        <v>106</v>
      </c>
      <c r="K17" s="27">
        <v>1780</v>
      </c>
      <c r="L17" s="27">
        <v>1800</v>
      </c>
      <c r="M17" s="27">
        <v>1907.7131220857254</v>
      </c>
      <c r="N17" s="27">
        <v>2021.3924168947869</v>
      </c>
      <c r="O17" s="27">
        <v>2140.1373766931451</v>
      </c>
      <c r="P17" s="27">
        <v>2264.3502095539725</v>
      </c>
      <c r="Q17" s="27">
        <v>2394.9644399013018</v>
      </c>
      <c r="R17" s="27">
        <v>2531.1207022469994</v>
      </c>
      <c r="S17" s="27">
        <v>2673.341305250377</v>
      </c>
      <c r="T17" s="27">
        <v>2822.2363144934125</v>
      </c>
      <c r="U17" s="27">
        <v>2977.6985866927193</v>
      </c>
      <c r="V17" s="27">
        <v>3139.8999903508429</v>
      </c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8:46" ht="16.5" x14ac:dyDescent="0.3">
      <c r="H18" s="52" t="s">
        <v>179</v>
      </c>
      <c r="J18" s="74" t="s">
        <v>108</v>
      </c>
      <c r="K18" s="27">
        <v>830.14</v>
      </c>
      <c r="L18" s="27">
        <v>836.16399999999999</v>
      </c>
      <c r="M18" s="27">
        <v>838.57813238078847</v>
      </c>
      <c r="N18" s="27">
        <v>841.03954745455258</v>
      </c>
      <c r="O18" s="27">
        <v>843.54448886804687</v>
      </c>
      <c r="P18" s="27">
        <v>846.04280549906616</v>
      </c>
      <c r="Q18" s="27">
        <v>848.55375781773489</v>
      </c>
      <c r="R18" s="27">
        <v>851.10416019240358</v>
      </c>
      <c r="S18" s="27">
        <v>853.69566989967495</v>
      </c>
      <c r="T18" s="27">
        <v>856.33162092518853</v>
      </c>
      <c r="U18" s="27">
        <v>859.01273842020908</v>
      </c>
      <c r="V18" s="27">
        <v>861.74060010006201</v>
      </c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</row>
    <row r="19" spans="8:46" ht="16.5" x14ac:dyDescent="0.3">
      <c r="H19" s="52" t="s">
        <v>180</v>
      </c>
      <c r="J19" s="74" t="s">
        <v>110</v>
      </c>
      <c r="K19" s="27">
        <v>1361.07</v>
      </c>
      <c r="L19" s="27">
        <v>1914.9559999999999</v>
      </c>
      <c r="M19" s="27">
        <v>2150.9429408584342</v>
      </c>
      <c r="N19" s="27">
        <v>2221.9741345001403</v>
      </c>
      <c r="O19" s="27">
        <v>2250.8779541343597</v>
      </c>
      <c r="P19" s="27">
        <v>2280.119798689384</v>
      </c>
      <c r="Q19" s="27">
        <v>2309.7557865695667</v>
      </c>
      <c r="R19" s="27">
        <v>2339.86493875629</v>
      </c>
      <c r="S19" s="27">
        <v>2370.45944126732</v>
      </c>
      <c r="T19" s="27">
        <v>2401.5564816857691</v>
      </c>
      <c r="U19" s="27">
        <v>2433.166351664785</v>
      </c>
      <c r="V19" s="27">
        <v>2465.3019910296334</v>
      </c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</row>
    <row r="20" spans="8:46" ht="16.5" x14ac:dyDescent="0.3">
      <c r="H20" s="27" t="s">
        <v>181</v>
      </c>
      <c r="J20" s="74" t="s">
        <v>112</v>
      </c>
      <c r="K20" s="27">
        <v>19471</v>
      </c>
      <c r="L20" s="27">
        <v>19192.004000000001</v>
      </c>
      <c r="M20" s="27">
        <v>19153.872172071759</v>
      </c>
      <c r="N20" s="27">
        <v>19123.073140153028</v>
      </c>
      <c r="O20" s="27">
        <v>19098.58145393206</v>
      </c>
      <c r="P20" s="27">
        <v>19081.863590749359</v>
      </c>
      <c r="Q20" s="27">
        <v>19073.21933690595</v>
      </c>
      <c r="R20" s="27">
        <v>19071.057835036503</v>
      </c>
      <c r="S20" s="27">
        <v>19082.450507331876</v>
      </c>
      <c r="T20" s="27">
        <v>19100.762282480784</v>
      </c>
      <c r="U20" s="27">
        <v>19125.703672010761</v>
      </c>
      <c r="V20" s="27">
        <v>19157.795623558544</v>
      </c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</row>
    <row r="21" spans="8:46" ht="16.5" x14ac:dyDescent="0.3">
      <c r="H21" s="27" t="s">
        <v>182</v>
      </c>
      <c r="J21" s="74" t="s">
        <v>114</v>
      </c>
      <c r="K21" s="27">
        <v>754.59850328472123</v>
      </c>
      <c r="L21" s="27">
        <v>751.58599922676763</v>
      </c>
      <c r="M21" s="27">
        <v>745.37524540389995</v>
      </c>
      <c r="N21" s="27">
        <v>739.49916055445647</v>
      </c>
      <c r="O21" s="27">
        <v>734.01453369172941</v>
      </c>
      <c r="P21" s="27">
        <v>728.95833331808865</v>
      </c>
      <c r="Q21" s="27">
        <v>724.26199415815461</v>
      </c>
      <c r="R21" s="27">
        <v>719.87926341209891</v>
      </c>
      <c r="S21" s="27">
        <v>715.72332224670993</v>
      </c>
      <c r="T21" s="27">
        <v>711.80847622663714</v>
      </c>
      <c r="U21" s="27">
        <v>708.11116502617233</v>
      </c>
      <c r="V21" s="27">
        <v>704.61785450336151</v>
      </c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</row>
    <row r="22" spans="8:46" ht="16.5" x14ac:dyDescent="0.3">
      <c r="H22" s="27" t="s">
        <v>183</v>
      </c>
      <c r="J22" s="74" t="s">
        <v>116</v>
      </c>
      <c r="K22" s="27">
        <v>15650</v>
      </c>
      <c r="L22" s="27">
        <v>15550</v>
      </c>
      <c r="M22" s="27">
        <v>15405.113413719013</v>
      </c>
      <c r="N22" s="27">
        <v>15259.804562270965</v>
      </c>
      <c r="O22" s="27">
        <v>15115.694444888273</v>
      </c>
      <c r="P22" s="27">
        <v>14974.105176638723</v>
      </c>
      <c r="Q22" s="27">
        <v>14834.303013531349</v>
      </c>
      <c r="R22" s="27">
        <v>14695.472172686746</v>
      </c>
      <c r="S22" s="27">
        <v>14564.046373616296</v>
      </c>
      <c r="T22" s="27">
        <v>14432.782240566359</v>
      </c>
      <c r="U22" s="27">
        <v>14301.499160431627</v>
      </c>
      <c r="V22" s="27">
        <v>14170.547756057389</v>
      </c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</row>
    <row r="23" spans="8:46" ht="16.5" x14ac:dyDescent="0.3">
      <c r="H23" s="52" t="s">
        <v>184</v>
      </c>
      <c r="J23" s="74" t="s">
        <v>118</v>
      </c>
      <c r="K23" s="27">
        <v>17647.483309058825</v>
      </c>
      <c r="L23" s="27">
        <v>17664.066582441879</v>
      </c>
      <c r="M23" s="27">
        <v>17677.811132917977</v>
      </c>
      <c r="N23" s="27">
        <v>17559.585927741326</v>
      </c>
      <c r="O23" s="27">
        <v>17412.487378461374</v>
      </c>
      <c r="P23" s="27">
        <v>17273.137231558554</v>
      </c>
      <c r="Q23" s="27">
        <v>17141.588400576471</v>
      </c>
      <c r="R23" s="27">
        <v>17016.393880839012</v>
      </c>
      <c r="S23" s="27">
        <v>16902.96746835217</v>
      </c>
      <c r="T23" s="27">
        <v>16795.748462480438</v>
      </c>
      <c r="U23" s="27">
        <v>16694.345751540084</v>
      </c>
      <c r="V23" s="27">
        <v>16598.990075207963</v>
      </c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</row>
    <row r="24" spans="8:46" x14ac:dyDescent="0.25"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</row>
    <row r="25" spans="8:46" x14ac:dyDescent="0.25"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</row>
    <row r="26" spans="8:46" x14ac:dyDescent="0.25"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</row>
    <row r="27" spans="8:46" x14ac:dyDescent="0.25"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8:46" x14ac:dyDescent="0.25"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</row>
    <row r="29" spans="8:46" x14ac:dyDescent="0.25"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</row>
    <row r="30" spans="8:46" x14ac:dyDescent="0.25"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</row>
    <row r="31" spans="8:46" x14ac:dyDescent="0.25"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</row>
    <row r="32" spans="8:46" x14ac:dyDescent="0.25"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</row>
    <row r="33" spans="8:46" x14ac:dyDescent="0.25"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</row>
    <row r="34" spans="8:46" x14ac:dyDescent="0.25"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</row>
    <row r="35" spans="8:46" x14ac:dyDescent="0.25"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8:46" x14ac:dyDescent="0.25"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8:46" x14ac:dyDescent="0.25"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8:46" x14ac:dyDescent="0.25"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spans="8:46" x14ac:dyDescent="0.25"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8:46" x14ac:dyDescent="0.25"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spans="8:46" x14ac:dyDescent="0.25"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8:46" x14ac:dyDescent="0.25"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4" spans="8:46" x14ac:dyDescent="0.25">
      <c r="H44" s="52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</sheetData>
  <phoneticPr fontId="1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T86"/>
  <sheetViews>
    <sheetView topLeftCell="G1" zoomScale="85" zoomScaleNormal="85" workbookViewId="0">
      <pane xSplit="4" ySplit="7" topLeftCell="K8" activePane="bottomRight" state="frozen"/>
      <selection pane="topRight"/>
      <selection pane="bottomLeft"/>
      <selection pane="bottomRight" activeCell="R15" sqref="R15:R19"/>
    </sheetView>
  </sheetViews>
  <sheetFormatPr defaultColWidth="9" defaultRowHeight="15" x14ac:dyDescent="0.25"/>
  <cols>
    <col min="1" max="1" width="39" style="20" customWidth="1"/>
    <col min="2" max="2" width="10.375" style="25" customWidth="1"/>
    <col min="3" max="3" width="12.875" style="20" customWidth="1"/>
    <col min="4" max="7" width="9" style="20"/>
    <col min="8" max="8" width="37.125" style="27" customWidth="1"/>
    <col min="9" max="9" width="3.125" style="27" customWidth="1"/>
    <col min="10" max="10" width="28.125" style="27" customWidth="1"/>
    <col min="11" max="11" width="12.625" style="20" customWidth="1"/>
    <col min="12" max="12" width="13.625" style="20" customWidth="1"/>
    <col min="13" max="52" width="12.625" style="20" customWidth="1"/>
    <col min="53" max="16384" width="9" style="20"/>
  </cols>
  <sheetData>
    <row r="1" spans="3:46" x14ac:dyDescent="0.25"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3:46" x14ac:dyDescent="0.25">
      <c r="L2" s="49"/>
      <c r="M2" s="30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</row>
    <row r="3" spans="3:46" x14ac:dyDescent="0.25">
      <c r="K3" s="27">
        <f t="shared" ref="K3:W3" si="0">K9/15</f>
        <v>395.97129540913085</v>
      </c>
      <c r="L3" s="27">
        <f t="shared" si="0"/>
        <v>395.98899716448</v>
      </c>
      <c r="M3" s="27">
        <f t="shared" si="0"/>
        <v>396.79366260841431</v>
      </c>
      <c r="N3" s="27">
        <f t="shared" si="0"/>
        <v>397.61176142485448</v>
      </c>
      <c r="O3" s="27">
        <f t="shared" si="0"/>
        <v>398.45129663451917</v>
      </c>
      <c r="P3" s="27">
        <f t="shared" si="0"/>
        <v>399.32951275399324</v>
      </c>
      <c r="Q3" s="27">
        <f t="shared" si="0"/>
        <v>400.25212782537693</v>
      </c>
      <c r="R3" s="27">
        <f t="shared" si="0"/>
        <v>401.19848196726235</v>
      </c>
      <c r="S3" s="27">
        <f t="shared" si="0"/>
        <v>402.17320428979167</v>
      </c>
      <c r="T3" s="27">
        <f t="shared" si="0"/>
        <v>403.18399274113483</v>
      </c>
      <c r="U3" s="27">
        <f t="shared" si="0"/>
        <v>404.23354476415602</v>
      </c>
      <c r="V3" s="27">
        <f t="shared" si="0"/>
        <v>405.32608887678941</v>
      </c>
      <c r="W3" s="27">
        <f t="shared" si="0"/>
        <v>0</v>
      </c>
    </row>
    <row r="4" spans="3:46" x14ac:dyDescent="0.25">
      <c r="M4" s="50"/>
    </row>
    <row r="5" spans="3:46" x14ac:dyDescent="0.25">
      <c r="L5" s="22">
        <f>L11/L10</f>
        <v>0.97326833389846534</v>
      </c>
    </row>
    <row r="6" spans="3:46" x14ac:dyDescent="0.25">
      <c r="K6" s="73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6"/>
      <c r="X6" s="26"/>
    </row>
    <row r="7" spans="3:46" x14ac:dyDescent="0.25">
      <c r="C7" s="25"/>
      <c r="D7" s="25"/>
      <c r="E7" s="25"/>
      <c r="F7" s="25"/>
      <c r="G7" s="25"/>
      <c r="K7" s="73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6"/>
      <c r="X7" s="26"/>
    </row>
    <row r="8" spans="3:46" x14ac:dyDescent="0.25">
      <c r="C8" s="40"/>
      <c r="D8" s="27"/>
      <c r="E8" s="27"/>
      <c r="F8" s="27"/>
      <c r="G8" s="27"/>
      <c r="H8" s="27" t="s">
        <v>185</v>
      </c>
      <c r="J8" s="74" t="s">
        <v>88</v>
      </c>
      <c r="K8" s="27">
        <v>2358.7400000000002</v>
      </c>
      <c r="L8" s="27">
        <v>2358.1799999999998</v>
      </c>
      <c r="M8" s="27">
        <v>2356.431466353944</v>
      </c>
      <c r="N8" s="27">
        <v>2354.7787191365774</v>
      </c>
      <c r="O8" s="27">
        <v>2353.2058823478587</v>
      </c>
      <c r="P8" s="27">
        <v>2351.7623428265151</v>
      </c>
      <c r="Q8" s="27">
        <v>2350.5588836553625</v>
      </c>
      <c r="R8" s="27">
        <v>2349.4157448330066</v>
      </c>
      <c r="S8" s="27">
        <v>2348.3298961825667</v>
      </c>
      <c r="T8" s="27">
        <v>2347.298460386311</v>
      </c>
      <c r="U8" s="27">
        <v>2346.3187052153826</v>
      </c>
      <c r="V8" s="27">
        <v>2345.3880361598253</v>
      </c>
      <c r="W8" s="27"/>
      <c r="X8" s="27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</row>
    <row r="9" spans="3:46" x14ac:dyDescent="0.25">
      <c r="C9" s="40"/>
      <c r="D9" s="27"/>
      <c r="E9" s="27"/>
      <c r="F9" s="27"/>
      <c r="G9" s="27"/>
      <c r="H9" s="27" t="s">
        <v>186</v>
      </c>
      <c r="J9" s="74" t="s">
        <v>90</v>
      </c>
      <c r="K9" s="27">
        <v>5939.5694311369625</v>
      </c>
      <c r="L9" s="27">
        <v>5939.8349574672002</v>
      </c>
      <c r="M9" s="27">
        <v>5951.9049391262142</v>
      </c>
      <c r="N9" s="27">
        <v>5964.1764213728175</v>
      </c>
      <c r="O9" s="27">
        <v>5976.7694495177875</v>
      </c>
      <c r="P9" s="27">
        <v>5989.9426913098987</v>
      </c>
      <c r="Q9" s="27">
        <v>6003.7819173806538</v>
      </c>
      <c r="R9" s="27">
        <v>6017.9772295089351</v>
      </c>
      <c r="S9" s="27">
        <v>6032.5980643468747</v>
      </c>
      <c r="T9" s="27">
        <v>6047.7598911170226</v>
      </c>
      <c r="U9" s="27">
        <v>6063.5031714623401</v>
      </c>
      <c r="V9" s="27">
        <v>6079.8913331518415</v>
      </c>
      <c r="W9" s="27"/>
      <c r="X9" s="27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</row>
    <row r="10" spans="3:46" x14ac:dyDescent="0.25">
      <c r="C10" s="40"/>
      <c r="D10" s="27"/>
      <c r="E10" s="27"/>
      <c r="F10" s="27"/>
      <c r="G10" s="27"/>
      <c r="H10" s="27" t="s">
        <v>187</v>
      </c>
      <c r="J10" s="74" t="s">
        <v>92</v>
      </c>
      <c r="K10" s="27">
        <v>15116.16</v>
      </c>
      <c r="L10" s="27">
        <v>14391.92</v>
      </c>
      <c r="M10" s="27">
        <v>14354.245430767736</v>
      </c>
      <c r="N10" s="27">
        <v>14324.398687952329</v>
      </c>
      <c r="O10" s="27">
        <v>14301.69201091437</v>
      </c>
      <c r="P10" s="27">
        <v>14284.366019710802</v>
      </c>
      <c r="Q10" s="27">
        <v>14271.118576368752</v>
      </c>
      <c r="R10" s="27">
        <v>14261.720496681117</v>
      </c>
      <c r="S10" s="27">
        <v>14260.205809824214</v>
      </c>
      <c r="T10" s="27">
        <v>14262.791746754059</v>
      </c>
      <c r="U10" s="27">
        <v>14269.351679016829</v>
      </c>
      <c r="V10" s="27">
        <v>14280.200597774179</v>
      </c>
      <c r="W10" s="27"/>
      <c r="X10" s="27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</row>
    <row r="11" spans="3:46" x14ac:dyDescent="0.25">
      <c r="C11" s="40"/>
      <c r="D11" s="27"/>
      <c r="E11" s="27"/>
      <c r="F11" s="27"/>
      <c r="G11" s="27"/>
      <c r="H11" s="27" t="s">
        <v>188</v>
      </c>
      <c r="J11" s="74" t="s">
        <v>94</v>
      </c>
      <c r="K11" s="27">
        <v>14009.9</v>
      </c>
      <c r="L11" s="27">
        <v>14007.2</v>
      </c>
      <c r="M11" s="27">
        <v>14025.256083304463</v>
      </c>
      <c r="N11" s="27">
        <v>14044.315714224856</v>
      </c>
      <c r="O11" s="27">
        <v>14064.569026042231</v>
      </c>
      <c r="P11" s="27">
        <v>14086.921657111527</v>
      </c>
      <c r="Q11" s="27">
        <v>14112.242921428524</v>
      </c>
      <c r="R11" s="27">
        <v>14138.730455054809</v>
      </c>
      <c r="S11" s="27">
        <v>14166.530386158847</v>
      </c>
      <c r="T11" s="27">
        <v>14195.897481205075</v>
      </c>
      <c r="U11" s="27">
        <v>14226.910910334884</v>
      </c>
      <c r="V11" s="27">
        <v>14259.704393926142</v>
      </c>
      <c r="W11" s="27"/>
      <c r="X11" s="27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</row>
    <row r="12" spans="3:46" x14ac:dyDescent="0.25">
      <c r="C12" s="40"/>
      <c r="D12" s="27"/>
      <c r="E12" s="27"/>
      <c r="F12" s="27"/>
      <c r="G12" s="27"/>
      <c r="H12" s="27" t="s">
        <v>189</v>
      </c>
      <c r="J12" s="74" t="s">
        <v>96</v>
      </c>
      <c r="K12" s="27">
        <v>1106.26</v>
      </c>
      <c r="L12" s="27">
        <v>384.72</v>
      </c>
      <c r="M12" s="27">
        <v>328.9893474632745</v>
      </c>
      <c r="N12" s="27">
        <v>280.08297372747256</v>
      </c>
      <c r="O12" s="27">
        <v>237.12298487213999</v>
      </c>
      <c r="P12" s="27">
        <v>197.44436259927556</v>
      </c>
      <c r="Q12" s="27">
        <v>158.87565494022857</v>
      </c>
      <c r="R12" s="27">
        <v>122.99004162630813</v>
      </c>
      <c r="S12" s="27">
        <v>93.675423665367148</v>
      </c>
      <c r="T12" s="27">
        <v>66.894265548984748</v>
      </c>
      <c r="U12" s="27">
        <v>42.440768681945237</v>
      </c>
      <c r="V12" s="27">
        <v>20.496203848037112</v>
      </c>
      <c r="W12" s="27"/>
      <c r="X12" s="27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</row>
    <row r="13" spans="3:46" x14ac:dyDescent="0.25">
      <c r="C13" s="40"/>
      <c r="D13" s="27"/>
      <c r="E13" s="27"/>
      <c r="F13" s="27"/>
      <c r="G13" s="27"/>
      <c r="H13" s="27" t="s">
        <v>190</v>
      </c>
      <c r="J13" s="74" t="s">
        <v>98</v>
      </c>
      <c r="K13" s="27">
        <v>15116.159999999996</v>
      </c>
      <c r="L13" s="27">
        <v>14391.92</v>
      </c>
      <c r="M13" s="27">
        <v>14354.245430767736</v>
      </c>
      <c r="N13" s="27">
        <v>14324.398687952329</v>
      </c>
      <c r="O13" s="27">
        <v>14301.69201091437</v>
      </c>
      <c r="P13" s="27">
        <v>14284.366019710802</v>
      </c>
      <c r="Q13" s="27">
        <v>14271.118576368752</v>
      </c>
      <c r="R13" s="27">
        <v>14261.720496681117</v>
      </c>
      <c r="S13" s="27">
        <v>14260.205809824214</v>
      </c>
      <c r="T13" s="27">
        <v>14262.791746754059</v>
      </c>
      <c r="U13" s="27">
        <v>14269.351679016829</v>
      </c>
      <c r="V13" s="27">
        <v>14280.200597774177</v>
      </c>
      <c r="W13" s="27"/>
      <c r="X13" s="27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</row>
    <row r="14" spans="3:46" x14ac:dyDescent="0.25">
      <c r="C14" s="40"/>
      <c r="D14" s="27"/>
      <c r="E14" s="27"/>
      <c r="F14" s="27"/>
      <c r="G14" s="27"/>
      <c r="H14" s="27" t="s">
        <v>191</v>
      </c>
      <c r="J14" s="74" t="s">
        <v>100</v>
      </c>
      <c r="K14" s="27">
        <v>64.61783168119976</v>
      </c>
      <c r="L14" s="27">
        <v>62.994255778032446</v>
      </c>
      <c r="M14" s="27">
        <v>62.445863044780914</v>
      </c>
      <c r="N14" s="27">
        <v>61.92758971646743</v>
      </c>
      <c r="O14" s="27">
        <v>61.444453983126934</v>
      </c>
      <c r="P14" s="27">
        <v>60.992050994023039</v>
      </c>
      <c r="Q14" s="27">
        <v>60.564776722272548</v>
      </c>
      <c r="R14" s="27">
        <v>60.164485447649739</v>
      </c>
      <c r="S14" s="27">
        <v>59.783983089875292</v>
      </c>
      <c r="T14" s="27">
        <v>59.424598343534676</v>
      </c>
      <c r="U14" s="27">
        <v>59.084382818104281</v>
      </c>
      <c r="V14" s="27">
        <v>58.76226043818442</v>
      </c>
      <c r="W14" s="27"/>
      <c r="X14" s="27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</row>
    <row r="15" spans="3:46" x14ac:dyDescent="0.25">
      <c r="C15" s="40"/>
      <c r="D15" s="27"/>
      <c r="E15" s="27"/>
      <c r="F15" s="27"/>
      <c r="G15" s="27"/>
      <c r="H15" s="27" t="s">
        <v>192</v>
      </c>
      <c r="J15" s="74" t="s">
        <v>102</v>
      </c>
      <c r="K15" s="27">
        <v>650</v>
      </c>
      <c r="L15" s="27">
        <v>700</v>
      </c>
      <c r="M15" s="27">
        <v>699.48096686756776</v>
      </c>
      <c r="N15" s="27">
        <v>698.99036689124841</v>
      </c>
      <c r="O15" s="27">
        <v>698.52348745367237</v>
      </c>
      <c r="P15" s="27">
        <v>698.09498849899524</v>
      </c>
      <c r="Q15" s="27">
        <v>697.73775477646052</v>
      </c>
      <c r="R15" s="27">
        <v>697.39842649123671</v>
      </c>
      <c r="S15" s="27">
        <v>697.0761041683827</v>
      </c>
      <c r="T15" s="27">
        <v>696.76993370752768</v>
      </c>
      <c r="U15" s="27">
        <v>696.47910407635038</v>
      </c>
      <c r="V15" s="27">
        <v>696.20284512288208</v>
      </c>
      <c r="W15" s="27"/>
      <c r="X15" s="27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</row>
    <row r="16" spans="3:46" x14ac:dyDescent="0.25">
      <c r="C16" s="40"/>
      <c r="D16" s="27"/>
      <c r="E16" s="27"/>
      <c r="F16" s="27"/>
      <c r="G16" s="27"/>
      <c r="H16" s="27" t="s">
        <v>193</v>
      </c>
      <c r="J16" s="74" t="s">
        <v>104</v>
      </c>
      <c r="K16" s="27">
        <v>1440</v>
      </c>
      <c r="L16" s="27">
        <v>2040</v>
      </c>
      <c r="M16" s="27">
        <v>2029.2955405470786</v>
      </c>
      <c r="N16" s="27">
        <v>2023.112238313232</v>
      </c>
      <c r="O16" s="27">
        <v>2020.1922148189028</v>
      </c>
      <c r="P16" s="27">
        <v>2018.7812216148188</v>
      </c>
      <c r="Q16" s="27">
        <v>2017.3778664263491</v>
      </c>
      <c r="R16" s="27">
        <v>2016.0474420706121</v>
      </c>
      <c r="S16" s="27">
        <v>2014.8745798069865</v>
      </c>
      <c r="T16" s="27">
        <v>2013.8487975841895</v>
      </c>
      <c r="U16" s="27">
        <v>2012.9656306663401</v>
      </c>
      <c r="V16" s="27">
        <v>2012.2190606356749</v>
      </c>
      <c r="W16" s="27"/>
      <c r="X16" s="27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</row>
    <row r="17" spans="3:46" x14ac:dyDescent="0.25">
      <c r="C17" s="40"/>
      <c r="D17" s="27"/>
      <c r="E17" s="27"/>
      <c r="F17" s="27"/>
      <c r="G17" s="27"/>
      <c r="H17" s="27" t="s">
        <v>194</v>
      </c>
      <c r="J17" s="74" t="s">
        <v>106</v>
      </c>
      <c r="K17" s="27">
        <v>1150</v>
      </c>
      <c r="L17" s="27">
        <v>1000</v>
      </c>
      <c r="M17" s="27">
        <v>1057.5924592913375</v>
      </c>
      <c r="N17" s="27">
        <v>1118.2722579317315</v>
      </c>
      <c r="O17" s="27">
        <v>1181.6272482277561</v>
      </c>
      <c r="P17" s="27">
        <v>1247.8129836575574</v>
      </c>
      <c r="Q17" s="27">
        <v>1317.2717082188724</v>
      </c>
      <c r="R17" s="27">
        <v>1389.6522590410923</v>
      </c>
      <c r="S17" s="27">
        <v>1465.2242810588518</v>
      </c>
      <c r="T17" s="27">
        <v>1544.2744304120708</v>
      </c>
      <c r="U17" s="27">
        <v>1626.7676475308069</v>
      </c>
      <c r="V17" s="27">
        <v>1712.7998693145012</v>
      </c>
      <c r="W17" s="27"/>
      <c r="X17" s="27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</row>
    <row r="18" spans="3:46" x14ac:dyDescent="0.25">
      <c r="C18" s="40"/>
      <c r="D18" s="27"/>
      <c r="E18" s="27"/>
      <c r="F18" s="27"/>
      <c r="G18" s="27"/>
      <c r="H18" s="27" t="s">
        <v>195</v>
      </c>
      <c r="J18" s="74" t="s">
        <v>108</v>
      </c>
      <c r="K18" s="27">
        <v>560</v>
      </c>
      <c r="L18" s="27">
        <v>560</v>
      </c>
      <c r="M18" s="27">
        <v>560.72187208367825</v>
      </c>
      <c r="N18" s="27">
        <v>561.48386543819743</v>
      </c>
      <c r="O18" s="27">
        <v>562.29358148549659</v>
      </c>
      <c r="P18" s="27">
        <v>563.18722713907516</v>
      </c>
      <c r="Q18" s="27">
        <v>564.1995570849258</v>
      </c>
      <c r="R18" s="27">
        <v>565.25851382365443</v>
      </c>
      <c r="S18" s="27">
        <v>566.36993947747965</v>
      </c>
      <c r="T18" s="27">
        <v>567.54401946676285</v>
      </c>
      <c r="U18" s="27">
        <v>568.78391896935386</v>
      </c>
      <c r="V18" s="27">
        <v>570.09498405096235</v>
      </c>
      <c r="W18" s="27"/>
      <c r="X18" s="27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</row>
    <row r="19" spans="3:46" x14ac:dyDescent="0.25">
      <c r="C19" s="40"/>
      <c r="D19" s="27"/>
      <c r="E19" s="27"/>
      <c r="F19" s="27"/>
      <c r="G19" s="27"/>
      <c r="H19" s="52" t="s">
        <v>196</v>
      </c>
      <c r="J19" s="74" t="s">
        <v>110</v>
      </c>
      <c r="K19" s="27">
        <v>2216.16</v>
      </c>
      <c r="L19" s="27">
        <v>1241.92</v>
      </c>
      <c r="M19" s="27">
        <v>1243.5209060324319</v>
      </c>
      <c r="N19" s="27">
        <v>1245.2107895803683</v>
      </c>
      <c r="O19" s="27">
        <v>1247.0065084258358</v>
      </c>
      <c r="P19" s="27">
        <v>1248.9883591581436</v>
      </c>
      <c r="Q19" s="27">
        <v>1251.2334177409127</v>
      </c>
      <c r="R19" s="27">
        <v>1253.5818812283446</v>
      </c>
      <c r="S19" s="27">
        <v>1256.0467057783424</v>
      </c>
      <c r="T19" s="27">
        <v>1258.6504797431469</v>
      </c>
      <c r="U19" s="27">
        <v>1261.4002225828931</v>
      </c>
      <c r="V19" s="27">
        <v>1264.3077903438773</v>
      </c>
      <c r="W19" s="27"/>
      <c r="X19" s="27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</row>
    <row r="20" spans="3:46" x14ac:dyDescent="0.25">
      <c r="C20" s="40"/>
      <c r="D20" s="27"/>
      <c r="E20" s="27"/>
      <c r="F20" s="27"/>
      <c r="G20" s="27"/>
      <c r="H20" s="52" t="s">
        <v>197</v>
      </c>
      <c r="J20" s="74" t="s">
        <v>112</v>
      </c>
      <c r="K20" s="27">
        <v>12899.999999999996</v>
      </c>
      <c r="L20" s="27">
        <v>13150</v>
      </c>
      <c r="M20" s="27">
        <v>13110.724524735304</v>
      </c>
      <c r="N20" s="27">
        <v>13079.187898371962</v>
      </c>
      <c r="O20" s="27">
        <v>13054.685502488534</v>
      </c>
      <c r="P20" s="27">
        <v>13035.377660552658</v>
      </c>
      <c r="Q20" s="27">
        <v>13019.88515862784</v>
      </c>
      <c r="R20" s="27">
        <v>13008.138615452772</v>
      </c>
      <c r="S20" s="27">
        <v>13004.159104045872</v>
      </c>
      <c r="T20" s="27">
        <v>13004.141267010913</v>
      </c>
      <c r="U20" s="27">
        <v>13007.951456433935</v>
      </c>
      <c r="V20" s="27">
        <v>13015.8928074303</v>
      </c>
      <c r="W20" s="27"/>
      <c r="X20" s="27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</row>
    <row r="21" spans="3:46" x14ac:dyDescent="0.25">
      <c r="C21" s="40"/>
      <c r="D21" s="27"/>
      <c r="E21" s="27"/>
      <c r="F21" s="27"/>
      <c r="G21" s="27"/>
      <c r="H21" s="27" t="s">
        <v>198</v>
      </c>
      <c r="J21" s="74" t="s">
        <v>114</v>
      </c>
      <c r="K21" s="27">
        <v>443.81612255836149</v>
      </c>
      <c r="L21" s="27">
        <v>432.66487926722294</v>
      </c>
      <c r="M21" s="27">
        <v>428.89834098856863</v>
      </c>
      <c r="N21" s="27">
        <v>425.33867250367831</v>
      </c>
      <c r="O21" s="27">
        <v>422.02034036126838</v>
      </c>
      <c r="P21" s="27">
        <v>418.9130906248721</v>
      </c>
      <c r="Q21" s="27">
        <v>415.97843302922854</v>
      </c>
      <c r="R21" s="27">
        <v>413.22910336627223</v>
      </c>
      <c r="S21" s="27">
        <v>410.61569037084826</v>
      </c>
      <c r="T21" s="27">
        <v>408.14731994618847</v>
      </c>
      <c r="U21" s="27">
        <v>405.81060991735905</v>
      </c>
      <c r="V21" s="27">
        <v>403.59816945122537</v>
      </c>
      <c r="W21" s="27"/>
      <c r="X21" s="27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</row>
    <row r="22" spans="3:46" x14ac:dyDescent="0.25">
      <c r="C22" s="40"/>
      <c r="D22" s="27"/>
      <c r="E22" s="27"/>
      <c r="F22" s="27"/>
      <c r="G22" s="27"/>
      <c r="H22" s="27" t="s">
        <v>199</v>
      </c>
      <c r="J22" s="74" t="s">
        <v>116</v>
      </c>
      <c r="K22" s="27">
        <v>9100</v>
      </c>
      <c r="L22" s="27">
        <v>8850</v>
      </c>
      <c r="M22" s="27">
        <v>8763.6336859456405</v>
      </c>
      <c r="N22" s="27">
        <v>8677.3291697975546</v>
      </c>
      <c r="O22" s="27">
        <v>8592.0489705027067</v>
      </c>
      <c r="P22" s="27">
        <v>8507.5012396422117</v>
      </c>
      <c r="Q22" s="27">
        <v>8423.2982721212193</v>
      </c>
      <c r="R22" s="27">
        <v>8339.7819740261766</v>
      </c>
      <c r="S22" s="27">
        <v>8260.6141995341713</v>
      </c>
      <c r="T22" s="27">
        <v>8181.7040858403579</v>
      </c>
      <c r="U22" s="27">
        <v>8102.9551551910836</v>
      </c>
      <c r="V22" s="27">
        <v>8024.5760483062795</v>
      </c>
      <c r="W22" s="27"/>
      <c r="X22" s="27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</row>
    <row r="23" spans="3:46" x14ac:dyDescent="0.25">
      <c r="C23" s="40"/>
      <c r="D23" s="27"/>
      <c r="E23" s="27"/>
      <c r="F23" s="27"/>
      <c r="G23" s="27"/>
      <c r="H23" s="52" t="s">
        <v>200</v>
      </c>
      <c r="J23" s="74" t="s">
        <v>118</v>
      </c>
      <c r="K23" s="27">
        <v>3372.1208439495781</v>
      </c>
      <c r="L23" s="27">
        <v>3183.7078269709073</v>
      </c>
      <c r="M23" s="27">
        <v>3155.4112579188527</v>
      </c>
      <c r="N23" s="27">
        <v>3129.1320525744804</v>
      </c>
      <c r="O23" s="27">
        <v>3104.611800438367</v>
      </c>
      <c r="P23" s="27">
        <v>3081.2751101613885</v>
      </c>
      <c r="Q23" s="27">
        <v>3058.7568594602071</v>
      </c>
      <c r="R23" s="27">
        <v>3037.1499520121597</v>
      </c>
      <c r="S23" s="27">
        <v>3017.3370215910827</v>
      </c>
      <c r="T23" s="27">
        <v>2998.3621616183041</v>
      </c>
      <c r="U23" s="27">
        <v>2980.1638248250097</v>
      </c>
      <c r="V23" s="27">
        <v>2962.7704819904707</v>
      </c>
      <c r="W23" s="27"/>
      <c r="X23" s="27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</row>
    <row r="24" spans="3:46" x14ac:dyDescent="0.25">
      <c r="C24" s="40"/>
      <c r="D24" s="27"/>
      <c r="E24" s="27"/>
      <c r="F24" s="27"/>
      <c r="G24" s="27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</row>
    <row r="25" spans="3:46" x14ac:dyDescent="0.25">
      <c r="C25" s="40"/>
      <c r="D25" s="27"/>
      <c r="E25" s="27"/>
      <c r="F25" s="27"/>
      <c r="G25" s="27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</row>
    <row r="26" spans="3:46" x14ac:dyDescent="0.25">
      <c r="C26" s="40"/>
      <c r="D26" s="27"/>
      <c r="E26" s="27"/>
      <c r="F26" s="27"/>
      <c r="G26" s="27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</row>
    <row r="27" spans="3:46" x14ac:dyDescent="0.25">
      <c r="C27" s="40"/>
      <c r="D27" s="27"/>
      <c r="E27" s="27"/>
      <c r="F27" s="27"/>
      <c r="G27" s="27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</row>
    <row r="28" spans="3:46" x14ac:dyDescent="0.25">
      <c r="C28" s="40"/>
      <c r="D28" s="27"/>
      <c r="E28" s="27"/>
      <c r="F28" s="27"/>
      <c r="G28" s="27"/>
      <c r="Y28" s="27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</row>
    <row r="29" spans="3:46" x14ac:dyDescent="0.25">
      <c r="C29" s="40"/>
      <c r="D29" s="27"/>
      <c r="E29" s="27"/>
      <c r="F29" s="27"/>
      <c r="G29" s="27"/>
      <c r="Y29" s="27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</row>
    <row r="30" spans="3:46" x14ac:dyDescent="0.25">
      <c r="C30" s="40"/>
      <c r="D30" s="27"/>
      <c r="E30" s="27"/>
      <c r="F30" s="27"/>
      <c r="G30" s="27"/>
      <c r="Y30" s="27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</row>
    <row r="31" spans="3:46" x14ac:dyDescent="0.25">
      <c r="C31" s="40"/>
      <c r="D31" s="27"/>
      <c r="E31" s="27"/>
      <c r="F31" s="27"/>
      <c r="G31" s="27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</row>
    <row r="32" spans="3:46" x14ac:dyDescent="0.25">
      <c r="C32" s="40"/>
      <c r="D32" s="27"/>
      <c r="E32" s="27"/>
      <c r="F32" s="27"/>
      <c r="G32" s="27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</row>
    <row r="33" spans="3:46" x14ac:dyDescent="0.25">
      <c r="C33" s="40"/>
      <c r="D33" s="27"/>
      <c r="E33" s="27"/>
      <c r="F33" s="27"/>
      <c r="G33" s="27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</row>
    <row r="34" spans="3:46" x14ac:dyDescent="0.25">
      <c r="C34" s="40"/>
      <c r="D34" s="27"/>
      <c r="E34" s="27"/>
      <c r="F34" s="27"/>
      <c r="G34" s="27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</row>
    <row r="35" spans="3:46" x14ac:dyDescent="0.25">
      <c r="C35" s="40"/>
      <c r="D35" s="27"/>
      <c r="E35" s="27"/>
      <c r="F35" s="27"/>
      <c r="G35" s="27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</row>
    <row r="36" spans="3:46" x14ac:dyDescent="0.25">
      <c r="C36" s="27"/>
      <c r="D36" s="27"/>
      <c r="E36" s="27"/>
      <c r="F36" s="27"/>
      <c r="G36" s="27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</row>
    <row r="37" spans="3:46" x14ac:dyDescent="0.25">
      <c r="C37" s="27"/>
      <c r="D37" s="27"/>
      <c r="E37" s="27"/>
      <c r="F37" s="27"/>
      <c r="G37" s="27"/>
    </row>
    <row r="38" spans="3:46" x14ac:dyDescent="0.25">
      <c r="C38" s="27"/>
      <c r="D38" s="27"/>
      <c r="E38" s="27"/>
      <c r="F38" s="27"/>
      <c r="G38" s="27"/>
    </row>
    <row r="39" spans="3:46" x14ac:dyDescent="0.25">
      <c r="C39" s="27"/>
      <c r="D39" s="27"/>
      <c r="E39" s="27"/>
      <c r="F39" s="27"/>
      <c r="G39" s="27"/>
    </row>
    <row r="40" spans="3:46" x14ac:dyDescent="0.25">
      <c r="C40" s="27"/>
      <c r="D40" s="27"/>
      <c r="E40" s="27"/>
      <c r="F40" s="27"/>
      <c r="G40" s="27"/>
    </row>
    <row r="41" spans="3:46" x14ac:dyDescent="0.25">
      <c r="C41" s="27"/>
      <c r="D41" s="27"/>
      <c r="E41" s="27"/>
      <c r="F41" s="27"/>
      <c r="G41" s="27"/>
    </row>
    <row r="42" spans="3:46" x14ac:dyDescent="0.25">
      <c r="C42" s="27"/>
      <c r="D42" s="27"/>
      <c r="E42" s="27"/>
      <c r="F42" s="27"/>
      <c r="G42" s="27"/>
    </row>
    <row r="43" spans="3:46" x14ac:dyDescent="0.25">
      <c r="C43" s="27"/>
      <c r="D43" s="27"/>
      <c r="E43" s="27"/>
      <c r="F43" s="27"/>
      <c r="G43" s="27"/>
    </row>
    <row r="44" spans="3:46" x14ac:dyDescent="0.25">
      <c r="C44" s="27"/>
      <c r="D44" s="27"/>
      <c r="E44" s="27"/>
      <c r="F44" s="27"/>
      <c r="G44" s="27"/>
      <c r="H44" s="52"/>
    </row>
    <row r="45" spans="3:46" x14ac:dyDescent="0.25">
      <c r="C45" s="27"/>
      <c r="D45" s="27"/>
      <c r="E45" s="27"/>
      <c r="F45" s="27"/>
      <c r="G45" s="27"/>
    </row>
    <row r="46" spans="3:46" x14ac:dyDescent="0.25">
      <c r="C46" s="27"/>
      <c r="D46" s="27"/>
      <c r="E46" s="27"/>
      <c r="F46" s="27"/>
      <c r="G46" s="27"/>
    </row>
    <row r="51" spans="3:7" x14ac:dyDescent="0.25">
      <c r="C51" s="27"/>
      <c r="D51" s="27"/>
      <c r="E51" s="27"/>
      <c r="F51" s="27"/>
      <c r="G51" s="27"/>
    </row>
    <row r="53" spans="3:7" x14ac:dyDescent="0.25">
      <c r="C53" s="27"/>
      <c r="D53" s="27"/>
      <c r="E53" s="27"/>
      <c r="F53" s="27"/>
      <c r="G53" s="27"/>
    </row>
    <row r="54" spans="3:7" x14ac:dyDescent="0.25">
      <c r="C54" s="27"/>
      <c r="D54" s="27"/>
      <c r="E54" s="27"/>
      <c r="F54" s="27"/>
      <c r="G54" s="27"/>
    </row>
    <row r="55" spans="3:7" x14ac:dyDescent="0.25">
      <c r="C55" s="27"/>
      <c r="D55" s="27"/>
      <c r="E55" s="27"/>
      <c r="F55" s="27"/>
      <c r="G55" s="27"/>
    </row>
    <row r="56" spans="3:7" x14ac:dyDescent="0.25">
      <c r="C56" s="27"/>
      <c r="D56" s="27"/>
      <c r="E56" s="27"/>
      <c r="F56" s="27"/>
      <c r="G56" s="27"/>
    </row>
    <row r="57" spans="3:7" x14ac:dyDescent="0.25">
      <c r="C57" s="27"/>
      <c r="D57" s="27"/>
      <c r="E57" s="27"/>
      <c r="F57" s="27"/>
      <c r="G57" s="27"/>
    </row>
    <row r="58" spans="3:7" x14ac:dyDescent="0.25">
      <c r="C58" s="27"/>
      <c r="D58" s="27"/>
      <c r="E58" s="27"/>
      <c r="F58" s="27"/>
      <c r="G58" s="27"/>
    </row>
    <row r="59" spans="3:7" x14ac:dyDescent="0.25">
      <c r="C59" s="27"/>
      <c r="D59" s="27"/>
      <c r="E59" s="27"/>
      <c r="F59" s="27"/>
      <c r="G59" s="27"/>
    </row>
    <row r="60" spans="3:7" x14ac:dyDescent="0.25">
      <c r="C60" s="27"/>
      <c r="D60" s="27"/>
      <c r="E60" s="27"/>
      <c r="F60" s="27"/>
      <c r="G60" s="27"/>
    </row>
    <row r="61" spans="3:7" x14ac:dyDescent="0.25">
      <c r="C61" s="27"/>
      <c r="D61" s="27"/>
      <c r="E61" s="27"/>
      <c r="F61" s="27"/>
      <c r="G61" s="27"/>
    </row>
    <row r="62" spans="3:7" x14ac:dyDescent="0.25">
      <c r="C62" s="27"/>
      <c r="D62" s="27"/>
      <c r="E62" s="27"/>
      <c r="F62" s="27"/>
      <c r="G62" s="27"/>
    </row>
    <row r="63" spans="3:7" x14ac:dyDescent="0.25">
      <c r="C63" s="27"/>
      <c r="D63" s="27"/>
      <c r="E63" s="27"/>
      <c r="F63" s="27"/>
      <c r="G63" s="27"/>
    </row>
    <row r="64" spans="3:7" x14ac:dyDescent="0.25">
      <c r="C64" s="27"/>
      <c r="D64" s="27"/>
      <c r="E64" s="27"/>
      <c r="F64" s="27"/>
      <c r="G64" s="27"/>
    </row>
    <row r="65" spans="3:7" x14ac:dyDescent="0.25">
      <c r="C65" s="27"/>
      <c r="D65" s="27"/>
      <c r="E65" s="27"/>
      <c r="F65" s="27"/>
      <c r="G65" s="27"/>
    </row>
    <row r="66" spans="3:7" x14ac:dyDescent="0.25">
      <c r="C66" s="27"/>
      <c r="D66" s="27"/>
      <c r="E66" s="27"/>
      <c r="F66" s="27"/>
      <c r="G66" s="27"/>
    </row>
    <row r="71" spans="3:7" x14ac:dyDescent="0.25">
      <c r="C71" s="27"/>
      <c r="D71" s="27"/>
      <c r="E71" s="27"/>
      <c r="F71" s="27"/>
      <c r="G71" s="27"/>
    </row>
    <row r="73" spans="3:7" x14ac:dyDescent="0.25">
      <c r="C73" s="27"/>
      <c r="D73" s="27"/>
      <c r="E73" s="27"/>
      <c r="F73" s="27"/>
      <c r="G73" s="27"/>
    </row>
    <row r="74" spans="3:7" x14ac:dyDescent="0.25">
      <c r="C74" s="27"/>
      <c r="D74" s="27"/>
      <c r="E74" s="27"/>
      <c r="F74" s="27"/>
      <c r="G74" s="27"/>
    </row>
    <row r="75" spans="3:7" x14ac:dyDescent="0.25">
      <c r="C75" s="27"/>
      <c r="D75" s="27"/>
      <c r="E75" s="27"/>
      <c r="F75" s="27"/>
      <c r="G75" s="27"/>
    </row>
    <row r="76" spans="3:7" x14ac:dyDescent="0.25">
      <c r="C76" s="27"/>
      <c r="D76" s="27"/>
      <c r="E76" s="27"/>
      <c r="F76" s="27"/>
      <c r="G76" s="27"/>
    </row>
    <row r="77" spans="3:7" x14ac:dyDescent="0.25">
      <c r="C77" s="27"/>
      <c r="D77" s="27"/>
      <c r="E77" s="27"/>
      <c r="F77" s="27"/>
      <c r="G77" s="27"/>
    </row>
    <row r="78" spans="3:7" x14ac:dyDescent="0.25">
      <c r="C78" s="27"/>
      <c r="D78" s="27"/>
      <c r="E78" s="27"/>
      <c r="F78" s="27"/>
      <c r="G78" s="27"/>
    </row>
    <row r="79" spans="3:7" x14ac:dyDescent="0.25">
      <c r="C79" s="27"/>
      <c r="D79" s="27"/>
      <c r="E79" s="27"/>
      <c r="F79" s="27"/>
      <c r="G79" s="27"/>
    </row>
    <row r="80" spans="3:7" x14ac:dyDescent="0.25">
      <c r="C80" s="27"/>
      <c r="D80" s="27"/>
      <c r="E80" s="27"/>
      <c r="F80" s="27"/>
      <c r="G80" s="27"/>
    </row>
    <row r="81" spans="3:7" x14ac:dyDescent="0.25">
      <c r="C81" s="27"/>
      <c r="D81" s="27"/>
      <c r="E81" s="27"/>
      <c r="F81" s="27"/>
      <c r="G81" s="27"/>
    </row>
    <row r="82" spans="3:7" x14ac:dyDescent="0.25">
      <c r="C82" s="27"/>
      <c r="D82" s="27"/>
      <c r="E82" s="27"/>
      <c r="F82" s="27"/>
      <c r="G82" s="27"/>
    </row>
    <row r="83" spans="3:7" x14ac:dyDescent="0.25">
      <c r="C83" s="27"/>
      <c r="D83" s="27"/>
      <c r="E83" s="27"/>
      <c r="F83" s="27"/>
      <c r="G83" s="27"/>
    </row>
    <row r="84" spans="3:7" x14ac:dyDescent="0.25">
      <c r="C84" s="27"/>
      <c r="D84" s="27"/>
      <c r="E84" s="27"/>
      <c r="F84" s="27"/>
      <c r="G84" s="27"/>
    </row>
    <row r="85" spans="3:7" x14ac:dyDescent="0.25">
      <c r="C85" s="27"/>
      <c r="D85" s="27"/>
      <c r="E85" s="27"/>
      <c r="F85" s="27"/>
      <c r="G85" s="27"/>
    </row>
    <row r="86" spans="3:7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8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R15" sqref="R15:R19"/>
    </sheetView>
  </sheetViews>
  <sheetFormatPr defaultColWidth="9" defaultRowHeight="15" x14ac:dyDescent="0.25"/>
  <cols>
    <col min="1" max="1" width="39" style="20" customWidth="1"/>
    <col min="2" max="2" width="10.375" style="25" customWidth="1"/>
    <col min="3" max="3" width="12.875" style="20" customWidth="1"/>
    <col min="4" max="7" width="9" style="20"/>
    <col min="8" max="8" width="11.375" style="20" customWidth="1"/>
    <col min="9" max="9" width="12.625" style="20" customWidth="1"/>
    <col min="10" max="10" width="38.125" style="20" customWidth="1"/>
    <col min="11" max="11" width="12.625" style="20" customWidth="1"/>
    <col min="12" max="12" width="13.625" style="20" customWidth="1"/>
    <col min="13" max="52" width="12.625" style="20" customWidth="1"/>
    <col min="53" max="16384" width="9" style="20"/>
  </cols>
  <sheetData>
    <row r="1" spans="1:24" x14ac:dyDescent="0.25">
      <c r="Q1" s="37"/>
    </row>
    <row r="3" spans="1:24" x14ac:dyDescent="0.25">
      <c r="K3" s="27">
        <f t="shared" ref="K3:W3" si="0">K11/15</f>
        <v>1966.1333333333334</v>
      </c>
      <c r="L3" s="27">
        <f t="shared" si="0"/>
        <v>2008.2333333333333</v>
      </c>
      <c r="M3" s="27">
        <f t="shared" si="0"/>
        <v>2018.6160758146939</v>
      </c>
      <c r="N3" s="27">
        <f t="shared" si="0"/>
        <v>2028.9578372736082</v>
      </c>
      <c r="O3" s="27">
        <f t="shared" si="0"/>
        <v>2039.4493748676907</v>
      </c>
      <c r="P3" s="27">
        <f t="shared" si="0"/>
        <v>2049.8959084099638</v>
      </c>
      <c r="Q3" s="27">
        <f t="shared" si="0"/>
        <v>2060.4398219280911</v>
      </c>
      <c r="R3" s="27">
        <f t="shared" si="0"/>
        <v>2071.2163247775043</v>
      </c>
      <c r="S3" s="27">
        <f t="shared" si="0"/>
        <v>2082.2483200213096</v>
      </c>
      <c r="T3" s="27">
        <f t="shared" si="0"/>
        <v>2093.5750632667409</v>
      </c>
      <c r="U3" s="27">
        <f t="shared" si="0"/>
        <v>2105.2103752505</v>
      </c>
      <c r="V3" s="27">
        <f t="shared" si="0"/>
        <v>2117.1763792992865</v>
      </c>
      <c r="W3" s="27">
        <f t="shared" si="0"/>
        <v>0</v>
      </c>
    </row>
    <row r="4" spans="1:24" x14ac:dyDescent="0.25">
      <c r="M4" s="24"/>
      <c r="X4" s="34"/>
    </row>
    <row r="5" spans="1:24" x14ac:dyDescent="0.25">
      <c r="H5" s="27"/>
      <c r="L5" s="22">
        <f>L11/L10</f>
        <v>0.99130210436355892</v>
      </c>
    </row>
    <row r="6" spans="1:24" x14ac:dyDescent="0.25">
      <c r="B6" s="25" t="s">
        <v>73</v>
      </c>
      <c r="K6" s="75" t="s">
        <v>73</v>
      </c>
      <c r="L6" s="75" t="s">
        <v>73</v>
      </c>
      <c r="M6" s="75" t="s">
        <v>73</v>
      </c>
      <c r="N6" s="75" t="s">
        <v>73</v>
      </c>
      <c r="O6" s="75" t="s">
        <v>73</v>
      </c>
      <c r="P6" s="75" t="s">
        <v>73</v>
      </c>
      <c r="Q6" s="75" t="s">
        <v>73</v>
      </c>
      <c r="R6" s="75" t="s">
        <v>73</v>
      </c>
      <c r="S6" s="75" t="s">
        <v>73</v>
      </c>
      <c r="T6" s="75" t="s">
        <v>73</v>
      </c>
      <c r="U6" s="75" t="s">
        <v>73</v>
      </c>
      <c r="V6" s="75" t="s">
        <v>73</v>
      </c>
      <c r="W6" s="23"/>
      <c r="X6" s="23"/>
    </row>
    <row r="7" spans="1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5" t="s">
        <v>76</v>
      </c>
      <c r="M7" s="76" t="s">
        <v>77</v>
      </c>
      <c r="N7" s="76" t="s">
        <v>78</v>
      </c>
      <c r="O7" s="76" t="s">
        <v>79</v>
      </c>
      <c r="P7" s="76" t="s">
        <v>80</v>
      </c>
      <c r="Q7" s="76" t="s">
        <v>81</v>
      </c>
      <c r="R7" s="76" t="s">
        <v>82</v>
      </c>
      <c r="S7" s="76" t="s">
        <v>83</v>
      </c>
      <c r="T7" s="76" t="s">
        <v>84</v>
      </c>
      <c r="U7" s="76" t="s">
        <v>85</v>
      </c>
      <c r="V7" s="76" t="s">
        <v>86</v>
      </c>
      <c r="W7" s="48"/>
      <c r="X7" s="23"/>
    </row>
    <row r="8" spans="1:24" x14ac:dyDescent="0.25">
      <c r="A8" s="20" t="s">
        <v>201</v>
      </c>
      <c r="B8" s="25">
        <f t="shared" ref="B8:B35" si="1">(AD8/K8)^(1/19)*100-100</f>
        <v>-100</v>
      </c>
      <c r="C8" s="40"/>
      <c r="D8" s="27"/>
      <c r="E8" s="27"/>
      <c r="F8" s="27"/>
      <c r="G8" s="27"/>
      <c r="H8" s="27"/>
      <c r="J8" s="77" t="s">
        <v>88</v>
      </c>
      <c r="K8" s="27">
        <v>4474.1000000000004</v>
      </c>
      <c r="L8" s="27">
        <v>4493.3330000000005</v>
      </c>
      <c r="M8" s="27">
        <v>4490.2708137827231</v>
      </c>
      <c r="N8" s="27">
        <v>4487.0039675147555</v>
      </c>
      <c r="O8" s="27">
        <v>4483.7527037065884</v>
      </c>
      <c r="P8" s="27">
        <v>4480.1736061541151</v>
      </c>
      <c r="Q8" s="27">
        <v>4476.5214386370499</v>
      </c>
      <c r="R8" s="27">
        <v>4473.0538498667238</v>
      </c>
      <c r="S8" s="27">
        <v>4469.761418204087</v>
      </c>
      <c r="T8" s="27">
        <v>4466.6352119646717</v>
      </c>
      <c r="U8" s="27">
        <v>4463.6667630687698</v>
      </c>
      <c r="V8" s="27">
        <v>4460.8480421913955</v>
      </c>
      <c r="W8" s="27"/>
      <c r="X8" s="24"/>
    </row>
    <row r="9" spans="1:24" x14ac:dyDescent="0.25">
      <c r="A9" s="20" t="s">
        <v>202</v>
      </c>
      <c r="B9" s="25">
        <f t="shared" si="1"/>
        <v>-100</v>
      </c>
      <c r="C9" s="40"/>
      <c r="D9" s="27"/>
      <c r="E9" s="27"/>
      <c r="F9" s="27"/>
      <c r="G9" s="27"/>
      <c r="H9" s="27"/>
      <c r="J9" s="77" t="s">
        <v>90</v>
      </c>
      <c r="K9" s="27">
        <v>6591.7167698531548</v>
      </c>
      <c r="L9" s="27">
        <v>6704.043524038836</v>
      </c>
      <c r="M9" s="27">
        <v>6743.2995453814019</v>
      </c>
      <c r="N9" s="27">
        <v>6782.7815128857574</v>
      </c>
      <c r="O9" s="27">
        <v>6822.7983665838774</v>
      </c>
      <c r="P9" s="27">
        <v>6863.224805376376</v>
      </c>
      <c r="Q9" s="27">
        <v>6904.1548784208253</v>
      </c>
      <c r="R9" s="27">
        <v>6945.6451709357925</v>
      </c>
      <c r="S9" s="27">
        <v>6987.7834358481468</v>
      </c>
      <c r="T9" s="27">
        <v>7030.7120368551587</v>
      </c>
      <c r="U9" s="27">
        <v>7074.4877037029373</v>
      </c>
      <c r="V9" s="27">
        <v>7119.1946887947179</v>
      </c>
      <c r="W9" s="27"/>
      <c r="X9" s="24"/>
    </row>
    <row r="10" spans="1:24" x14ac:dyDescent="0.25">
      <c r="A10" s="20" t="s">
        <v>203</v>
      </c>
      <c r="B10" s="25">
        <f t="shared" si="1"/>
        <v>-100</v>
      </c>
      <c r="C10" s="40"/>
      <c r="D10" s="27"/>
      <c r="E10" s="27"/>
      <c r="F10" s="27"/>
      <c r="G10" s="27"/>
      <c r="H10" s="27"/>
      <c r="J10" s="77" t="s">
        <v>92</v>
      </c>
      <c r="K10" s="27">
        <v>30855</v>
      </c>
      <c r="L10" s="27">
        <v>30387.81</v>
      </c>
      <c r="M10" s="27">
        <v>30545.286291972003</v>
      </c>
      <c r="N10" s="27">
        <v>30933.839408659958</v>
      </c>
      <c r="O10" s="27">
        <v>31114.972090102423</v>
      </c>
      <c r="P10" s="27">
        <v>31261.371594637272</v>
      </c>
      <c r="Q10" s="27">
        <v>31392.521946328303</v>
      </c>
      <c r="R10" s="27">
        <v>31513.954988297159</v>
      </c>
      <c r="S10" s="27">
        <v>31631.801636112083</v>
      </c>
      <c r="T10" s="27">
        <v>31747.262761500133</v>
      </c>
      <c r="U10" s="27">
        <v>31860.016061736089</v>
      </c>
      <c r="V10" s="27">
        <v>31970.251688031145</v>
      </c>
      <c r="W10" s="27"/>
      <c r="X10" s="24"/>
    </row>
    <row r="11" spans="1:24" x14ac:dyDescent="0.25">
      <c r="A11" s="20" t="s">
        <v>204</v>
      </c>
      <c r="B11" s="25">
        <f t="shared" si="1"/>
        <v>-100</v>
      </c>
      <c r="C11" s="40"/>
      <c r="D11" s="27"/>
      <c r="E11" s="27"/>
      <c r="F11" s="27"/>
      <c r="G11" s="27"/>
      <c r="H11" s="27"/>
      <c r="J11" s="77" t="s">
        <v>94</v>
      </c>
      <c r="K11" s="27">
        <v>29492</v>
      </c>
      <c r="L11" s="27">
        <v>30123.5</v>
      </c>
      <c r="M11" s="27">
        <v>30279.241137220408</v>
      </c>
      <c r="N11" s="27">
        <v>30434.367559104125</v>
      </c>
      <c r="O11" s="27">
        <v>30591.740623015361</v>
      </c>
      <c r="P11" s="27">
        <v>30748.438626149455</v>
      </c>
      <c r="Q11" s="27">
        <v>30906.597328921369</v>
      </c>
      <c r="R11" s="27">
        <v>31068.244871662566</v>
      </c>
      <c r="S11" s="27">
        <v>31233.724800319644</v>
      </c>
      <c r="T11" s="27">
        <v>31403.625949001114</v>
      </c>
      <c r="U11" s="27">
        <v>31578.1556287575</v>
      </c>
      <c r="V11" s="27">
        <v>31757.645689489298</v>
      </c>
      <c r="W11" s="27"/>
      <c r="X11" s="24"/>
    </row>
    <row r="12" spans="1:24" ht="14.1" customHeight="1" x14ac:dyDescent="0.25">
      <c r="A12" s="20" t="s">
        <v>205</v>
      </c>
      <c r="B12" s="25">
        <f t="shared" si="1"/>
        <v>-100</v>
      </c>
      <c r="C12" s="40"/>
      <c r="D12" s="27"/>
      <c r="E12" s="27"/>
      <c r="F12" s="27"/>
      <c r="G12" s="27"/>
      <c r="H12" s="27"/>
      <c r="J12" s="77" t="s">
        <v>96</v>
      </c>
      <c r="K12" s="27">
        <v>1363</v>
      </c>
      <c r="L12" s="27">
        <v>264.31</v>
      </c>
      <c r="M12" s="27">
        <v>266.04515475159644</v>
      </c>
      <c r="N12" s="27">
        <v>499.47184955583526</v>
      </c>
      <c r="O12" s="27">
        <v>523.23146708706361</v>
      </c>
      <c r="P12" s="27">
        <v>512.93296848781722</v>
      </c>
      <c r="Q12" s="27">
        <v>485.92461740693523</v>
      </c>
      <c r="R12" s="27">
        <v>445.71011663459262</v>
      </c>
      <c r="S12" s="27">
        <v>398.07683579243826</v>
      </c>
      <c r="T12" s="27">
        <v>343.63681249901947</v>
      </c>
      <c r="U12" s="27">
        <v>281.86043297858981</v>
      </c>
      <c r="V12" s="27">
        <v>212.60599854184647</v>
      </c>
      <c r="W12" s="27"/>
      <c r="X12" s="24"/>
    </row>
    <row r="13" spans="1:24" x14ac:dyDescent="0.25">
      <c r="A13" s="20" t="s">
        <v>206</v>
      </c>
      <c r="B13" s="25">
        <f t="shared" si="1"/>
        <v>-100</v>
      </c>
      <c r="C13" s="40"/>
      <c r="D13" s="27"/>
      <c r="E13" s="27"/>
      <c r="F13" s="27"/>
      <c r="G13" s="27"/>
      <c r="H13" s="27"/>
      <c r="J13" s="77" t="s">
        <v>98</v>
      </c>
      <c r="K13" s="27">
        <v>30855</v>
      </c>
      <c r="L13" s="27">
        <v>30387.81</v>
      </c>
      <c r="M13" s="27">
        <v>30545.286291972003</v>
      </c>
      <c r="N13" s="27">
        <v>30933.839408659958</v>
      </c>
      <c r="O13" s="27">
        <v>31114.972090102423</v>
      </c>
      <c r="P13" s="27">
        <v>31261.371594637272</v>
      </c>
      <c r="Q13" s="27">
        <v>31392.521946328303</v>
      </c>
      <c r="R13" s="27">
        <v>31513.954988297159</v>
      </c>
      <c r="S13" s="27">
        <v>31631.801636112083</v>
      </c>
      <c r="T13" s="27">
        <v>31747.262761500133</v>
      </c>
      <c r="U13" s="27">
        <v>31860.016061736089</v>
      </c>
      <c r="V13" s="27">
        <v>31970.251688031145</v>
      </c>
      <c r="W13" s="27"/>
      <c r="X13" s="24"/>
    </row>
    <row r="14" spans="1:24" x14ac:dyDescent="0.25">
      <c r="A14" s="20" t="s">
        <v>207</v>
      </c>
      <c r="B14" s="25">
        <f t="shared" si="1"/>
        <v>-100</v>
      </c>
      <c r="C14" s="40"/>
      <c r="D14" s="27"/>
      <c r="E14" s="27"/>
      <c r="F14" s="27"/>
      <c r="G14" s="27"/>
      <c r="H14" s="27"/>
      <c r="J14" s="77" t="s">
        <v>100</v>
      </c>
      <c r="K14" s="27">
        <v>13.420626579941489</v>
      </c>
      <c r="L14" s="27">
        <v>13.666550406081615</v>
      </c>
      <c r="M14" s="27">
        <v>13.621323818899123</v>
      </c>
      <c r="N14" s="27">
        <v>13.582632198779597</v>
      </c>
      <c r="O14" s="27">
        <v>13.549074096177417</v>
      </c>
      <c r="P14" s="27">
        <v>13.520840030611815</v>
      </c>
      <c r="Q14" s="27">
        <v>13.497113353211962</v>
      </c>
      <c r="R14" s="27">
        <v>13.476675824742035</v>
      </c>
      <c r="S14" s="27">
        <v>13.45943730279641</v>
      </c>
      <c r="T14" s="27">
        <v>13.444891014399989</v>
      </c>
      <c r="U14" s="27">
        <v>13.432753061002581</v>
      </c>
      <c r="V14" s="27">
        <v>13.422730285048077</v>
      </c>
      <c r="W14" s="27"/>
      <c r="X14" s="24"/>
    </row>
    <row r="15" spans="1:24" x14ac:dyDescent="0.25">
      <c r="A15" s="20" t="s">
        <v>208</v>
      </c>
      <c r="B15" s="25">
        <f t="shared" si="1"/>
        <v>-100</v>
      </c>
      <c r="C15" s="40"/>
      <c r="D15" s="27"/>
      <c r="E15" s="27"/>
      <c r="F15" s="27"/>
      <c r="G15" s="27"/>
      <c r="H15" s="27"/>
      <c r="I15" s="20" t="s">
        <v>209</v>
      </c>
      <c r="J15" s="77" t="s">
        <v>102</v>
      </c>
      <c r="K15" s="27">
        <v>127</v>
      </c>
      <c r="L15" s="27">
        <v>124.5</v>
      </c>
      <c r="M15" s="27">
        <v>124.41515381031162</v>
      </c>
      <c r="N15" s="27">
        <v>124.32463695781884</v>
      </c>
      <c r="O15" s="27">
        <v>124.23455185971531</v>
      </c>
      <c r="P15" s="27">
        <v>124.13538323693955</v>
      </c>
      <c r="Q15" s="27">
        <v>124.03419001224974</v>
      </c>
      <c r="R15" s="27">
        <v>123.93811104327388</v>
      </c>
      <c r="S15" s="27">
        <v>123.84688527790145</v>
      </c>
      <c r="T15" s="27">
        <v>123.76026523954523</v>
      </c>
      <c r="U15" s="27">
        <v>123.67801629704758</v>
      </c>
      <c r="V15" s="27">
        <v>123.59991597614258</v>
      </c>
      <c r="W15" s="27"/>
      <c r="X15" s="24"/>
    </row>
    <row r="16" spans="1:24" x14ac:dyDescent="0.25">
      <c r="A16" s="20" t="s">
        <v>210</v>
      </c>
      <c r="B16" s="25">
        <f t="shared" si="1"/>
        <v>-100</v>
      </c>
      <c r="C16" s="40"/>
      <c r="D16" s="27"/>
      <c r="E16" s="27"/>
      <c r="F16" s="27"/>
      <c r="G16" s="27"/>
      <c r="H16" s="27"/>
      <c r="J16" s="77" t="s">
        <v>104</v>
      </c>
      <c r="K16" s="27">
        <v>17200</v>
      </c>
      <c r="L16" s="27">
        <v>19500</v>
      </c>
      <c r="M16" s="27">
        <v>19543.818699527739</v>
      </c>
      <c r="N16" s="27">
        <v>19550.303850364759</v>
      </c>
      <c r="O16" s="27">
        <v>19582.433612972443</v>
      </c>
      <c r="P16" s="27">
        <v>19626.189024526968</v>
      </c>
      <c r="Q16" s="27">
        <v>19670.180178685659</v>
      </c>
      <c r="R16" s="27">
        <v>19715.094147360978</v>
      </c>
      <c r="S16" s="27">
        <v>19761.888613914896</v>
      </c>
      <c r="T16" s="27">
        <v>19810.468607501392</v>
      </c>
      <c r="U16" s="27">
        <v>19860.797688518775</v>
      </c>
      <c r="V16" s="27">
        <v>19912.823330494575</v>
      </c>
      <c r="W16" s="27"/>
      <c r="X16" s="24"/>
    </row>
    <row r="17" spans="1:25" x14ac:dyDescent="0.25">
      <c r="A17" s="20" t="s">
        <v>211</v>
      </c>
      <c r="B17" s="25">
        <f t="shared" si="1"/>
        <v>-100</v>
      </c>
      <c r="C17" s="40"/>
      <c r="D17" s="27"/>
      <c r="E17" s="27"/>
      <c r="F17" s="27"/>
      <c r="G17" s="27"/>
      <c r="H17" s="27"/>
      <c r="J17" s="77" t="s">
        <v>106</v>
      </c>
      <c r="K17" s="27">
        <v>7750</v>
      </c>
      <c r="L17" s="27">
        <v>7900</v>
      </c>
      <c r="M17" s="27">
        <v>7988.9641917752861</v>
      </c>
      <c r="N17" s="27">
        <v>8077.3943572925864</v>
      </c>
      <c r="O17" s="27">
        <v>8161.254785190079</v>
      </c>
      <c r="P17" s="27">
        <v>8241.2525714300937</v>
      </c>
      <c r="Q17" s="27">
        <v>8319.5743167268738</v>
      </c>
      <c r="R17" s="27">
        <v>8392.9707170546499</v>
      </c>
      <c r="S17" s="27">
        <v>8462.5106290093827</v>
      </c>
      <c r="T17" s="27">
        <v>8529.1702996141958</v>
      </c>
      <c r="U17" s="27">
        <v>8592.0455466194362</v>
      </c>
      <c r="V17" s="27">
        <v>8651.0312155635293</v>
      </c>
      <c r="W17" s="27"/>
      <c r="X17" s="24"/>
    </row>
    <row r="18" spans="1:25" x14ac:dyDescent="0.25">
      <c r="A18" s="20" t="s">
        <v>212</v>
      </c>
      <c r="B18" s="25">
        <f t="shared" si="1"/>
        <v>-100</v>
      </c>
      <c r="C18" s="40"/>
      <c r="D18" s="27"/>
      <c r="E18" s="27"/>
      <c r="F18" s="27"/>
      <c r="G18" s="27"/>
      <c r="H18" s="27"/>
      <c r="J18" s="77" t="s">
        <v>108</v>
      </c>
      <c r="K18" s="27">
        <v>1474.6</v>
      </c>
      <c r="L18" s="27">
        <v>1506.175</v>
      </c>
      <c r="M18" s="27">
        <v>1513.9620568610203</v>
      </c>
      <c r="N18" s="27">
        <v>1521.7183779552061</v>
      </c>
      <c r="O18" s="27">
        <v>1529.5870311507679</v>
      </c>
      <c r="P18" s="27">
        <v>1537.4219313074725</v>
      </c>
      <c r="Q18" s="27">
        <v>1545.3298664460649</v>
      </c>
      <c r="R18" s="27">
        <v>1553.4122435831282</v>
      </c>
      <c r="S18" s="27">
        <v>1561.6862400159821</v>
      </c>
      <c r="T18" s="27">
        <v>1570.1812974500556</v>
      </c>
      <c r="U18" s="27">
        <v>1578.907781437875</v>
      </c>
      <c r="V18" s="27">
        <v>1587.8822844744648</v>
      </c>
      <c r="W18" s="27"/>
      <c r="X18" s="24"/>
    </row>
    <row r="19" spans="1:25" x14ac:dyDescent="0.25">
      <c r="A19" s="20" t="s">
        <v>213</v>
      </c>
      <c r="B19" s="25">
        <f t="shared" si="1"/>
        <v>-100</v>
      </c>
      <c r="C19" s="40"/>
      <c r="D19" s="27"/>
      <c r="E19" s="27"/>
      <c r="F19" s="27"/>
      <c r="G19" s="27"/>
      <c r="H19" s="27"/>
      <c r="J19" s="77" t="s">
        <v>110</v>
      </c>
      <c r="K19" s="27">
        <v>2413.4</v>
      </c>
      <c r="L19" s="27">
        <v>-562.86499999999899</v>
      </c>
      <c r="M19" s="27">
        <v>-537.48630834950973</v>
      </c>
      <c r="N19" s="27">
        <v>-243.10797970376314</v>
      </c>
      <c r="O19" s="27">
        <v>-177.16467335583269</v>
      </c>
      <c r="P19" s="27">
        <v>-153.58723107850133</v>
      </c>
      <c r="Q19" s="27">
        <v>-143.76379313204009</v>
      </c>
      <c r="R19" s="27">
        <v>-139.54797847060667</v>
      </c>
      <c r="S19" s="27">
        <v>-137.88000197447309</v>
      </c>
      <c r="T19" s="27">
        <v>-137.43867188768544</v>
      </c>
      <c r="U19" s="27">
        <v>-137.60866604931354</v>
      </c>
      <c r="V19" s="27">
        <v>-138.09350888563452</v>
      </c>
      <c r="W19" s="27"/>
      <c r="X19" s="24"/>
    </row>
    <row r="20" spans="1:25" x14ac:dyDescent="0.25">
      <c r="A20" s="20" t="s">
        <v>214</v>
      </c>
      <c r="B20" s="25">
        <f t="shared" si="1"/>
        <v>-100</v>
      </c>
      <c r="C20" s="40"/>
      <c r="D20" s="27"/>
      <c r="E20" s="27"/>
      <c r="F20" s="27"/>
      <c r="G20" s="27"/>
      <c r="H20" s="27"/>
      <c r="J20" s="77" t="s">
        <v>112</v>
      </c>
      <c r="K20" s="27">
        <v>28441.599999999999</v>
      </c>
      <c r="L20" s="27">
        <v>30950.674999999999</v>
      </c>
      <c r="M20" s="27">
        <v>31082.772600321514</v>
      </c>
      <c r="N20" s="27">
        <v>31176.947388363722</v>
      </c>
      <c r="O20" s="27">
        <v>31292.136763458257</v>
      </c>
      <c r="P20" s="27">
        <v>31414.958825715774</v>
      </c>
      <c r="Q20" s="27">
        <v>31536.285739460342</v>
      </c>
      <c r="R20" s="27">
        <v>31653.502966767766</v>
      </c>
      <c r="S20" s="27">
        <v>31769.681638086557</v>
      </c>
      <c r="T20" s="27">
        <v>31884.701433387818</v>
      </c>
      <c r="U20" s="27">
        <v>31997.624727785402</v>
      </c>
      <c r="V20" s="27">
        <v>32108.34519691678</v>
      </c>
      <c r="W20" s="27"/>
      <c r="X20" s="24"/>
    </row>
    <row r="21" spans="1:25" x14ac:dyDescent="0.25">
      <c r="A21" s="20" t="s">
        <v>215</v>
      </c>
      <c r="B21" s="25">
        <f t="shared" si="1"/>
        <v>-100</v>
      </c>
      <c r="C21" s="40"/>
      <c r="D21" s="27"/>
      <c r="E21" s="27"/>
      <c r="F21" s="27"/>
      <c r="G21" s="27"/>
      <c r="H21" s="27"/>
      <c r="J21" s="77" t="s">
        <v>114</v>
      </c>
      <c r="K21" s="27">
        <v>94.209156892687446</v>
      </c>
      <c r="L21" s="27">
        <v>95.93547542055056</v>
      </c>
      <c r="M21" s="27">
        <v>95.617997050802586</v>
      </c>
      <c r="N21" s="27">
        <v>95.346392376567749</v>
      </c>
      <c r="O21" s="27">
        <v>95.110823602320266</v>
      </c>
      <c r="P21" s="27">
        <v>94.912628123387577</v>
      </c>
      <c r="Q21" s="27">
        <v>94.74607328629483</v>
      </c>
      <c r="R21" s="27">
        <v>94.602607382176771</v>
      </c>
      <c r="S21" s="27">
        <v>94.481597635806153</v>
      </c>
      <c r="T21" s="27">
        <v>94.379486638411095</v>
      </c>
      <c r="U21" s="27">
        <v>94.294281499205312</v>
      </c>
      <c r="V21" s="27">
        <v>94.22392433169351</v>
      </c>
      <c r="W21" s="27"/>
      <c r="X21" s="24"/>
    </row>
    <row r="22" spans="1:25" x14ac:dyDescent="0.25">
      <c r="A22" s="20" t="s">
        <v>216</v>
      </c>
      <c r="B22" s="25">
        <f t="shared" si="1"/>
        <v>-100</v>
      </c>
      <c r="C22" s="40"/>
      <c r="D22" s="27"/>
      <c r="E22" s="27"/>
      <c r="F22" s="27"/>
      <c r="G22" s="27"/>
      <c r="H22" s="27"/>
      <c r="J22" s="77" t="s">
        <v>116</v>
      </c>
      <c r="K22" s="27">
        <v>1890</v>
      </c>
      <c r="L22" s="27">
        <v>1920</v>
      </c>
      <c r="M22" s="27">
        <v>1911.6124983471575</v>
      </c>
      <c r="N22" s="27">
        <v>1903.2061657933505</v>
      </c>
      <c r="O22" s="27">
        <v>1894.6267822852528</v>
      </c>
      <c r="P22" s="27">
        <v>1885.9599152143016</v>
      </c>
      <c r="Q22" s="27">
        <v>1877.1671875895029</v>
      </c>
      <c r="R22" s="27">
        <v>1868.0877477257386</v>
      </c>
      <c r="S22" s="27">
        <v>1859.7492698683932</v>
      </c>
      <c r="T22" s="27">
        <v>1851.1209635826306</v>
      </c>
      <c r="U22" s="27">
        <v>1842.1956949122609</v>
      </c>
      <c r="V22" s="27">
        <v>1833.0084504080744</v>
      </c>
      <c r="W22" s="27"/>
      <c r="X22" s="24"/>
    </row>
    <row r="23" spans="1:25" x14ac:dyDescent="0.25">
      <c r="A23" s="20" t="s">
        <v>217</v>
      </c>
      <c r="B23" s="25">
        <f t="shared" si="1"/>
        <v>-100</v>
      </c>
      <c r="C23" s="40"/>
      <c r="D23" s="27"/>
      <c r="E23" s="27"/>
      <c r="F23" s="27"/>
      <c r="G23" s="27"/>
      <c r="J23" s="77" t="s">
        <v>118</v>
      </c>
      <c r="K23" s="27">
        <v>5539.3518773272781</v>
      </c>
      <c r="L23" s="27">
        <v>5334.4970126273938</v>
      </c>
      <c r="M23" s="27">
        <v>5312.116445922682</v>
      </c>
      <c r="N23" s="27">
        <v>5333.3654950875525</v>
      </c>
      <c r="O23" s="27">
        <v>5314.6676771690536</v>
      </c>
      <c r="P23" s="27">
        <v>5289.2843093895299</v>
      </c>
      <c r="Q23" s="27">
        <v>5260.918216259849</v>
      </c>
      <c r="R23" s="27">
        <v>5230.6248300637008</v>
      </c>
      <c r="S23" s="27">
        <v>5199.5047300669194</v>
      </c>
      <c r="T23" s="27">
        <v>5167.6989598934188</v>
      </c>
      <c r="U23" s="27">
        <v>5135.1384988627897</v>
      </c>
      <c r="V23" s="27">
        <v>5101.8280426948832</v>
      </c>
      <c r="W23" s="27"/>
      <c r="X23" s="24"/>
    </row>
    <row r="24" spans="1:25" x14ac:dyDescent="0.25">
      <c r="A24" s="20" t="s">
        <v>218</v>
      </c>
      <c r="B24" s="25" t="e">
        <f t="shared" si="1"/>
        <v>#DIV/0!</v>
      </c>
      <c r="C24" s="40"/>
      <c r="D24" s="27"/>
      <c r="E24" s="27"/>
      <c r="F24" s="27"/>
      <c r="G24" s="27"/>
    </row>
    <row r="25" spans="1:25" x14ac:dyDescent="0.25">
      <c r="C25" s="40"/>
      <c r="D25" s="27"/>
      <c r="E25" s="27"/>
      <c r="F25" s="27"/>
      <c r="G25" s="27"/>
    </row>
    <row r="26" spans="1:25" x14ac:dyDescent="0.25">
      <c r="C26" s="40"/>
      <c r="D26" s="27"/>
      <c r="E26" s="27"/>
      <c r="F26" s="27"/>
      <c r="G26" s="27"/>
    </row>
    <row r="27" spans="1:25" x14ac:dyDescent="0.25">
      <c r="C27" s="40"/>
      <c r="D27" s="27"/>
      <c r="E27" s="27"/>
      <c r="F27" s="27"/>
      <c r="G27" s="27"/>
      <c r="H27" s="27"/>
    </row>
    <row r="28" spans="1:25" x14ac:dyDescent="0.25">
      <c r="C28" s="40"/>
      <c r="D28" s="27"/>
      <c r="E28" s="27"/>
      <c r="F28" s="27"/>
      <c r="G28" s="27"/>
      <c r="Y28" s="27"/>
    </row>
    <row r="29" spans="1:25" x14ac:dyDescent="0.25">
      <c r="A29" s="20" t="s">
        <v>219</v>
      </c>
      <c r="B29" s="25" t="e">
        <f t="shared" si="1"/>
        <v>#DIV/0!</v>
      </c>
      <c r="C29" s="40"/>
      <c r="D29" s="27"/>
      <c r="E29" s="27"/>
      <c r="F29" s="27"/>
      <c r="G29" s="27"/>
      <c r="H29" s="27"/>
      <c r="Y29" s="27"/>
    </row>
    <row r="30" spans="1:25" x14ac:dyDescent="0.25">
      <c r="A30" s="20" t="s">
        <v>220</v>
      </c>
      <c r="B30" s="25" t="e">
        <f t="shared" si="1"/>
        <v>#DIV/0!</v>
      </c>
      <c r="C30" s="40"/>
      <c r="D30" s="27"/>
      <c r="E30" s="27"/>
      <c r="F30" s="27"/>
      <c r="G30" s="27"/>
      <c r="H30" s="27"/>
      <c r="Y30" s="27"/>
    </row>
    <row r="31" spans="1:25" x14ac:dyDescent="0.25">
      <c r="A31" s="20" t="s">
        <v>221</v>
      </c>
      <c r="B31" s="25" t="e">
        <f t="shared" si="1"/>
        <v>#DIV/0!</v>
      </c>
      <c r="C31" s="40"/>
      <c r="D31" s="27"/>
      <c r="E31" s="27"/>
      <c r="F31" s="27"/>
      <c r="G31" s="27"/>
      <c r="H31" s="27"/>
    </row>
    <row r="32" spans="1:25" x14ac:dyDescent="0.25">
      <c r="A32" s="20" t="s">
        <v>222</v>
      </c>
      <c r="B32" s="25" t="e">
        <f t="shared" si="1"/>
        <v>#DIV/0!</v>
      </c>
      <c r="C32" s="40"/>
      <c r="D32" s="27"/>
      <c r="E32" s="27"/>
      <c r="F32" s="27"/>
      <c r="G32" s="27"/>
      <c r="H32" s="27"/>
    </row>
    <row r="33" spans="1:8" x14ac:dyDescent="0.25">
      <c r="A33" s="20" t="s">
        <v>223</v>
      </c>
      <c r="B33" s="25" t="e">
        <f t="shared" si="1"/>
        <v>#DIV/0!</v>
      </c>
      <c r="C33" s="40"/>
      <c r="D33" s="27"/>
      <c r="E33" s="27"/>
      <c r="F33" s="27"/>
      <c r="G33" s="27"/>
      <c r="H33" s="27"/>
    </row>
    <row r="34" spans="1:8" x14ac:dyDescent="0.25">
      <c r="A34" s="20" t="s">
        <v>224</v>
      </c>
      <c r="B34" s="25" t="e">
        <f t="shared" si="1"/>
        <v>#DIV/0!</v>
      </c>
      <c r="C34" s="40"/>
      <c r="D34" s="27"/>
      <c r="E34" s="27"/>
      <c r="F34" s="27"/>
      <c r="G34" s="27"/>
      <c r="H34" s="27"/>
    </row>
    <row r="35" spans="1:8" x14ac:dyDescent="0.25">
      <c r="B35" s="25" t="e">
        <f t="shared" si="1"/>
        <v>#DIV/0!</v>
      </c>
      <c r="C35" s="40"/>
      <c r="D35" s="27"/>
      <c r="E35" s="27"/>
      <c r="F35" s="27"/>
      <c r="G35" s="27"/>
      <c r="H35" s="27"/>
    </row>
    <row r="36" spans="1:8" x14ac:dyDescent="0.25">
      <c r="C36" s="27"/>
      <c r="D36" s="27"/>
      <c r="E36" s="27"/>
      <c r="F36" s="27"/>
      <c r="G36" s="27"/>
      <c r="H36" s="27"/>
    </row>
    <row r="37" spans="1:8" x14ac:dyDescent="0.25">
      <c r="C37" s="27"/>
      <c r="D37" s="27"/>
      <c r="E37" s="27"/>
      <c r="F37" s="27"/>
      <c r="G37" s="27"/>
      <c r="H37" s="27"/>
    </row>
    <row r="38" spans="1:8" x14ac:dyDescent="0.25">
      <c r="C38" s="27"/>
      <c r="D38" s="27"/>
      <c r="E38" s="27"/>
      <c r="F38" s="27"/>
      <c r="G38" s="27"/>
      <c r="H38" s="27"/>
    </row>
    <row r="39" spans="1:8" x14ac:dyDescent="0.25">
      <c r="C39" s="27"/>
      <c r="D39" s="27"/>
      <c r="E39" s="27"/>
      <c r="F39" s="27"/>
      <c r="G39" s="27"/>
      <c r="H39" s="27"/>
    </row>
    <row r="40" spans="1:8" x14ac:dyDescent="0.25">
      <c r="C40" s="27"/>
      <c r="D40" s="27"/>
      <c r="E40" s="27"/>
      <c r="F40" s="27"/>
      <c r="G40" s="27"/>
      <c r="H40" s="27"/>
    </row>
    <row r="41" spans="1:8" x14ac:dyDescent="0.25">
      <c r="C41" s="27"/>
      <c r="D41" s="27"/>
      <c r="E41" s="27"/>
      <c r="F41" s="27"/>
      <c r="G41" s="27"/>
      <c r="H41" s="27"/>
    </row>
    <row r="42" spans="1:8" x14ac:dyDescent="0.25">
      <c r="C42" s="27"/>
      <c r="D42" s="27"/>
      <c r="E42" s="27"/>
      <c r="F42" s="27"/>
      <c r="G42" s="27"/>
      <c r="H42" s="27"/>
    </row>
    <row r="43" spans="1:8" x14ac:dyDescent="0.25">
      <c r="C43" s="27"/>
      <c r="D43" s="27"/>
      <c r="E43" s="27"/>
      <c r="F43" s="27"/>
      <c r="G43" s="27"/>
    </row>
    <row r="44" spans="1:8" x14ac:dyDescent="0.25">
      <c r="C44" s="27"/>
      <c r="D44" s="27"/>
      <c r="E44" s="27"/>
      <c r="F44" s="27"/>
      <c r="G44" s="27"/>
    </row>
    <row r="45" spans="1:8" x14ac:dyDescent="0.25">
      <c r="C45" s="27"/>
      <c r="D45" s="27"/>
      <c r="E45" s="27"/>
      <c r="F45" s="27"/>
      <c r="G45" s="27"/>
    </row>
    <row r="46" spans="1:8" x14ac:dyDescent="0.25">
      <c r="C46" s="27"/>
      <c r="D46" s="27"/>
      <c r="E46" s="27"/>
      <c r="F46" s="27"/>
      <c r="G46" s="27"/>
    </row>
    <row r="47" spans="1:8" x14ac:dyDescent="0.25">
      <c r="H47" s="27"/>
    </row>
    <row r="49" spans="3:8" x14ac:dyDescent="0.25">
      <c r="H49" s="27"/>
    </row>
    <row r="50" spans="3:8" x14ac:dyDescent="0.25">
      <c r="H50" s="27"/>
    </row>
    <row r="51" spans="3:8" x14ac:dyDescent="0.25">
      <c r="C51" s="27"/>
      <c r="D51" s="27"/>
      <c r="E51" s="27"/>
      <c r="F51" s="27"/>
      <c r="G51" s="27"/>
      <c r="H51" s="27"/>
    </row>
    <row r="52" spans="3:8" x14ac:dyDescent="0.25">
      <c r="H52" s="27"/>
    </row>
    <row r="53" spans="3:8" x14ac:dyDescent="0.25">
      <c r="C53" s="27"/>
      <c r="D53" s="27"/>
      <c r="E53" s="27"/>
      <c r="F53" s="27"/>
      <c r="G53" s="27"/>
      <c r="H53" s="27"/>
    </row>
    <row r="54" spans="3:8" x14ac:dyDescent="0.25">
      <c r="C54" s="27"/>
      <c r="D54" s="27"/>
      <c r="E54" s="27"/>
      <c r="F54" s="27"/>
      <c r="G54" s="27"/>
      <c r="H54" s="27"/>
    </row>
    <row r="55" spans="3:8" x14ac:dyDescent="0.25">
      <c r="C55" s="27"/>
      <c r="D55" s="27"/>
      <c r="E55" s="27"/>
      <c r="F55" s="27"/>
      <c r="G55" s="27"/>
      <c r="H55" s="27"/>
    </row>
    <row r="56" spans="3:8" x14ac:dyDescent="0.25">
      <c r="C56" s="27"/>
      <c r="D56" s="27"/>
      <c r="E56" s="27"/>
      <c r="F56" s="27"/>
      <c r="G56" s="27"/>
      <c r="H56" s="27"/>
    </row>
    <row r="57" spans="3:8" x14ac:dyDescent="0.25">
      <c r="C57" s="27"/>
      <c r="D57" s="27"/>
      <c r="E57" s="27"/>
      <c r="F57" s="27"/>
      <c r="G57" s="27"/>
      <c r="H57" s="27"/>
    </row>
    <row r="58" spans="3:8" x14ac:dyDescent="0.25">
      <c r="C58" s="27"/>
      <c r="D58" s="27"/>
      <c r="E58" s="27"/>
      <c r="F58" s="27"/>
      <c r="G58" s="27"/>
      <c r="H58" s="27"/>
    </row>
    <row r="59" spans="3:8" x14ac:dyDescent="0.25">
      <c r="C59" s="27"/>
      <c r="D59" s="27"/>
      <c r="E59" s="27"/>
      <c r="F59" s="27"/>
      <c r="G59" s="27"/>
      <c r="H59" s="27"/>
    </row>
    <row r="60" spans="3:8" x14ac:dyDescent="0.25">
      <c r="C60" s="27"/>
      <c r="D60" s="27"/>
      <c r="E60" s="27"/>
      <c r="F60" s="27"/>
      <c r="G60" s="27"/>
      <c r="H60" s="27"/>
    </row>
    <row r="61" spans="3:8" x14ac:dyDescent="0.25">
      <c r="C61" s="27"/>
      <c r="D61" s="27"/>
      <c r="E61" s="27"/>
      <c r="F61" s="27"/>
      <c r="G61" s="27"/>
      <c r="H61" s="27"/>
    </row>
    <row r="62" spans="3:8" x14ac:dyDescent="0.25">
      <c r="C62" s="27"/>
      <c r="D62" s="27"/>
      <c r="E62" s="27"/>
      <c r="F62" s="27"/>
      <c r="G62" s="27"/>
      <c r="H62" s="27"/>
    </row>
    <row r="63" spans="3:8" x14ac:dyDescent="0.25">
      <c r="C63" s="27"/>
      <c r="D63" s="27"/>
      <c r="E63" s="27"/>
      <c r="F63" s="27"/>
      <c r="G63" s="27"/>
    </row>
    <row r="64" spans="3:8" x14ac:dyDescent="0.25">
      <c r="C64" s="27"/>
      <c r="D64" s="27"/>
      <c r="E64" s="27"/>
      <c r="F64" s="27"/>
      <c r="G64" s="27"/>
    </row>
    <row r="65" spans="3:8" x14ac:dyDescent="0.25">
      <c r="C65" s="27"/>
      <c r="D65" s="27"/>
      <c r="E65" s="27"/>
      <c r="F65" s="27"/>
      <c r="G65" s="27"/>
    </row>
    <row r="66" spans="3:8" x14ac:dyDescent="0.25">
      <c r="C66" s="27"/>
      <c r="D66" s="27"/>
      <c r="E66" s="27"/>
      <c r="F66" s="27"/>
      <c r="G66" s="27"/>
    </row>
    <row r="67" spans="3:8" x14ac:dyDescent="0.25">
      <c r="H67" s="27"/>
    </row>
    <row r="69" spans="3:8" x14ac:dyDescent="0.25">
      <c r="H69" s="27"/>
    </row>
    <row r="70" spans="3:8" x14ac:dyDescent="0.25">
      <c r="H70" s="27"/>
    </row>
    <row r="71" spans="3:8" x14ac:dyDescent="0.25">
      <c r="C71" s="27"/>
      <c r="D71" s="27"/>
      <c r="E71" s="27"/>
      <c r="F71" s="27"/>
      <c r="G71" s="27"/>
      <c r="H71" s="27"/>
    </row>
    <row r="72" spans="3:8" x14ac:dyDescent="0.25">
      <c r="H72" s="27"/>
    </row>
    <row r="73" spans="3:8" x14ac:dyDescent="0.25">
      <c r="C73" s="27"/>
      <c r="D73" s="27"/>
      <c r="E73" s="27"/>
      <c r="F73" s="27"/>
      <c r="G73" s="27"/>
      <c r="H73" s="27"/>
    </row>
    <row r="74" spans="3:8" x14ac:dyDescent="0.25">
      <c r="C74" s="27"/>
      <c r="D74" s="27"/>
      <c r="E74" s="27"/>
      <c r="F74" s="27"/>
      <c r="G74" s="27"/>
      <c r="H74" s="27"/>
    </row>
    <row r="75" spans="3:8" x14ac:dyDescent="0.25">
      <c r="C75" s="27"/>
      <c r="D75" s="27"/>
      <c r="E75" s="27"/>
      <c r="F75" s="27"/>
      <c r="G75" s="27"/>
      <c r="H75" s="27"/>
    </row>
    <row r="76" spans="3:8" x14ac:dyDescent="0.25">
      <c r="C76" s="27"/>
      <c r="D76" s="27"/>
      <c r="E76" s="27"/>
      <c r="F76" s="27"/>
      <c r="G76" s="27"/>
      <c r="H76" s="27"/>
    </row>
    <row r="77" spans="3:8" x14ac:dyDescent="0.25">
      <c r="C77" s="27"/>
      <c r="D77" s="27"/>
      <c r="E77" s="27"/>
      <c r="F77" s="27"/>
      <c r="G77" s="27"/>
      <c r="H77" s="27"/>
    </row>
    <row r="78" spans="3:8" x14ac:dyDescent="0.25">
      <c r="C78" s="27"/>
      <c r="D78" s="27"/>
      <c r="E78" s="27"/>
      <c r="F78" s="27"/>
      <c r="G78" s="27"/>
      <c r="H78" s="27"/>
    </row>
    <row r="79" spans="3:8" x14ac:dyDescent="0.25">
      <c r="C79" s="27"/>
      <c r="D79" s="27"/>
      <c r="E79" s="27"/>
      <c r="F79" s="27"/>
      <c r="G79" s="27"/>
      <c r="H79" s="27"/>
    </row>
    <row r="80" spans="3:8" x14ac:dyDescent="0.25">
      <c r="C80" s="27"/>
      <c r="D80" s="27"/>
      <c r="E80" s="27"/>
      <c r="F80" s="27"/>
      <c r="G80" s="27"/>
      <c r="H80" s="27"/>
    </row>
    <row r="81" spans="3:8" x14ac:dyDescent="0.25">
      <c r="C81" s="27"/>
      <c r="D81" s="27"/>
      <c r="E81" s="27"/>
      <c r="F81" s="27"/>
      <c r="G81" s="27"/>
      <c r="H81" s="27"/>
    </row>
    <row r="82" spans="3:8" x14ac:dyDescent="0.25">
      <c r="C82" s="27"/>
      <c r="D82" s="27"/>
      <c r="E82" s="27"/>
      <c r="F82" s="27"/>
      <c r="G82" s="27"/>
      <c r="H82" s="27"/>
    </row>
    <row r="83" spans="3:8" x14ac:dyDescent="0.25">
      <c r="C83" s="27"/>
      <c r="D83" s="27"/>
      <c r="E83" s="27"/>
      <c r="F83" s="27"/>
      <c r="G83" s="27"/>
    </row>
    <row r="84" spans="3:8" x14ac:dyDescent="0.25">
      <c r="C84" s="27"/>
      <c r="D84" s="27"/>
      <c r="E84" s="27"/>
      <c r="F84" s="27"/>
      <c r="G84" s="27"/>
    </row>
    <row r="85" spans="3:8" x14ac:dyDescent="0.25">
      <c r="C85" s="27"/>
      <c r="D85" s="27"/>
      <c r="E85" s="27"/>
      <c r="F85" s="27"/>
      <c r="G85" s="27"/>
    </row>
    <row r="86" spans="3:8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86"/>
  <sheetViews>
    <sheetView topLeftCell="I1" zoomScale="85" zoomScaleNormal="85" workbookViewId="0">
      <pane xSplit="2" ySplit="7" topLeftCell="K8" activePane="bottomRight" state="frozen"/>
      <selection pane="topRight"/>
      <selection pane="bottomLeft"/>
      <selection pane="bottomRight" activeCell="K11" sqref="K11:X11"/>
    </sheetView>
  </sheetViews>
  <sheetFormatPr defaultColWidth="9" defaultRowHeight="15" x14ac:dyDescent="0.25"/>
  <cols>
    <col min="1" max="1" width="30.875" style="20" customWidth="1"/>
    <col min="2" max="2" width="15.5" style="25" customWidth="1"/>
    <col min="3" max="3" width="12.875" style="20" customWidth="1"/>
    <col min="4" max="7" width="9" style="20"/>
    <col min="8" max="8" width="6" style="20" customWidth="1"/>
    <col min="9" max="9" width="9" style="20"/>
    <col min="10" max="10" width="40.875" style="20" customWidth="1"/>
    <col min="11" max="24" width="14.125" style="20"/>
    <col min="25" max="16384" width="9" style="20"/>
  </cols>
  <sheetData>
    <row r="1" spans="1:24" x14ac:dyDescent="0.25"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4" x14ac:dyDescent="0.25"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5" spans="1:24" x14ac:dyDescent="0.25">
      <c r="H5" s="27"/>
    </row>
    <row r="6" spans="1:24" x14ac:dyDescent="0.25">
      <c r="B6" s="25" t="s">
        <v>73</v>
      </c>
      <c r="K6" s="75" t="s">
        <v>73</v>
      </c>
      <c r="L6" s="75" t="s">
        <v>73</v>
      </c>
      <c r="M6" s="75" t="s">
        <v>73</v>
      </c>
      <c r="N6" s="75" t="s">
        <v>73</v>
      </c>
      <c r="O6" s="75" t="s">
        <v>73</v>
      </c>
      <c r="P6" s="75" t="s">
        <v>73</v>
      </c>
      <c r="Q6" s="75" t="s">
        <v>73</v>
      </c>
      <c r="R6" s="75" t="s">
        <v>73</v>
      </c>
      <c r="S6" s="75" t="s">
        <v>73</v>
      </c>
      <c r="T6" s="75" t="s">
        <v>73</v>
      </c>
      <c r="U6" s="75" t="s">
        <v>73</v>
      </c>
      <c r="V6" s="75" t="s">
        <v>73</v>
      </c>
      <c r="W6" s="23"/>
      <c r="X6" s="23"/>
    </row>
    <row r="7" spans="1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5" t="s">
        <v>76</v>
      </c>
      <c r="M7" s="75" t="s">
        <v>77</v>
      </c>
      <c r="N7" s="75" t="s">
        <v>78</v>
      </c>
      <c r="O7" s="75" t="s">
        <v>79</v>
      </c>
      <c r="P7" s="75" t="s">
        <v>80</v>
      </c>
      <c r="Q7" s="75" t="s">
        <v>81</v>
      </c>
      <c r="R7" s="75" t="s">
        <v>82</v>
      </c>
      <c r="S7" s="75" t="s">
        <v>83</v>
      </c>
      <c r="T7" s="75" t="s">
        <v>84</v>
      </c>
      <c r="U7" s="75" t="s">
        <v>85</v>
      </c>
      <c r="V7" s="75" t="s">
        <v>86</v>
      </c>
      <c r="W7" s="23"/>
      <c r="X7" s="23"/>
    </row>
    <row r="8" spans="1:24" x14ac:dyDescent="0.25">
      <c r="A8" s="20" t="s">
        <v>225</v>
      </c>
      <c r="B8" s="25">
        <f>(AD8/K8)^(1/19)*100-100</f>
        <v>-100</v>
      </c>
      <c r="C8" s="40"/>
      <c r="D8" s="27"/>
      <c r="E8" s="27"/>
      <c r="F8" s="27"/>
      <c r="G8" s="27"/>
      <c r="H8" s="27"/>
      <c r="J8" s="77" t="s">
        <v>88</v>
      </c>
      <c r="K8" s="24">
        <v>50</v>
      </c>
      <c r="L8" s="24">
        <v>56</v>
      </c>
      <c r="M8" s="24">
        <v>55.968776088648596</v>
      </c>
      <c r="N8" s="24">
        <v>55.937178323473908</v>
      </c>
      <c r="O8" s="24">
        <v>55.905160359037744</v>
      </c>
      <c r="P8" s="24">
        <v>55.872707888513069</v>
      </c>
      <c r="Q8" s="24">
        <v>55.840274256370961</v>
      </c>
      <c r="R8" s="24">
        <v>55.809462129678792</v>
      </c>
      <c r="S8" s="24">
        <v>55.780190454590432</v>
      </c>
      <c r="T8" s="24">
        <v>55.752382227260583</v>
      </c>
      <c r="U8" s="24">
        <v>55.725964291689699</v>
      </c>
      <c r="V8" s="24">
        <v>55.700867147635051</v>
      </c>
      <c r="W8" s="24"/>
      <c r="X8" s="24"/>
    </row>
    <row r="9" spans="1:24" x14ac:dyDescent="0.25">
      <c r="A9" s="20" t="s">
        <v>226</v>
      </c>
      <c r="B9" s="25">
        <f t="shared" ref="B9:B28" si="0">(AD9/K9)^(1/19)*100-100</f>
        <v>-100</v>
      </c>
      <c r="C9" s="40"/>
      <c r="D9" s="27"/>
      <c r="E9" s="27"/>
      <c r="F9" s="27"/>
      <c r="G9" s="27"/>
      <c r="H9" s="27"/>
      <c r="J9" s="77" t="s">
        <v>90</v>
      </c>
      <c r="K9" s="24">
        <v>4000</v>
      </c>
      <c r="L9" s="24">
        <v>4107.1428571428569</v>
      </c>
      <c r="M9" s="24">
        <v>4103.4403321176451</v>
      </c>
      <c r="N9" s="24">
        <v>4099.7738848016861</v>
      </c>
      <c r="O9" s="24">
        <v>4096.2082316056021</v>
      </c>
      <c r="P9" s="24">
        <v>4092.883035544995</v>
      </c>
      <c r="Q9" s="24">
        <v>4089.7169797249635</v>
      </c>
      <c r="R9" s="24">
        <v>4086.4883550778818</v>
      </c>
      <c r="S9" s="24">
        <v>4083.2568718863172</v>
      </c>
      <c r="T9" s="24">
        <v>4080.1119151777616</v>
      </c>
      <c r="U9" s="24">
        <v>4077.0906534462752</v>
      </c>
      <c r="V9" s="24">
        <v>4074.2445495038373</v>
      </c>
      <c r="W9" s="24"/>
      <c r="X9" s="24"/>
    </row>
    <row r="10" spans="1:24" x14ac:dyDescent="0.25">
      <c r="A10" s="20" t="s">
        <v>201</v>
      </c>
      <c r="B10" s="25">
        <f t="shared" si="0"/>
        <v>-100</v>
      </c>
      <c r="C10" s="40"/>
      <c r="D10" s="27"/>
      <c r="E10" s="27"/>
      <c r="F10" s="27"/>
      <c r="G10" s="27"/>
      <c r="H10" s="27"/>
      <c r="J10" s="77" t="s">
        <v>92</v>
      </c>
      <c r="K10" s="24">
        <v>1624</v>
      </c>
      <c r="L10" s="24">
        <v>1280</v>
      </c>
      <c r="M10" s="24">
        <v>1285.447495637929</v>
      </c>
      <c r="N10" s="24">
        <v>1290.0101046982691</v>
      </c>
      <c r="O10" s="24">
        <v>1295.0204991870987</v>
      </c>
      <c r="P10" s="24">
        <v>1300.175741307718</v>
      </c>
      <c r="Q10" s="24">
        <v>1305.2790796955287</v>
      </c>
      <c r="R10" s="24">
        <v>1310.3007694918235</v>
      </c>
      <c r="S10" s="24">
        <v>1315.3344692000567</v>
      </c>
      <c r="T10" s="24">
        <v>1320.3343246255924</v>
      </c>
      <c r="U10" s="24">
        <v>1325.278986942219</v>
      </c>
      <c r="V10" s="24">
        <v>1330.1636050496866</v>
      </c>
      <c r="W10" s="24"/>
      <c r="X10" s="24"/>
    </row>
    <row r="11" spans="1:24" x14ac:dyDescent="0.25">
      <c r="A11" s="20" t="s">
        <v>227</v>
      </c>
      <c r="B11" s="25">
        <f t="shared" si="0"/>
        <v>-100</v>
      </c>
      <c r="C11" s="40"/>
      <c r="D11" s="27"/>
      <c r="E11" s="27"/>
      <c r="F11" s="27"/>
      <c r="G11" s="27"/>
      <c r="H11" s="27"/>
      <c r="J11" s="77" t="s">
        <v>94</v>
      </c>
      <c r="K11" s="24">
        <v>200</v>
      </c>
      <c r="L11" s="24">
        <v>230</v>
      </c>
      <c r="M11" s="24">
        <v>229.66453314142228</v>
      </c>
      <c r="N11" s="24">
        <v>229.32978288007325</v>
      </c>
      <c r="O11" s="24">
        <v>228.9991780519216</v>
      </c>
      <c r="P11" s="24">
        <v>228.68045826685619</v>
      </c>
      <c r="Q11" s="24">
        <v>228.37091777877876</v>
      </c>
      <c r="R11" s="24">
        <v>228.06471709609241</v>
      </c>
      <c r="S11" s="24">
        <v>227.76484598883394</v>
      </c>
      <c r="T11" s="24">
        <v>227.4759590249908</v>
      </c>
      <c r="U11" s="24">
        <v>227.19980816792895</v>
      </c>
      <c r="V11" s="24">
        <v>226.93895437888949</v>
      </c>
      <c r="W11" s="24"/>
      <c r="X11" s="24"/>
    </row>
    <row r="12" spans="1:24" x14ac:dyDescent="0.25">
      <c r="A12" s="20" t="s">
        <v>228</v>
      </c>
      <c r="B12" s="25">
        <f t="shared" si="0"/>
        <v>-100</v>
      </c>
      <c r="C12" s="40"/>
      <c r="D12" s="27"/>
      <c r="E12" s="27"/>
      <c r="F12" s="27"/>
      <c r="G12" s="27"/>
      <c r="H12" s="27"/>
      <c r="J12" s="77" t="s">
        <v>96</v>
      </c>
      <c r="K12" s="24">
        <v>1424</v>
      </c>
      <c r="L12" s="24">
        <v>1050</v>
      </c>
      <c r="M12" s="24">
        <v>1055.7829624965068</v>
      </c>
      <c r="N12" s="24">
        <v>1060.6803218181958</v>
      </c>
      <c r="O12" s="24">
        <v>1066.021321135177</v>
      </c>
      <c r="P12" s="24">
        <v>1071.4952830408618</v>
      </c>
      <c r="Q12" s="24">
        <v>1076.90816191675</v>
      </c>
      <c r="R12" s="24">
        <v>1082.2360523957311</v>
      </c>
      <c r="S12" s="24">
        <v>1087.5696232112227</v>
      </c>
      <c r="T12" s="24">
        <v>1092.8583656006017</v>
      </c>
      <c r="U12" s="24">
        <v>1098.0791787742901</v>
      </c>
      <c r="V12" s="24">
        <v>1103.224650670797</v>
      </c>
      <c r="W12" s="24"/>
      <c r="X12" s="24"/>
    </row>
    <row r="13" spans="1:24" x14ac:dyDescent="0.25">
      <c r="A13" s="20" t="s">
        <v>229</v>
      </c>
      <c r="B13" s="25">
        <f t="shared" si="0"/>
        <v>-100</v>
      </c>
      <c r="C13" s="40"/>
      <c r="D13" s="27"/>
      <c r="E13" s="27"/>
      <c r="F13" s="27"/>
      <c r="G13" s="27"/>
      <c r="H13" s="27"/>
      <c r="J13" s="77" t="s">
        <v>98</v>
      </c>
      <c r="K13" s="24">
        <v>1624.0000000000002</v>
      </c>
      <c r="L13" s="24">
        <v>1280</v>
      </c>
      <c r="M13" s="24">
        <v>1285.447495637929</v>
      </c>
      <c r="N13" s="24">
        <v>1290.0101046982691</v>
      </c>
      <c r="O13" s="24">
        <v>1295.0204991870987</v>
      </c>
      <c r="P13" s="24">
        <v>1300.175741307718</v>
      </c>
      <c r="Q13" s="24">
        <v>1305.2790796955287</v>
      </c>
      <c r="R13" s="24">
        <v>1310.3007694918235</v>
      </c>
      <c r="S13" s="24">
        <v>1315.3344692000567</v>
      </c>
      <c r="T13" s="24">
        <v>1320.3343246255924</v>
      </c>
      <c r="U13" s="24">
        <v>1325.278986942219</v>
      </c>
      <c r="V13" s="24">
        <v>1330.1636050496866</v>
      </c>
      <c r="W13" s="24"/>
      <c r="X13" s="24"/>
    </row>
    <row r="14" spans="1:24" x14ac:dyDescent="0.25">
      <c r="A14" s="20" t="s">
        <v>230</v>
      </c>
      <c r="B14" s="25">
        <f t="shared" si="0"/>
        <v>-100</v>
      </c>
      <c r="C14" s="40"/>
      <c r="D14" s="27"/>
      <c r="E14" s="27"/>
      <c r="F14" s="27"/>
      <c r="G14" s="27"/>
      <c r="H14" s="27"/>
      <c r="J14" s="77" t="s">
        <v>100</v>
      </c>
      <c r="K14" s="24">
        <v>0.63424887096316063</v>
      </c>
      <c r="L14" s="24">
        <v>0.2733310081216323</v>
      </c>
      <c r="M14" s="24">
        <v>0.27229409625293566</v>
      </c>
      <c r="N14" s="24">
        <v>0.27145029015853361</v>
      </c>
      <c r="O14" s="24">
        <v>0.27074831877595784</v>
      </c>
      <c r="P14" s="24">
        <v>0.27016412556944136</v>
      </c>
      <c r="Q14" s="24">
        <v>0.2696955898216441</v>
      </c>
      <c r="R14" s="24">
        <v>0.26932504900622473</v>
      </c>
      <c r="S14" s="24">
        <v>0.26906812678670683</v>
      </c>
      <c r="T14" s="24">
        <v>0.26889769733557356</v>
      </c>
      <c r="U14" s="24">
        <v>0.26880477451810419</v>
      </c>
      <c r="V14" s="24">
        <v>0.2687787728047803</v>
      </c>
      <c r="W14" s="24"/>
      <c r="X14" s="24"/>
    </row>
    <row r="15" spans="1:24" x14ac:dyDescent="0.25">
      <c r="A15" s="20" t="s">
        <v>231</v>
      </c>
      <c r="B15" s="25">
        <f t="shared" si="0"/>
        <v>-100</v>
      </c>
      <c r="C15" s="40"/>
      <c r="D15" s="27"/>
      <c r="E15" s="27"/>
      <c r="F15" s="27"/>
      <c r="G15" s="27"/>
      <c r="H15" s="27"/>
      <c r="J15" s="77" t="s">
        <v>102</v>
      </c>
      <c r="K15" s="24">
        <v>8.1199999999999992</v>
      </c>
      <c r="L15" s="24">
        <v>6.4</v>
      </c>
      <c r="M15" s="24">
        <v>6.3964315529884113</v>
      </c>
      <c r="N15" s="24">
        <v>6.39282037982559</v>
      </c>
      <c r="O15" s="24">
        <v>6.3891611838900282</v>
      </c>
      <c r="P15" s="24">
        <v>6.38545233011578</v>
      </c>
      <c r="Q15" s="24">
        <v>6.3817456292995303</v>
      </c>
      <c r="R15" s="24">
        <v>6.3782242433918626</v>
      </c>
      <c r="S15" s="24">
        <v>6.3748789090960498</v>
      </c>
      <c r="T15" s="24">
        <v>6.3717008259726384</v>
      </c>
      <c r="U15" s="24">
        <v>6.3686816333359664</v>
      </c>
      <c r="V15" s="24">
        <v>6.3658133883011496</v>
      </c>
      <c r="W15" s="24"/>
      <c r="X15" s="24"/>
    </row>
    <row r="16" spans="1:24" x14ac:dyDescent="0.25">
      <c r="A16" s="20" t="s">
        <v>232</v>
      </c>
      <c r="B16" s="25">
        <f t="shared" si="0"/>
        <v>-100</v>
      </c>
      <c r="C16" s="40"/>
      <c r="D16" s="27"/>
      <c r="E16" s="27"/>
      <c r="F16" s="27"/>
      <c r="G16" s="27"/>
      <c r="H16" s="27"/>
      <c r="J16" s="77" t="s">
        <v>104</v>
      </c>
      <c r="K16" s="24">
        <v>430</v>
      </c>
      <c r="L16" s="24">
        <v>430</v>
      </c>
      <c r="M16" s="24">
        <v>430.82985926805088</v>
      </c>
      <c r="N16" s="24">
        <v>430.80282243663197</v>
      </c>
      <c r="O16" s="24">
        <v>431.34039514293005</v>
      </c>
      <c r="P16" s="24">
        <v>432.14003839275932</v>
      </c>
      <c r="Q16" s="24">
        <v>432.94865142786841</v>
      </c>
      <c r="R16" s="24">
        <v>433.78071586556513</v>
      </c>
      <c r="S16" s="24">
        <v>434.65344210628103</v>
      </c>
      <c r="T16" s="24">
        <v>435.56469989107734</v>
      </c>
      <c r="U16" s="24">
        <v>436.51364848748437</v>
      </c>
      <c r="V16" s="24">
        <v>437.49909577886172</v>
      </c>
      <c r="W16" s="24"/>
      <c r="X16" s="24"/>
    </row>
    <row r="17" spans="1:24" x14ac:dyDescent="0.25">
      <c r="A17" s="20" t="s">
        <v>233</v>
      </c>
      <c r="B17" s="25">
        <f t="shared" si="0"/>
        <v>-100</v>
      </c>
      <c r="C17" s="40"/>
      <c r="D17" s="27"/>
      <c r="E17" s="27"/>
      <c r="F17" s="27"/>
      <c r="G17" s="27"/>
      <c r="H17" s="27"/>
      <c r="J17" s="77" t="s">
        <v>106</v>
      </c>
      <c r="K17" s="24">
        <v>1055.1600000000001</v>
      </c>
      <c r="L17" s="24">
        <v>789.6</v>
      </c>
      <c r="M17" s="24">
        <v>794.43028644130266</v>
      </c>
      <c r="N17" s="24">
        <v>799.22415070278839</v>
      </c>
      <c r="O17" s="24">
        <v>803.8988932822291</v>
      </c>
      <c r="P17" s="24">
        <v>808.45579611483299</v>
      </c>
      <c r="Q17" s="24">
        <v>812.95014082265823</v>
      </c>
      <c r="R17" s="24">
        <v>817.34023409932809</v>
      </c>
      <c r="S17" s="24">
        <v>821.679431029169</v>
      </c>
      <c r="T17" s="24">
        <v>825.94671738789214</v>
      </c>
      <c r="U17" s="24">
        <v>830.12213698475205</v>
      </c>
      <c r="V17" s="24">
        <v>834.20187735141496</v>
      </c>
      <c r="W17" s="24"/>
      <c r="X17" s="24"/>
    </row>
    <row r="18" spans="1:24" x14ac:dyDescent="0.25">
      <c r="A18" s="20" t="s">
        <v>234</v>
      </c>
      <c r="B18" s="25">
        <f t="shared" si="0"/>
        <v>-100</v>
      </c>
      <c r="C18" s="40"/>
      <c r="D18" s="27"/>
      <c r="E18" s="27"/>
      <c r="F18" s="27"/>
      <c r="G18" s="27"/>
      <c r="H18" s="27"/>
      <c r="J18" s="77" t="s">
        <v>108</v>
      </c>
      <c r="K18" s="24">
        <v>81.2</v>
      </c>
      <c r="L18" s="24">
        <v>25.6</v>
      </c>
      <c r="M18" s="24">
        <v>25.562661080088741</v>
      </c>
      <c r="N18" s="24">
        <v>25.525401920564676</v>
      </c>
      <c r="O18" s="24">
        <v>25.488604165779101</v>
      </c>
      <c r="P18" s="24">
        <v>25.453129267963124</v>
      </c>
      <c r="Q18" s="24">
        <v>25.418676065811873</v>
      </c>
      <c r="R18" s="24">
        <v>25.384594598521591</v>
      </c>
      <c r="S18" s="24">
        <v>25.351217640496301</v>
      </c>
      <c r="T18" s="24">
        <v>25.31906326539028</v>
      </c>
      <c r="U18" s="24">
        <v>25.288326474343396</v>
      </c>
      <c r="V18" s="24">
        <v>25.259292313476397</v>
      </c>
      <c r="W18" s="24"/>
      <c r="X18" s="24"/>
    </row>
    <row r="19" spans="1:24" x14ac:dyDescent="0.25">
      <c r="A19" s="20" t="s">
        <v>235</v>
      </c>
      <c r="B19" s="25">
        <f t="shared" si="0"/>
        <v>-100</v>
      </c>
      <c r="C19" s="40"/>
      <c r="D19" s="27"/>
      <c r="E19" s="27"/>
      <c r="F19" s="27"/>
      <c r="G19" s="27"/>
      <c r="H19" s="27"/>
      <c r="J19" s="77" t="s">
        <v>110</v>
      </c>
      <c r="K19" s="24">
        <v>-39.799999999999997</v>
      </c>
      <c r="L19" s="24">
        <v>-10.000000000000099</v>
      </c>
      <c r="M19" s="24">
        <v>-9.9854144844097643</v>
      </c>
      <c r="N19" s="24">
        <v>-9.9708601252206766</v>
      </c>
      <c r="O19" s="24">
        <v>-9.9564860022575612</v>
      </c>
      <c r="P19" s="24">
        <v>-9.9426286202981942</v>
      </c>
      <c r="Q19" s="24">
        <v>-9.9291703382078609</v>
      </c>
      <c r="R19" s="24">
        <v>-9.9158572650475953</v>
      </c>
      <c r="S19" s="24">
        <v>-9.9028193908189657</v>
      </c>
      <c r="T19" s="24">
        <v>-9.8902590880431767</v>
      </c>
      <c r="U19" s="24">
        <v>-9.8782525290404877</v>
      </c>
      <c r="V19" s="24">
        <v>-9.8669110599518159</v>
      </c>
      <c r="W19" s="24"/>
      <c r="X19" s="24"/>
    </row>
    <row r="20" spans="1:24" x14ac:dyDescent="0.25">
      <c r="A20" s="20" t="s">
        <v>236</v>
      </c>
      <c r="B20" s="25">
        <f t="shared" si="0"/>
        <v>-100</v>
      </c>
      <c r="C20" s="40"/>
      <c r="D20" s="27"/>
      <c r="E20" s="27"/>
      <c r="F20" s="27"/>
      <c r="G20" s="27"/>
      <c r="H20" s="27"/>
      <c r="J20" s="77" t="s">
        <v>112</v>
      </c>
      <c r="K20" s="24">
        <v>1663.8000000000002</v>
      </c>
      <c r="L20" s="24">
        <v>1290</v>
      </c>
      <c r="M20" s="24">
        <v>1295.4329101223389</v>
      </c>
      <c r="N20" s="24">
        <v>1299.9809648234898</v>
      </c>
      <c r="O20" s="24">
        <v>1304.9769851893564</v>
      </c>
      <c r="P20" s="24">
        <v>1310.1183699280161</v>
      </c>
      <c r="Q20" s="24">
        <v>1315.2082500337365</v>
      </c>
      <c r="R20" s="24">
        <v>1320.2166267568712</v>
      </c>
      <c r="S20" s="24">
        <v>1325.2372885908756</v>
      </c>
      <c r="T20" s="24">
        <v>1330.2245837136356</v>
      </c>
      <c r="U20" s="24">
        <v>1335.1572394712596</v>
      </c>
      <c r="V20" s="24">
        <v>1340.0305161096385</v>
      </c>
      <c r="W20" s="24"/>
      <c r="X20" s="24"/>
    </row>
    <row r="21" spans="1:24" x14ac:dyDescent="0.25">
      <c r="A21" s="20" t="s">
        <v>237</v>
      </c>
      <c r="B21" s="25">
        <f t="shared" si="0"/>
        <v>-100</v>
      </c>
      <c r="C21" s="40"/>
      <c r="D21" s="27"/>
      <c r="E21" s="27"/>
      <c r="F21" s="27"/>
      <c r="G21" s="27"/>
      <c r="H21" s="27"/>
      <c r="J21" s="77" t="s">
        <v>114</v>
      </c>
      <c r="K21" s="24">
        <v>4.2805667066314896</v>
      </c>
      <c r="L21" s="24">
        <v>1.8447200567794761</v>
      </c>
      <c r="M21" s="24">
        <v>1.8377219041203892</v>
      </c>
      <c r="N21" s="24">
        <v>1.8320270287490465</v>
      </c>
      <c r="O21" s="24">
        <v>1.827289400561078</v>
      </c>
      <c r="P21" s="24">
        <v>1.8233466611971796</v>
      </c>
      <c r="Q21" s="24">
        <v>1.8201844978655493</v>
      </c>
      <c r="R21" s="24">
        <v>1.8176837055889723</v>
      </c>
      <c r="S21" s="24">
        <v>1.8159497289917546</v>
      </c>
      <c r="T21" s="24">
        <v>1.8147994949625748</v>
      </c>
      <c r="U21" s="24">
        <v>1.8141723557795884</v>
      </c>
      <c r="V21" s="24">
        <v>1.8139968693523116</v>
      </c>
      <c r="W21" s="24"/>
      <c r="X21" s="24"/>
    </row>
    <row r="22" spans="1:24" x14ac:dyDescent="0.25">
      <c r="A22" s="20" t="s">
        <v>238</v>
      </c>
      <c r="B22" s="25">
        <f t="shared" si="0"/>
        <v>-100</v>
      </c>
      <c r="C22" s="40"/>
      <c r="D22" s="27"/>
      <c r="E22" s="27"/>
      <c r="F22" s="27"/>
      <c r="G22" s="27"/>
      <c r="H22" s="27"/>
      <c r="J22" s="77" t="s">
        <v>116</v>
      </c>
      <c r="K22" s="24">
        <v>89.32</v>
      </c>
      <c r="L22" s="24">
        <v>38.4</v>
      </c>
      <c r="M22" s="24">
        <v>38.213671779908118</v>
      </c>
      <c r="N22" s="24">
        <v>38.035769383679124</v>
      </c>
      <c r="O22" s="24">
        <v>37.859931414527992</v>
      </c>
      <c r="P22" s="24">
        <v>37.683953822345011</v>
      </c>
      <c r="Q22" s="24">
        <v>37.50903608809881</v>
      </c>
      <c r="R22" s="24">
        <v>37.332857950064486</v>
      </c>
      <c r="S22" s="24">
        <v>37.178318905833343</v>
      </c>
      <c r="T22" s="24">
        <v>37.022402343303142</v>
      </c>
      <c r="U22" s="24">
        <v>36.864445891343813</v>
      </c>
      <c r="V22" s="24">
        <v>36.704437277583992</v>
      </c>
      <c r="W22" s="24"/>
      <c r="X22" s="24"/>
    </row>
    <row r="23" spans="1:24" x14ac:dyDescent="0.25">
      <c r="A23" s="20" t="s">
        <v>239</v>
      </c>
      <c r="B23" s="25">
        <f t="shared" si="0"/>
        <v>-100</v>
      </c>
      <c r="C23" s="40"/>
      <c r="D23" s="27"/>
      <c r="E23" s="27"/>
      <c r="F23" s="27"/>
      <c r="G23" s="27"/>
      <c r="J23" s="77" t="s">
        <v>118</v>
      </c>
      <c r="K23" s="24">
        <v>1.0067425997506245</v>
      </c>
      <c r="L23" s="24">
        <v>-8.8816557409375072</v>
      </c>
      <c r="M23" s="24">
        <v>-8.7333544789862643</v>
      </c>
      <c r="N23" s="24">
        <v>-8.6101242161905134</v>
      </c>
      <c r="O23" s="24">
        <v>-8.4735926873369944</v>
      </c>
      <c r="P23" s="24">
        <v>-8.3321663629705824</v>
      </c>
      <c r="Q23" s="24">
        <v>-8.1916857096364524</v>
      </c>
      <c r="R23" s="24">
        <v>-8.053463265818035</v>
      </c>
      <c r="S23" s="24">
        <v>-7.9146814523692051</v>
      </c>
      <c r="T23" s="24">
        <v>-7.776491613386237</v>
      </c>
      <c r="U23" s="24">
        <v>-7.6394508384845885</v>
      </c>
      <c r="V23" s="24">
        <v>-7.5036195855342669</v>
      </c>
      <c r="W23" s="24"/>
      <c r="X23" s="24"/>
    </row>
    <row r="24" spans="1:24" x14ac:dyDescent="0.25">
      <c r="A24" s="20" t="s">
        <v>240</v>
      </c>
      <c r="B24" s="25" t="e">
        <f t="shared" si="0"/>
        <v>#DIV/0!</v>
      </c>
      <c r="C24" s="40"/>
      <c r="D24" s="27"/>
      <c r="E24" s="27"/>
      <c r="F24" s="27"/>
      <c r="G24" s="27"/>
    </row>
    <row r="25" spans="1:24" x14ac:dyDescent="0.25">
      <c r="A25" s="20" t="s">
        <v>241</v>
      </c>
      <c r="B25" s="25" t="e">
        <f t="shared" si="0"/>
        <v>#DIV/0!</v>
      </c>
      <c r="C25" s="40"/>
      <c r="D25" s="27"/>
      <c r="E25" s="27"/>
      <c r="F25" s="27"/>
      <c r="G25" s="27"/>
    </row>
    <row r="26" spans="1:24" x14ac:dyDescent="0.25">
      <c r="A26" s="20" t="s">
        <v>242</v>
      </c>
      <c r="B26" s="25" t="e">
        <f t="shared" si="0"/>
        <v>#DIV/0!</v>
      </c>
      <c r="C26" s="40"/>
      <c r="D26" s="27"/>
      <c r="E26" s="27"/>
      <c r="F26" s="27"/>
      <c r="G26" s="27"/>
    </row>
    <row r="27" spans="1:24" x14ac:dyDescent="0.25">
      <c r="A27" s="20" t="s">
        <v>243</v>
      </c>
      <c r="B27" s="25" t="e">
        <f t="shared" si="0"/>
        <v>#DIV/0!</v>
      </c>
      <c r="C27" s="40"/>
      <c r="D27" s="27"/>
      <c r="E27" s="27"/>
      <c r="F27" s="27"/>
      <c r="G27" s="27"/>
      <c r="H27" s="27"/>
    </row>
    <row r="28" spans="1:24" x14ac:dyDescent="0.25">
      <c r="A28" s="20" t="s">
        <v>244</v>
      </c>
      <c r="B28" s="25" t="e">
        <f t="shared" si="0"/>
        <v>#DIV/0!</v>
      </c>
      <c r="C28" s="40"/>
      <c r="D28" s="27"/>
      <c r="E28" s="27"/>
      <c r="F28" s="27"/>
      <c r="G28" s="27"/>
    </row>
    <row r="29" spans="1:24" x14ac:dyDescent="0.25">
      <c r="C29" s="40"/>
      <c r="D29" s="27"/>
      <c r="E29" s="27"/>
      <c r="F29" s="27"/>
      <c r="G29" s="27"/>
      <c r="H29" s="27"/>
    </row>
    <row r="30" spans="1:24" x14ac:dyDescent="0.25">
      <c r="C30" s="40"/>
      <c r="D30" s="27"/>
      <c r="E30" s="27"/>
      <c r="F30" s="27"/>
      <c r="G30" s="27"/>
      <c r="H30" s="27"/>
    </row>
    <row r="31" spans="1:24" x14ac:dyDescent="0.25">
      <c r="C31" s="40"/>
      <c r="D31" s="27"/>
      <c r="E31" s="27"/>
      <c r="F31" s="27"/>
      <c r="G31" s="27"/>
      <c r="H31" s="27"/>
    </row>
    <row r="32" spans="1:24" x14ac:dyDescent="0.25">
      <c r="C32" s="40"/>
      <c r="D32" s="27"/>
      <c r="E32" s="27"/>
      <c r="F32" s="27"/>
      <c r="G32" s="27"/>
      <c r="H32" s="27"/>
    </row>
    <row r="33" spans="3:8" x14ac:dyDescent="0.25">
      <c r="C33" s="40"/>
      <c r="D33" s="27"/>
      <c r="E33" s="27"/>
      <c r="F33" s="27"/>
      <c r="G33" s="27"/>
      <c r="H33" s="27"/>
    </row>
    <row r="34" spans="3:8" x14ac:dyDescent="0.25">
      <c r="C34" s="40"/>
      <c r="D34" s="27"/>
      <c r="E34" s="27"/>
      <c r="F34" s="27"/>
      <c r="G34" s="27"/>
      <c r="H34" s="27"/>
    </row>
    <row r="35" spans="3:8" x14ac:dyDescent="0.25">
      <c r="C35" s="40"/>
      <c r="D35" s="27"/>
      <c r="E35" s="27"/>
      <c r="F35" s="27"/>
      <c r="G35" s="27"/>
      <c r="H35" s="27"/>
    </row>
    <row r="36" spans="3:8" x14ac:dyDescent="0.25">
      <c r="C36" s="27"/>
      <c r="D36" s="27"/>
      <c r="E36" s="27"/>
      <c r="F36" s="27"/>
      <c r="G36" s="27"/>
      <c r="H36" s="27"/>
    </row>
    <row r="37" spans="3:8" x14ac:dyDescent="0.25">
      <c r="C37" s="27"/>
      <c r="D37" s="27"/>
      <c r="E37" s="27"/>
      <c r="F37" s="27"/>
      <c r="G37" s="27"/>
      <c r="H37" s="27"/>
    </row>
    <row r="38" spans="3:8" x14ac:dyDescent="0.25">
      <c r="C38" s="27"/>
      <c r="D38" s="27"/>
      <c r="E38" s="27"/>
      <c r="F38" s="27"/>
      <c r="G38" s="27"/>
      <c r="H38" s="27"/>
    </row>
    <row r="39" spans="3:8" x14ac:dyDescent="0.25">
      <c r="C39" s="27"/>
      <c r="D39" s="27"/>
      <c r="E39" s="27"/>
      <c r="F39" s="27"/>
      <c r="G39" s="27"/>
      <c r="H39" s="27"/>
    </row>
    <row r="40" spans="3:8" x14ac:dyDescent="0.25">
      <c r="C40" s="27"/>
      <c r="D40" s="27"/>
      <c r="E40" s="27"/>
      <c r="F40" s="27"/>
      <c r="G40" s="27"/>
      <c r="H40" s="27"/>
    </row>
    <row r="41" spans="3:8" x14ac:dyDescent="0.25">
      <c r="C41" s="27"/>
      <c r="D41" s="27"/>
      <c r="E41" s="27"/>
      <c r="F41" s="27"/>
      <c r="G41" s="27"/>
      <c r="H41" s="27"/>
    </row>
    <row r="42" spans="3:8" x14ac:dyDescent="0.25">
      <c r="C42" s="27"/>
      <c r="D42" s="27"/>
      <c r="E42" s="27"/>
      <c r="F42" s="27"/>
      <c r="G42" s="27"/>
      <c r="H42" s="27"/>
    </row>
    <row r="43" spans="3:8" x14ac:dyDescent="0.25">
      <c r="C43" s="27"/>
      <c r="D43" s="27"/>
      <c r="E43" s="27"/>
      <c r="F43" s="27"/>
      <c r="G43" s="27"/>
    </row>
    <row r="44" spans="3:8" x14ac:dyDescent="0.25">
      <c r="C44" s="27"/>
      <c r="D44" s="27"/>
      <c r="E44" s="27"/>
      <c r="F44" s="27"/>
      <c r="G44" s="27"/>
    </row>
    <row r="45" spans="3:8" x14ac:dyDescent="0.25">
      <c r="C45" s="27"/>
      <c r="D45" s="27"/>
      <c r="E45" s="27"/>
      <c r="F45" s="27"/>
      <c r="G45" s="27"/>
    </row>
    <row r="46" spans="3:8" x14ac:dyDescent="0.25">
      <c r="C46" s="27"/>
      <c r="D46" s="27"/>
      <c r="E46" s="27"/>
      <c r="F46" s="27"/>
      <c r="G46" s="27"/>
    </row>
    <row r="47" spans="3:8" x14ac:dyDescent="0.25">
      <c r="H47" s="27"/>
    </row>
    <row r="49" spans="3:8" x14ac:dyDescent="0.25">
      <c r="H49" s="27"/>
    </row>
    <row r="50" spans="3:8" x14ac:dyDescent="0.25">
      <c r="H50" s="27"/>
    </row>
    <row r="51" spans="3:8" x14ac:dyDescent="0.25">
      <c r="C51" s="27"/>
      <c r="D51" s="27"/>
      <c r="E51" s="27"/>
      <c r="F51" s="27"/>
      <c r="G51" s="27"/>
      <c r="H51" s="27"/>
    </row>
    <row r="52" spans="3:8" x14ac:dyDescent="0.25">
      <c r="H52" s="27"/>
    </row>
    <row r="53" spans="3:8" x14ac:dyDescent="0.25">
      <c r="C53" s="27"/>
      <c r="D53" s="27"/>
      <c r="E53" s="27"/>
      <c r="F53" s="27"/>
      <c r="G53" s="27"/>
      <c r="H53" s="27"/>
    </row>
    <row r="54" spans="3:8" x14ac:dyDescent="0.25">
      <c r="C54" s="27"/>
      <c r="D54" s="27"/>
      <c r="E54" s="27"/>
      <c r="F54" s="27"/>
      <c r="G54" s="27"/>
      <c r="H54" s="27"/>
    </row>
    <row r="55" spans="3:8" x14ac:dyDescent="0.25">
      <c r="C55" s="27"/>
      <c r="D55" s="27"/>
      <c r="E55" s="27"/>
      <c r="F55" s="27"/>
      <c r="G55" s="27"/>
      <c r="H55" s="27"/>
    </row>
    <row r="56" spans="3:8" x14ac:dyDescent="0.25">
      <c r="C56" s="27"/>
      <c r="D56" s="27"/>
      <c r="E56" s="27"/>
      <c r="F56" s="27"/>
      <c r="G56" s="27"/>
      <c r="H56" s="27"/>
    </row>
    <row r="57" spans="3:8" x14ac:dyDescent="0.25">
      <c r="C57" s="27"/>
      <c r="D57" s="27"/>
      <c r="E57" s="27"/>
      <c r="F57" s="27"/>
      <c r="G57" s="27"/>
      <c r="H57" s="27"/>
    </row>
    <row r="58" spans="3:8" x14ac:dyDescent="0.25">
      <c r="C58" s="27"/>
      <c r="D58" s="27"/>
      <c r="E58" s="27"/>
      <c r="F58" s="27"/>
      <c r="G58" s="27"/>
      <c r="H58" s="27"/>
    </row>
    <row r="59" spans="3:8" x14ac:dyDescent="0.25">
      <c r="C59" s="27"/>
      <c r="D59" s="27"/>
      <c r="E59" s="27"/>
      <c r="F59" s="27"/>
      <c r="G59" s="27"/>
      <c r="H59" s="27"/>
    </row>
    <row r="60" spans="3:8" x14ac:dyDescent="0.25">
      <c r="C60" s="27"/>
      <c r="D60" s="27"/>
      <c r="E60" s="27"/>
      <c r="F60" s="27"/>
      <c r="G60" s="27"/>
      <c r="H60" s="27"/>
    </row>
    <row r="61" spans="3:8" x14ac:dyDescent="0.25">
      <c r="C61" s="27"/>
      <c r="D61" s="27"/>
      <c r="E61" s="27"/>
      <c r="F61" s="27"/>
      <c r="G61" s="27"/>
      <c r="H61" s="27"/>
    </row>
    <row r="62" spans="3:8" x14ac:dyDescent="0.25">
      <c r="C62" s="27"/>
      <c r="D62" s="27"/>
      <c r="E62" s="27"/>
      <c r="F62" s="27"/>
      <c r="G62" s="27"/>
      <c r="H62" s="27"/>
    </row>
    <row r="63" spans="3:8" x14ac:dyDescent="0.25">
      <c r="C63" s="27"/>
      <c r="D63" s="27"/>
      <c r="E63" s="27"/>
      <c r="F63" s="27"/>
      <c r="G63" s="27"/>
    </row>
    <row r="64" spans="3:8" x14ac:dyDescent="0.25">
      <c r="C64" s="27"/>
      <c r="D64" s="27"/>
      <c r="E64" s="27"/>
      <c r="F64" s="27"/>
      <c r="G64" s="27"/>
    </row>
    <row r="65" spans="3:8" x14ac:dyDescent="0.25">
      <c r="C65" s="27"/>
      <c r="D65" s="27"/>
      <c r="E65" s="27"/>
      <c r="F65" s="27"/>
      <c r="G65" s="27"/>
    </row>
    <row r="66" spans="3:8" x14ac:dyDescent="0.25">
      <c r="C66" s="27"/>
      <c r="D66" s="27"/>
      <c r="E66" s="27"/>
      <c r="F66" s="27"/>
      <c r="G66" s="27"/>
    </row>
    <row r="67" spans="3:8" x14ac:dyDescent="0.25">
      <c r="H67" s="27"/>
    </row>
    <row r="69" spans="3:8" x14ac:dyDescent="0.25">
      <c r="H69" s="27"/>
    </row>
    <row r="70" spans="3:8" x14ac:dyDescent="0.25">
      <c r="H70" s="27"/>
    </row>
    <row r="71" spans="3:8" x14ac:dyDescent="0.25">
      <c r="C71" s="27"/>
      <c r="D71" s="27"/>
      <c r="E71" s="27"/>
      <c r="F71" s="27"/>
      <c r="G71" s="27"/>
      <c r="H71" s="27"/>
    </row>
    <row r="72" spans="3:8" x14ac:dyDescent="0.25">
      <c r="H72" s="27"/>
    </row>
    <row r="73" spans="3:8" x14ac:dyDescent="0.25">
      <c r="C73" s="27"/>
      <c r="D73" s="27"/>
      <c r="E73" s="27"/>
      <c r="F73" s="27"/>
      <c r="G73" s="27"/>
      <c r="H73" s="27"/>
    </row>
    <row r="74" spans="3:8" x14ac:dyDescent="0.25">
      <c r="C74" s="27"/>
      <c r="D74" s="27"/>
      <c r="E74" s="27"/>
      <c r="F74" s="27"/>
      <c r="G74" s="27"/>
      <c r="H74" s="27"/>
    </row>
    <row r="75" spans="3:8" x14ac:dyDescent="0.25">
      <c r="C75" s="27"/>
      <c r="D75" s="27"/>
      <c r="E75" s="27"/>
      <c r="F75" s="27"/>
      <c r="G75" s="27"/>
      <c r="H75" s="27"/>
    </row>
    <row r="76" spans="3:8" x14ac:dyDescent="0.25">
      <c r="C76" s="27"/>
      <c r="D76" s="27"/>
      <c r="E76" s="27"/>
      <c r="F76" s="27"/>
      <c r="G76" s="27"/>
      <c r="H76" s="27"/>
    </row>
    <row r="77" spans="3:8" x14ac:dyDescent="0.25">
      <c r="C77" s="27"/>
      <c r="D77" s="27"/>
      <c r="E77" s="27"/>
      <c r="F77" s="27"/>
      <c r="G77" s="27"/>
      <c r="H77" s="27"/>
    </row>
    <row r="78" spans="3:8" x14ac:dyDescent="0.25">
      <c r="C78" s="27"/>
      <c r="D78" s="27"/>
      <c r="E78" s="27"/>
      <c r="F78" s="27"/>
      <c r="G78" s="27"/>
      <c r="H78" s="27"/>
    </row>
    <row r="79" spans="3:8" x14ac:dyDescent="0.25">
      <c r="C79" s="27"/>
      <c r="D79" s="27"/>
      <c r="E79" s="27"/>
      <c r="F79" s="27"/>
      <c r="G79" s="27"/>
      <c r="H79" s="27"/>
    </row>
    <row r="80" spans="3:8" x14ac:dyDescent="0.25">
      <c r="C80" s="27"/>
      <c r="D80" s="27"/>
      <c r="E80" s="27"/>
      <c r="F80" s="27"/>
      <c r="G80" s="27"/>
      <c r="H80" s="27"/>
    </row>
    <row r="81" spans="3:8" x14ac:dyDescent="0.25">
      <c r="C81" s="27"/>
      <c r="D81" s="27"/>
      <c r="E81" s="27"/>
      <c r="F81" s="27"/>
      <c r="G81" s="27"/>
      <c r="H81" s="27"/>
    </row>
    <row r="82" spans="3:8" x14ac:dyDescent="0.25">
      <c r="C82" s="27"/>
      <c r="D82" s="27"/>
      <c r="E82" s="27"/>
      <c r="F82" s="27"/>
      <c r="G82" s="27"/>
      <c r="H82" s="27"/>
    </row>
    <row r="83" spans="3:8" x14ac:dyDescent="0.25">
      <c r="C83" s="27"/>
      <c r="D83" s="27"/>
      <c r="E83" s="27"/>
      <c r="F83" s="27"/>
      <c r="G83" s="27"/>
    </row>
    <row r="84" spans="3:8" x14ac:dyDescent="0.25">
      <c r="C84" s="27"/>
      <c r="D84" s="27"/>
      <c r="E84" s="27"/>
      <c r="F84" s="27"/>
      <c r="G84" s="27"/>
    </row>
    <row r="85" spans="3:8" x14ac:dyDescent="0.25">
      <c r="C85" s="27"/>
      <c r="D85" s="27"/>
      <c r="E85" s="27"/>
      <c r="F85" s="27"/>
      <c r="G85" s="27"/>
    </row>
    <row r="86" spans="3:8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6:X21"/>
  <sheetViews>
    <sheetView topLeftCell="H1" zoomScale="80" zoomScaleNormal="80" workbookViewId="0">
      <pane xSplit="3" ySplit="7" topLeftCell="K8" activePane="bottomRight" state="frozen"/>
      <selection pane="topRight"/>
      <selection pane="bottomLeft"/>
      <selection pane="bottomRight" activeCell="N33" sqref="N33"/>
    </sheetView>
  </sheetViews>
  <sheetFormatPr defaultColWidth="9" defaultRowHeight="15" x14ac:dyDescent="0.25"/>
  <cols>
    <col min="1" max="1" width="9" style="42"/>
    <col min="2" max="2" width="12" style="42" customWidth="1"/>
    <col min="3" max="8" width="9" style="42"/>
    <col min="9" max="9" width="4" style="42" customWidth="1"/>
    <col min="10" max="10" width="43.25" style="42" customWidth="1"/>
    <col min="11" max="23" width="12" style="42" customWidth="1"/>
    <col min="24" max="24" width="14.125" style="42"/>
    <col min="25" max="16384" width="9" style="42"/>
  </cols>
  <sheetData>
    <row r="6" spans="2:24" x14ac:dyDescent="0.25">
      <c r="B6" s="43" t="s">
        <v>73</v>
      </c>
      <c r="K6" s="78" t="s">
        <v>73</v>
      </c>
      <c r="L6" s="78" t="s">
        <v>73</v>
      </c>
      <c r="M6" s="78" t="s">
        <v>73</v>
      </c>
      <c r="N6" s="78" t="s">
        <v>73</v>
      </c>
      <c r="O6" s="78" t="s">
        <v>73</v>
      </c>
      <c r="P6" s="78" t="s">
        <v>73</v>
      </c>
      <c r="Q6" s="78" t="s">
        <v>73</v>
      </c>
      <c r="R6" s="78" t="s">
        <v>73</v>
      </c>
      <c r="S6" s="78" t="s">
        <v>73</v>
      </c>
      <c r="T6" s="78" t="s">
        <v>73</v>
      </c>
      <c r="U6" s="78" t="s">
        <v>73</v>
      </c>
      <c r="V6" s="78" t="s">
        <v>73</v>
      </c>
      <c r="W6" s="44"/>
      <c r="X6" s="44"/>
    </row>
    <row r="7" spans="2:24" x14ac:dyDescent="0.25">
      <c r="B7" s="43" t="s">
        <v>74</v>
      </c>
      <c r="C7" s="43"/>
      <c r="D7" s="43"/>
      <c r="E7" s="43"/>
      <c r="F7" s="43"/>
      <c r="G7" s="43"/>
      <c r="H7" s="45"/>
      <c r="K7" s="78" t="s">
        <v>75</v>
      </c>
      <c r="L7" s="78" t="s">
        <v>76</v>
      </c>
      <c r="M7" s="78" t="s">
        <v>77</v>
      </c>
      <c r="N7" s="78" t="s">
        <v>78</v>
      </c>
      <c r="O7" s="78" t="s">
        <v>79</v>
      </c>
      <c r="P7" s="78" t="s">
        <v>80</v>
      </c>
      <c r="Q7" s="78" t="s">
        <v>81</v>
      </c>
      <c r="R7" s="78" t="s">
        <v>82</v>
      </c>
      <c r="S7" s="78" t="s">
        <v>83</v>
      </c>
      <c r="T7" s="78" t="s">
        <v>84</v>
      </c>
      <c r="U7" s="78" t="s">
        <v>85</v>
      </c>
      <c r="V7" s="78" t="s">
        <v>86</v>
      </c>
      <c r="W7" s="44"/>
      <c r="X7" s="44"/>
    </row>
    <row r="8" spans="2:24" x14ac:dyDescent="0.25">
      <c r="I8" s="42">
        <v>1</v>
      </c>
      <c r="J8" s="79" t="s">
        <v>88</v>
      </c>
      <c r="K8" s="46">
        <v>470</v>
      </c>
      <c r="L8" s="46">
        <v>453.18000000000006</v>
      </c>
      <c r="M8" s="46">
        <v>453.28764078941953</v>
      </c>
      <c r="N8" s="46">
        <v>453.39361294055118</v>
      </c>
      <c r="O8" s="46">
        <v>453.49482747058283</v>
      </c>
      <c r="P8" s="46">
        <v>453.60373549224386</v>
      </c>
      <c r="Q8" s="46">
        <v>453.7065133730398</v>
      </c>
      <c r="R8" s="46">
        <v>453.80414629705803</v>
      </c>
      <c r="S8" s="46">
        <v>453.89689208122314</v>
      </c>
      <c r="T8" s="46">
        <v>453.98499559925187</v>
      </c>
      <c r="U8" s="46">
        <v>454.06868943347621</v>
      </c>
      <c r="V8" s="46">
        <v>454.14819449368417</v>
      </c>
      <c r="W8" s="46"/>
      <c r="X8" s="46"/>
    </row>
    <row r="9" spans="2:24" x14ac:dyDescent="0.25">
      <c r="I9" s="42">
        <v>2</v>
      </c>
      <c r="J9" s="79" t="s">
        <v>90</v>
      </c>
      <c r="K9" s="46">
        <v>20212.765957446809</v>
      </c>
      <c r="L9" s="46">
        <v>21733.836444679815</v>
      </c>
      <c r="M9" s="46">
        <v>21761.638808934695</v>
      </c>
      <c r="N9" s="46">
        <v>21789.747722005253</v>
      </c>
      <c r="O9" s="46">
        <v>21818.571720639811</v>
      </c>
      <c r="P9" s="46">
        <v>21848.994231206645</v>
      </c>
      <c r="Q9" s="46">
        <v>21880.296131958461</v>
      </c>
      <c r="R9" s="46">
        <v>21912.149571299669</v>
      </c>
      <c r="S9" s="46">
        <v>21944.834442667998</v>
      </c>
      <c r="T9" s="46">
        <v>21978.795325097646</v>
      </c>
      <c r="U9" s="46">
        <v>22014.201223068561</v>
      </c>
      <c r="V9" s="46">
        <v>22051.302271359171</v>
      </c>
      <c r="W9" s="46"/>
      <c r="X9" s="46"/>
    </row>
    <row r="10" spans="2:24" x14ac:dyDescent="0.25">
      <c r="I10" s="42">
        <v>3</v>
      </c>
      <c r="J10" s="79" t="s">
        <v>92</v>
      </c>
      <c r="K10" s="46">
        <v>9500</v>
      </c>
      <c r="L10" s="46">
        <v>9849.34</v>
      </c>
      <c r="M10" s="46">
        <v>9864.2819154134795</v>
      </c>
      <c r="N10" s="46">
        <v>9879.332444743106</v>
      </c>
      <c r="O10" s="46">
        <v>9894.6094181060853</v>
      </c>
      <c r="P10" s="46">
        <v>9910.7854000238203</v>
      </c>
      <c r="Q10" s="46">
        <v>9927.2328696004734</v>
      </c>
      <c r="R10" s="46">
        <v>9943.8243297370918</v>
      </c>
      <c r="S10" s="46">
        <v>9960.6921507639836</v>
      </c>
      <c r="T10" s="46">
        <v>9978.043298941313</v>
      </c>
      <c r="U10" s="46">
        <v>9995.9594982835697</v>
      </c>
      <c r="V10" s="46">
        <v>10014.559112772242</v>
      </c>
      <c r="W10" s="46"/>
      <c r="X10" s="46"/>
    </row>
    <row r="11" spans="2:24" x14ac:dyDescent="0.25">
      <c r="I11" s="42">
        <v>4</v>
      </c>
      <c r="J11" s="79" t="s">
        <v>94</v>
      </c>
      <c r="K11" s="46">
        <v>9500</v>
      </c>
      <c r="L11" s="46">
        <v>9849.34</v>
      </c>
      <c r="M11" s="46">
        <v>9864.2819154134795</v>
      </c>
      <c r="N11" s="46">
        <v>9879.332444743106</v>
      </c>
      <c r="O11" s="46">
        <v>9894.6094181060853</v>
      </c>
      <c r="P11" s="46">
        <v>9910.7854000238203</v>
      </c>
      <c r="Q11" s="46">
        <v>9927.2328696004734</v>
      </c>
      <c r="R11" s="46">
        <v>9943.8243297370918</v>
      </c>
      <c r="S11" s="46">
        <v>9960.6921507639836</v>
      </c>
      <c r="T11" s="46">
        <v>9978.043298941313</v>
      </c>
      <c r="U11" s="46">
        <v>9995.9594982835697</v>
      </c>
      <c r="V11" s="46">
        <v>10014.559112772242</v>
      </c>
      <c r="W11" s="46"/>
      <c r="X11" s="46"/>
    </row>
    <row r="12" spans="2:24" x14ac:dyDescent="0.25">
      <c r="I12" s="42">
        <v>5</v>
      </c>
      <c r="J12" s="79" t="s">
        <v>98</v>
      </c>
      <c r="K12" s="46">
        <v>9500</v>
      </c>
      <c r="L12" s="46">
        <v>9864.0400000000009</v>
      </c>
      <c r="M12" s="46">
        <v>9864.2819154134795</v>
      </c>
      <c r="N12" s="46">
        <v>9879.332444743106</v>
      </c>
      <c r="O12" s="46">
        <v>9894.6094181060853</v>
      </c>
      <c r="P12" s="46">
        <v>9910.7854000238203</v>
      </c>
      <c r="Q12" s="46">
        <v>9927.2328696004734</v>
      </c>
      <c r="R12" s="46">
        <v>9943.8243297370918</v>
      </c>
      <c r="S12" s="46">
        <v>9960.6921507639836</v>
      </c>
      <c r="T12" s="46">
        <v>9978.043298941313</v>
      </c>
      <c r="U12" s="46">
        <v>9995.9594982835697</v>
      </c>
      <c r="V12" s="46">
        <v>10014.559112772242</v>
      </c>
      <c r="W12" s="46"/>
      <c r="X12" s="46"/>
    </row>
    <row r="13" spans="2:24" x14ac:dyDescent="0.25">
      <c r="I13" s="42">
        <v>6</v>
      </c>
      <c r="J13" s="79" t="s">
        <v>100</v>
      </c>
      <c r="K13" s="46">
        <v>43.186866248189276</v>
      </c>
      <c r="L13" s="46">
        <v>44.785285680729451</v>
      </c>
      <c r="M13" s="46">
        <v>44.719124833840951</v>
      </c>
      <c r="N13" s="46">
        <v>44.677168966701892</v>
      </c>
      <c r="O13" s="46">
        <v>44.651463428579952</v>
      </c>
      <c r="P13" s="46">
        <v>44.637374335139313</v>
      </c>
      <c r="Q13" s="46">
        <v>44.637145725425057</v>
      </c>
      <c r="R13" s="46">
        <v>44.646395235667981</v>
      </c>
      <c r="S13" s="46">
        <v>44.668808598475799</v>
      </c>
      <c r="T13" s="46">
        <v>44.700223966256786</v>
      </c>
      <c r="U13" s="46">
        <v>44.739523166888809</v>
      </c>
      <c r="V13" s="46">
        <v>44.785437718229495</v>
      </c>
      <c r="W13" s="46"/>
      <c r="X13" s="46"/>
    </row>
    <row r="14" spans="2:24" x14ac:dyDescent="0.25">
      <c r="I14" s="42">
        <v>7</v>
      </c>
      <c r="J14" s="79" t="s">
        <v>102</v>
      </c>
      <c r="K14" s="46">
        <v>855.27</v>
      </c>
      <c r="L14" s="46">
        <v>884.79</v>
      </c>
      <c r="M14" s="46">
        <v>885.00015820219437</v>
      </c>
      <c r="N14" s="46">
        <v>885.20705854995856</v>
      </c>
      <c r="O14" s="46">
        <v>885.40467010392535</v>
      </c>
      <c r="P14" s="46">
        <v>885.61730245417357</v>
      </c>
      <c r="Q14" s="46">
        <v>885.81796629889129</v>
      </c>
      <c r="R14" s="46">
        <v>886.00858511446643</v>
      </c>
      <c r="S14" s="46">
        <v>886.18966226343912</v>
      </c>
      <c r="T14" s="46">
        <v>886.36167583799374</v>
      </c>
      <c r="U14" s="46">
        <v>886.52507993257723</v>
      </c>
      <c r="V14" s="46">
        <v>886.68030585212659</v>
      </c>
      <c r="W14" s="46"/>
      <c r="X14" s="46"/>
    </row>
    <row r="15" spans="2:24" x14ac:dyDescent="0.25">
      <c r="I15" s="42">
        <v>8</v>
      </c>
      <c r="J15" s="79" t="s">
        <v>104</v>
      </c>
      <c r="K15" s="46">
        <v>570.17999999999995</v>
      </c>
      <c r="L15" s="46">
        <v>589.86</v>
      </c>
      <c r="M15" s="46">
        <v>590.99837392523864</v>
      </c>
      <c r="N15" s="46">
        <v>590.96128568016684</v>
      </c>
      <c r="O15" s="46">
        <v>591.69871041629926</v>
      </c>
      <c r="P15" s="46">
        <v>592.79563499151868</v>
      </c>
      <c r="Q15" s="46">
        <v>593.90486402614511</v>
      </c>
      <c r="R15" s="46">
        <v>595.04626293130752</v>
      </c>
      <c r="S15" s="46">
        <v>596.24344037397884</v>
      </c>
      <c r="T15" s="46">
        <v>597.49347413430428</v>
      </c>
      <c r="U15" s="46">
        <v>598.79521092285472</v>
      </c>
      <c r="V15" s="46">
        <v>600.14701543283581</v>
      </c>
      <c r="W15" s="46"/>
      <c r="X15" s="46"/>
    </row>
    <row r="16" spans="2:24" x14ac:dyDescent="0.25">
      <c r="I16" s="42">
        <v>9</v>
      </c>
      <c r="J16" s="79" t="s">
        <v>106</v>
      </c>
      <c r="K16" s="46">
        <v>950.3</v>
      </c>
      <c r="L16" s="46">
        <v>983.1</v>
      </c>
      <c r="M16" s="46">
        <v>1008.0839962589824</v>
      </c>
      <c r="N16" s="46">
        <v>1033.4996814358342</v>
      </c>
      <c r="O16" s="46">
        <v>1058.8433721909032</v>
      </c>
      <c r="P16" s="46">
        <v>1084.1608417246914</v>
      </c>
      <c r="Q16" s="46">
        <v>1109.7554974494774</v>
      </c>
      <c r="R16" s="46">
        <v>1135.2002451323845</v>
      </c>
      <c r="S16" s="46">
        <v>1160.6230303625373</v>
      </c>
      <c r="T16" s="46">
        <v>1186.1464699005544</v>
      </c>
      <c r="U16" s="46">
        <v>1211.6351211733056</v>
      </c>
      <c r="V16" s="46">
        <v>1237.0603086428209</v>
      </c>
      <c r="W16" s="46"/>
      <c r="X16" s="46"/>
    </row>
    <row r="17" spans="9:24" x14ac:dyDescent="0.25">
      <c r="I17" s="42">
        <v>10</v>
      </c>
      <c r="J17" s="79" t="s">
        <v>108</v>
      </c>
      <c r="K17" s="46">
        <v>987.33</v>
      </c>
      <c r="L17" s="46">
        <v>1015.43</v>
      </c>
      <c r="M17" s="46">
        <v>1016.9704554181609</v>
      </c>
      <c r="N17" s="46">
        <v>1018.5221085235652</v>
      </c>
      <c r="O17" s="46">
        <v>1020.0971071592068</v>
      </c>
      <c r="P17" s="46">
        <v>1021.7647902038295</v>
      </c>
      <c r="Q17" s="46">
        <v>1023.4604626074832</v>
      </c>
      <c r="R17" s="46">
        <v>1025.170979897631</v>
      </c>
      <c r="S17" s="46">
        <v>1026.9099889586785</v>
      </c>
      <c r="T17" s="46">
        <v>1028.6988272355281</v>
      </c>
      <c r="U17" s="46">
        <v>1030.545920167451</v>
      </c>
      <c r="V17" s="46">
        <v>1032.4634706368461</v>
      </c>
      <c r="W17" s="46"/>
      <c r="X17" s="46"/>
    </row>
    <row r="18" spans="9:24" s="41" customFormat="1" x14ac:dyDescent="0.25">
      <c r="I18" s="41">
        <v>11</v>
      </c>
      <c r="J18" s="80" t="s">
        <v>245</v>
      </c>
      <c r="K18" s="47">
        <v>55</v>
      </c>
      <c r="L18" s="47">
        <v>99.02</v>
      </c>
      <c r="M18" s="47">
        <v>87.360368165112959</v>
      </c>
      <c r="N18" s="47">
        <v>90.951928952999992</v>
      </c>
      <c r="O18" s="47">
        <v>94.754514063694359</v>
      </c>
      <c r="P18" s="47">
        <v>100.18437018922175</v>
      </c>
      <c r="Q18" s="47">
        <v>106.19734692876412</v>
      </c>
      <c r="R18" s="47">
        <v>113.67746197166502</v>
      </c>
      <c r="S18" s="47">
        <v>118.64154206037347</v>
      </c>
      <c r="T18" s="47">
        <v>124.92169868612837</v>
      </c>
      <c r="U18" s="47">
        <v>132.78690077206193</v>
      </c>
      <c r="V18" s="47">
        <v>142.30729384305778</v>
      </c>
      <c r="W18" s="47"/>
      <c r="X18" s="47"/>
    </row>
    <row r="19" spans="9:24" x14ac:dyDescent="0.25">
      <c r="I19" s="42">
        <v>12</v>
      </c>
      <c r="J19" s="79" t="s">
        <v>112</v>
      </c>
      <c r="K19" s="46">
        <v>9445</v>
      </c>
      <c r="L19" s="46">
        <v>9765.02</v>
      </c>
      <c r="M19" s="46">
        <v>9776.9215472483666</v>
      </c>
      <c r="N19" s="46">
        <v>9788.3805157901061</v>
      </c>
      <c r="O19" s="46">
        <v>9799.8549040423914</v>
      </c>
      <c r="P19" s="46">
        <v>9810.6010298345991</v>
      </c>
      <c r="Q19" s="46">
        <v>9821.0355226717093</v>
      </c>
      <c r="R19" s="46">
        <v>9830.1468677654266</v>
      </c>
      <c r="S19" s="46">
        <v>9842.0506087036101</v>
      </c>
      <c r="T19" s="46">
        <v>9853.1216002551846</v>
      </c>
      <c r="U19" s="46">
        <v>9863.1725975115078</v>
      </c>
      <c r="V19" s="46">
        <v>9872.2518189291841</v>
      </c>
      <c r="W19" s="46"/>
      <c r="X19" s="46"/>
    </row>
    <row r="20" spans="9:24" x14ac:dyDescent="0.25">
      <c r="I20" s="42">
        <v>13</v>
      </c>
      <c r="J20" s="79" t="s">
        <v>114</v>
      </c>
      <c r="K20" s="46">
        <v>88.870344938595451</v>
      </c>
      <c r="L20" s="46">
        <v>92.159587679896575</v>
      </c>
      <c r="M20" s="46">
        <v>92.023441258653136</v>
      </c>
      <c r="N20" s="46">
        <v>91.937104075412776</v>
      </c>
      <c r="O20" s="46">
        <v>91.884206974090347</v>
      </c>
      <c r="P20" s="46">
        <v>91.855214303338414</v>
      </c>
      <c r="Q20" s="46">
        <v>91.854743868089741</v>
      </c>
      <c r="R20" s="46">
        <v>91.873777598415955</v>
      </c>
      <c r="S20" s="46">
        <v>91.919900030002395</v>
      </c>
      <c r="T20" s="46">
        <v>91.984546873212196</v>
      </c>
      <c r="U20" s="46">
        <v>92.065417142796178</v>
      </c>
      <c r="V20" s="46">
        <v>92.159900544113086</v>
      </c>
      <c r="W20" s="46"/>
      <c r="X20" s="46"/>
    </row>
    <row r="21" spans="9:24" x14ac:dyDescent="0.25">
      <c r="I21" s="42">
        <v>14</v>
      </c>
      <c r="J21" s="79" t="s">
        <v>116</v>
      </c>
      <c r="K21" s="46">
        <v>6081.92</v>
      </c>
      <c r="L21" s="46">
        <v>6291.84</v>
      </c>
      <c r="M21" s="46">
        <v>6275.8685634437898</v>
      </c>
      <c r="N21" s="46">
        <v>6260.1903816005806</v>
      </c>
      <c r="O21" s="46">
        <v>6243.8110441720564</v>
      </c>
      <c r="P21" s="46">
        <v>6226.2624604603852</v>
      </c>
      <c r="Q21" s="46">
        <v>6208.0967322897077</v>
      </c>
      <c r="R21" s="46">
        <v>6188.7207946896369</v>
      </c>
      <c r="S21" s="46">
        <v>6172.0844867449769</v>
      </c>
      <c r="T21" s="46">
        <v>6154.4211531468027</v>
      </c>
      <c r="U21" s="46">
        <v>6135.671265315319</v>
      </c>
      <c r="V21" s="46">
        <v>6115.9007183645526</v>
      </c>
      <c r="W21" s="46"/>
      <c r="X21" s="46"/>
    </row>
  </sheetData>
  <phoneticPr fontId="1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86"/>
  <sheetViews>
    <sheetView topLeftCell="H1" zoomScale="85" zoomScaleNormal="85" workbookViewId="0">
      <pane xSplit="3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1" width="30.875" style="20" customWidth="1"/>
    <col min="2" max="2" width="15.5" style="25" customWidth="1"/>
    <col min="3" max="3" width="12.875" style="20" customWidth="1"/>
    <col min="4" max="7" width="9" style="20"/>
    <col min="8" max="8" width="6" style="20" customWidth="1"/>
    <col min="9" max="9" width="9" style="20"/>
    <col min="10" max="10" width="40.875" style="20" customWidth="1"/>
    <col min="11" max="24" width="11.625" style="20" customWidth="1"/>
    <col min="25" max="38" width="14.125" style="20" customWidth="1"/>
    <col min="39" max="16384" width="9" style="20"/>
  </cols>
  <sheetData>
    <row r="1" spans="1:27" x14ac:dyDescent="0.25"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7" x14ac:dyDescent="0.25">
      <c r="L2" s="27"/>
      <c r="N2" s="27"/>
      <c r="O2" s="27"/>
      <c r="P2" s="27"/>
      <c r="Q2" s="27"/>
      <c r="R2" s="27"/>
      <c r="S2" s="27"/>
      <c r="T2" s="27"/>
      <c r="U2" s="27"/>
      <c r="V2" s="27"/>
      <c r="W2" s="20" t="e">
        <f>W9/W8</f>
        <v>#DIV/0!</v>
      </c>
    </row>
    <row r="3" spans="1:27" x14ac:dyDescent="0.25">
      <c r="K3" s="27">
        <f t="shared" ref="K3:W3" si="0">K11/15</f>
        <v>137.66666666666666</v>
      </c>
      <c r="L3" s="27">
        <f t="shared" si="0"/>
        <v>139.4</v>
      </c>
      <c r="M3" s="27">
        <f t="shared" si="0"/>
        <v>147.19056856671415</v>
      </c>
      <c r="N3" s="27">
        <f t="shared" si="0"/>
        <v>155.42000960397667</v>
      </c>
      <c r="O3" s="27">
        <f t="shared" si="0"/>
        <v>164.11438995770609</v>
      </c>
      <c r="P3" s="27">
        <f t="shared" si="0"/>
        <v>173.3126821319718</v>
      </c>
      <c r="Q3" s="27">
        <f t="shared" si="0"/>
        <v>183.03352212836887</v>
      </c>
      <c r="R3" s="27">
        <f t="shared" si="0"/>
        <v>189.58584278037014</v>
      </c>
      <c r="S3" s="27">
        <f t="shared" si="0"/>
        <v>196.37893679183369</v>
      </c>
      <c r="T3" s="27">
        <f t="shared" si="0"/>
        <v>203.42599459120348</v>
      </c>
      <c r="U3" s="27">
        <f t="shared" si="0"/>
        <v>210.73848028480654</v>
      </c>
      <c r="V3" s="27">
        <f t="shared" si="0"/>
        <v>218.32927293007069</v>
      </c>
      <c r="W3" s="27">
        <f t="shared" si="0"/>
        <v>0</v>
      </c>
    </row>
    <row r="4" spans="1:27" x14ac:dyDescent="0.25">
      <c r="N4" s="27"/>
    </row>
    <row r="5" spans="1:27" x14ac:dyDescent="0.25">
      <c r="H5" s="27"/>
      <c r="L5" s="22">
        <f>L11/L10</f>
        <v>0.15760672937771347</v>
      </c>
      <c r="M5" s="27"/>
      <c r="N5" s="30">
        <f>N9/N8</f>
        <v>2.0545177051618722</v>
      </c>
      <c r="O5" s="30"/>
      <c r="P5" s="30"/>
      <c r="Q5" s="30"/>
      <c r="R5" s="30"/>
      <c r="S5" s="30">
        <f>S9/S8</f>
        <v>2.1513258007985216</v>
      </c>
      <c r="T5" s="30"/>
      <c r="U5" s="30"/>
      <c r="V5" s="30"/>
      <c r="W5" s="30"/>
      <c r="X5" s="30" t="e">
        <f>X9/X8</f>
        <v>#DIV/0!</v>
      </c>
      <c r="Y5" s="30"/>
      <c r="Z5" s="30"/>
      <c r="AA5" s="30"/>
    </row>
    <row r="6" spans="1:27" x14ac:dyDescent="0.25">
      <c r="B6" s="25" t="s">
        <v>73</v>
      </c>
      <c r="K6" s="75" t="s">
        <v>73</v>
      </c>
      <c r="L6" s="75" t="s">
        <v>73</v>
      </c>
      <c r="M6" s="75" t="s">
        <v>73</v>
      </c>
      <c r="N6" s="75" t="s">
        <v>73</v>
      </c>
      <c r="O6" s="75" t="s">
        <v>73</v>
      </c>
      <c r="P6" s="75" t="s">
        <v>73</v>
      </c>
      <c r="Q6" s="75" t="s">
        <v>73</v>
      </c>
      <c r="R6" s="75" t="s">
        <v>73</v>
      </c>
      <c r="S6" s="75" t="s">
        <v>73</v>
      </c>
      <c r="T6" s="75" t="s">
        <v>73</v>
      </c>
      <c r="U6" s="75" t="s">
        <v>73</v>
      </c>
      <c r="V6" s="75" t="s">
        <v>73</v>
      </c>
      <c r="W6" s="23"/>
      <c r="X6" s="23"/>
    </row>
    <row r="7" spans="1:27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5" t="s">
        <v>76</v>
      </c>
      <c r="M7" s="75" t="s">
        <v>77</v>
      </c>
      <c r="N7" s="75" t="s">
        <v>78</v>
      </c>
      <c r="O7" s="75" t="s">
        <v>79</v>
      </c>
      <c r="P7" s="75" t="s">
        <v>80</v>
      </c>
      <c r="Q7" s="75" t="s">
        <v>81</v>
      </c>
      <c r="R7" s="75" t="s">
        <v>82</v>
      </c>
      <c r="S7" s="75" t="s">
        <v>83</v>
      </c>
      <c r="T7" s="75" t="s">
        <v>84</v>
      </c>
      <c r="U7" s="75" t="s">
        <v>85</v>
      </c>
      <c r="V7" s="75" t="s">
        <v>86</v>
      </c>
      <c r="W7" s="23"/>
      <c r="X7" s="23"/>
    </row>
    <row r="8" spans="1:27" x14ac:dyDescent="0.25">
      <c r="A8" s="20" t="s">
        <v>201</v>
      </c>
      <c r="B8" s="25">
        <f t="shared" ref="B8:B28" si="1">(AD8/K8)^(1/19)*100-100</f>
        <v>-100</v>
      </c>
      <c r="C8" s="40"/>
      <c r="D8" s="27"/>
      <c r="E8" s="27"/>
      <c r="F8" s="27"/>
      <c r="G8" s="27"/>
      <c r="H8" s="27"/>
      <c r="J8" s="77" t="s">
        <v>88</v>
      </c>
      <c r="K8" s="27">
        <v>1033.3330000000001</v>
      </c>
      <c r="L8" s="27">
        <v>1026</v>
      </c>
      <c r="M8" s="27">
        <v>1045.4270743141219</v>
      </c>
      <c r="N8" s="27">
        <v>1065.2318695181093</v>
      </c>
      <c r="O8" s="27">
        <v>1085.4085052300641</v>
      </c>
      <c r="P8" s="27">
        <v>1105.9983390207992</v>
      </c>
      <c r="Q8" s="27">
        <v>1126.978755024119</v>
      </c>
      <c r="R8" s="27">
        <v>1148.358727181419</v>
      </c>
      <c r="S8" s="27">
        <v>1170.1458288607723</v>
      </c>
      <c r="T8" s="27">
        <v>1192.3477769965061</v>
      </c>
      <c r="U8" s="27">
        <v>1214.9724348990389</v>
      </c>
      <c r="V8" s="27">
        <v>1238.0278151099153</v>
      </c>
      <c r="W8" s="27"/>
      <c r="X8" s="27"/>
    </row>
    <row r="9" spans="1:27" x14ac:dyDescent="0.25">
      <c r="A9" s="20" t="s">
        <v>227</v>
      </c>
      <c r="B9" s="25">
        <f t="shared" si="1"/>
        <v>-100</v>
      </c>
      <c r="C9" s="40"/>
      <c r="D9" s="27"/>
      <c r="E9" s="27"/>
      <c r="F9" s="27"/>
      <c r="G9" s="27"/>
      <c r="H9" s="27"/>
      <c r="J9" s="77" t="s">
        <v>90</v>
      </c>
      <c r="K9" s="27">
        <v>1998.3877414154003</v>
      </c>
      <c r="L9" s="27">
        <v>2038.011695906433</v>
      </c>
      <c r="M9" s="27">
        <v>2111.9201738191364</v>
      </c>
      <c r="N9" s="27">
        <v>2188.5377360276366</v>
      </c>
      <c r="O9" s="27">
        <v>2268.0086230241991</v>
      </c>
      <c r="P9" s="27">
        <v>2350.537193646443</v>
      </c>
      <c r="Q9" s="27">
        <v>2436.1620125365748</v>
      </c>
      <c r="R9" s="27">
        <v>2476.3931116589902</v>
      </c>
      <c r="S9" s="27">
        <v>2517.3649123249511</v>
      </c>
      <c r="T9" s="27">
        <v>2559.1442175993529</v>
      </c>
      <c r="U9" s="27">
        <v>2601.7686603192565</v>
      </c>
      <c r="V9" s="27">
        <v>2645.287168818822</v>
      </c>
      <c r="W9" s="27"/>
      <c r="X9" s="27"/>
    </row>
    <row r="10" spans="1:27" x14ac:dyDescent="0.25">
      <c r="A10" s="20" t="s">
        <v>225</v>
      </c>
      <c r="B10" s="25">
        <f t="shared" si="1"/>
        <v>-100</v>
      </c>
      <c r="C10" s="40"/>
      <c r="D10" s="27"/>
      <c r="E10" s="27"/>
      <c r="F10" s="27"/>
      <c r="G10" s="27"/>
      <c r="H10" s="27"/>
      <c r="J10" s="77" t="s">
        <v>92</v>
      </c>
      <c r="K10" s="27">
        <v>12562</v>
      </c>
      <c r="L10" s="27">
        <v>13267.199999999999</v>
      </c>
      <c r="M10" s="27">
        <v>12895.575999555051</v>
      </c>
      <c r="N10" s="27">
        <v>12799.238134855623</v>
      </c>
      <c r="O10" s="27">
        <v>12768.402646023971</v>
      </c>
      <c r="P10" s="27">
        <v>12774.579586788195</v>
      </c>
      <c r="Q10" s="27">
        <v>12795.354378353399</v>
      </c>
      <c r="R10" s="27">
        <v>12818.41633100107</v>
      </c>
      <c r="S10" s="27">
        <v>12851.508163781204</v>
      </c>
      <c r="T10" s="27">
        <v>12891.172779168486</v>
      </c>
      <c r="U10" s="27">
        <v>12935.858032681905</v>
      </c>
      <c r="V10" s="27">
        <v>12984.514612866413</v>
      </c>
      <c r="W10" s="27"/>
      <c r="X10" s="27"/>
    </row>
    <row r="11" spans="1:27" x14ac:dyDescent="0.25">
      <c r="A11" s="20" t="s">
        <v>226</v>
      </c>
      <c r="B11" s="25">
        <f t="shared" si="1"/>
        <v>-100</v>
      </c>
      <c r="C11" s="40"/>
      <c r="D11" s="27"/>
      <c r="E11" s="27"/>
      <c r="F11" s="27"/>
      <c r="G11" s="27"/>
      <c r="H11" s="27"/>
      <c r="J11" s="77" t="s">
        <v>94</v>
      </c>
      <c r="K11" s="27">
        <v>2065</v>
      </c>
      <c r="L11" s="27">
        <v>2091</v>
      </c>
      <c r="M11" s="27">
        <v>2207.8585285007121</v>
      </c>
      <c r="N11" s="27">
        <v>2331.3001440596499</v>
      </c>
      <c r="O11" s="27">
        <v>2461.7158493655916</v>
      </c>
      <c r="P11" s="27">
        <v>2599.6902319795768</v>
      </c>
      <c r="Q11" s="27">
        <v>2745.502831925533</v>
      </c>
      <c r="R11" s="27">
        <v>2843.7876417055522</v>
      </c>
      <c r="S11" s="27">
        <v>2945.6840518775052</v>
      </c>
      <c r="T11" s="27">
        <v>3051.3899188680521</v>
      </c>
      <c r="U11" s="27">
        <v>3161.0772042720982</v>
      </c>
      <c r="V11" s="27">
        <v>3274.9390939510604</v>
      </c>
      <c r="W11" s="27"/>
      <c r="X11" s="27"/>
    </row>
    <row r="12" spans="1:27" x14ac:dyDescent="0.25">
      <c r="A12" s="20" t="s">
        <v>228</v>
      </c>
      <c r="B12" s="25">
        <f t="shared" si="1"/>
        <v>-100</v>
      </c>
      <c r="C12" s="40"/>
      <c r="D12" s="27"/>
      <c r="E12" s="27"/>
      <c r="F12" s="27"/>
      <c r="G12" s="27"/>
      <c r="H12" s="27"/>
      <c r="J12" s="77" t="s">
        <v>96</v>
      </c>
      <c r="K12" s="27">
        <v>10497</v>
      </c>
      <c r="L12" s="27">
        <v>11176.199999999999</v>
      </c>
      <c r="M12" s="27">
        <v>10687.717471054339</v>
      </c>
      <c r="N12" s="27">
        <v>10467.937990795974</v>
      </c>
      <c r="O12" s="27">
        <v>10306.68679665838</v>
      </c>
      <c r="P12" s="27">
        <v>10174.889354808618</v>
      </c>
      <c r="Q12" s="27">
        <v>10049.851546427866</v>
      </c>
      <c r="R12" s="27">
        <v>9974.6286892955177</v>
      </c>
      <c r="S12" s="27">
        <v>9905.8241119036975</v>
      </c>
      <c r="T12" s="27">
        <v>9839.7828603004345</v>
      </c>
      <c r="U12" s="27">
        <v>9774.7808284098064</v>
      </c>
      <c r="V12" s="27">
        <v>9709.5755189153533</v>
      </c>
      <c r="W12" s="27"/>
      <c r="X12" s="27"/>
    </row>
    <row r="13" spans="1:27" x14ac:dyDescent="0.25">
      <c r="A13" s="20" t="s">
        <v>229</v>
      </c>
      <c r="B13" s="25">
        <f t="shared" si="1"/>
        <v>-100</v>
      </c>
      <c r="C13" s="40"/>
      <c r="D13" s="27"/>
      <c r="E13" s="27"/>
      <c r="F13" s="27"/>
      <c r="G13" s="27"/>
      <c r="H13" s="27"/>
      <c r="J13" s="77" t="s">
        <v>98</v>
      </c>
      <c r="K13" s="27">
        <v>12562</v>
      </c>
      <c r="L13" s="27">
        <v>13267.199999999999</v>
      </c>
      <c r="M13" s="27">
        <v>12895.575999555051</v>
      </c>
      <c r="N13" s="27">
        <v>12799.238134855623</v>
      </c>
      <c r="O13" s="27">
        <v>12768.402646023971</v>
      </c>
      <c r="P13" s="27">
        <v>12774.579586788195</v>
      </c>
      <c r="Q13" s="27">
        <v>12795.354378353399</v>
      </c>
      <c r="R13" s="27">
        <v>12818.41633100107</v>
      </c>
      <c r="S13" s="27">
        <v>12851.508163781202</v>
      </c>
      <c r="T13" s="27">
        <v>12891.172779168486</v>
      </c>
      <c r="U13" s="27">
        <v>12935.858032681905</v>
      </c>
      <c r="V13" s="27">
        <v>12984.514612866413</v>
      </c>
      <c r="W13" s="27"/>
      <c r="X13" s="27"/>
    </row>
    <row r="14" spans="1:27" x14ac:dyDescent="0.25">
      <c r="A14" s="20" t="s">
        <v>230</v>
      </c>
      <c r="B14" s="25">
        <f t="shared" si="1"/>
        <v>-100</v>
      </c>
      <c r="C14" s="40"/>
      <c r="D14" s="27"/>
      <c r="E14" s="27"/>
      <c r="F14" s="27"/>
      <c r="G14" s="27"/>
      <c r="H14" s="27"/>
      <c r="J14" s="77" t="s">
        <v>100</v>
      </c>
      <c r="K14" s="27">
        <v>11.893941545715341</v>
      </c>
      <c r="L14" s="27">
        <v>12.100591505384763</v>
      </c>
      <c r="M14" s="27">
        <v>12.163543063292963</v>
      </c>
      <c r="N14" s="27">
        <v>12.231232295550329</v>
      </c>
      <c r="O14" s="27">
        <v>12.299348224059161</v>
      </c>
      <c r="P14" s="27">
        <v>12.36724070797211</v>
      </c>
      <c r="Q14" s="27">
        <v>12.4359143490961</v>
      </c>
      <c r="R14" s="27">
        <v>12.503463031713469</v>
      </c>
      <c r="S14" s="27">
        <v>12.573161181185393</v>
      </c>
      <c r="T14" s="27">
        <v>12.642963058370338</v>
      </c>
      <c r="U14" s="27">
        <v>12.712613703562967</v>
      </c>
      <c r="V14" s="27">
        <v>12.781885119263155</v>
      </c>
      <c r="W14" s="27"/>
      <c r="X14" s="27"/>
    </row>
    <row r="15" spans="1:27" x14ac:dyDescent="0.25">
      <c r="A15" s="20" t="s">
        <v>231</v>
      </c>
      <c r="B15" s="25">
        <f t="shared" si="1"/>
        <v>-100</v>
      </c>
      <c r="C15" s="40"/>
      <c r="D15" s="27"/>
      <c r="E15" s="27"/>
      <c r="F15" s="27"/>
      <c r="G15" s="27"/>
      <c r="H15" s="27"/>
      <c r="J15" s="77" t="s">
        <v>102</v>
      </c>
      <c r="K15" s="27">
        <v>83.699973</v>
      </c>
      <c r="L15" s="27">
        <v>83.105999999999995</v>
      </c>
      <c r="M15" s="27">
        <v>84.679593019443857</v>
      </c>
      <c r="N15" s="27">
        <v>86.28378143096684</v>
      </c>
      <c r="O15" s="27">
        <v>87.918088923635182</v>
      </c>
      <c r="P15" s="27">
        <v>89.58586546068473</v>
      </c>
      <c r="Q15" s="27">
        <v>91.285279156953848</v>
      </c>
      <c r="R15" s="27">
        <v>93.017056901694929</v>
      </c>
      <c r="S15" s="27">
        <v>94.78181213772254</v>
      </c>
      <c r="T15" s="27">
        <v>96.580169936716985</v>
      </c>
      <c r="U15" s="27">
        <v>98.41276722682214</v>
      </c>
      <c r="V15" s="27">
        <v>100.28025302390313</v>
      </c>
      <c r="W15" s="27"/>
      <c r="X15" s="27"/>
    </row>
    <row r="16" spans="1:27" x14ac:dyDescent="0.25">
      <c r="A16" s="20" t="s">
        <v>237</v>
      </c>
      <c r="B16" s="25">
        <f t="shared" si="1"/>
        <v>-100</v>
      </c>
      <c r="C16" s="40"/>
      <c r="D16" s="27"/>
      <c r="E16" s="27"/>
      <c r="F16" s="27"/>
      <c r="G16" s="27"/>
      <c r="H16" s="27"/>
      <c r="J16" s="77" t="s">
        <v>130</v>
      </c>
      <c r="K16" s="27">
        <v>10240</v>
      </c>
      <c r="L16" s="27">
        <v>10650</v>
      </c>
      <c r="M16" s="27">
        <v>10423.10757607533</v>
      </c>
      <c r="N16" s="27">
        <v>10418.995152139289</v>
      </c>
      <c r="O16" s="27">
        <v>10447.838297179367</v>
      </c>
      <c r="P16" s="27">
        <v>10492.532085794348</v>
      </c>
      <c r="Q16" s="27">
        <v>10537.433509895269</v>
      </c>
      <c r="R16" s="27">
        <v>10582.902774406246</v>
      </c>
      <c r="S16" s="27">
        <v>10629.463245094987</v>
      </c>
      <c r="T16" s="27">
        <v>10677.06672055142</v>
      </c>
      <c r="U16" s="27">
        <v>10725.696184794591</v>
      </c>
      <c r="V16" s="27">
        <v>10775.325642619937</v>
      </c>
      <c r="W16" s="27"/>
      <c r="X16" s="27"/>
    </row>
    <row r="17" spans="1:24" x14ac:dyDescent="0.25">
      <c r="A17" s="20" t="s">
        <v>232</v>
      </c>
      <c r="B17" s="25">
        <f t="shared" si="1"/>
        <v>-100</v>
      </c>
      <c r="C17" s="40"/>
      <c r="D17" s="27"/>
      <c r="E17" s="27"/>
      <c r="F17" s="27"/>
      <c r="G17" s="27"/>
      <c r="H17" s="27"/>
      <c r="J17" s="77" t="s">
        <v>108</v>
      </c>
      <c r="K17" s="27">
        <v>125.68</v>
      </c>
      <c r="L17" s="27">
        <v>132.74299999999999</v>
      </c>
      <c r="M17" s="27">
        <v>140.16153259147296</v>
      </c>
      <c r="N17" s="27">
        <v>147.99797944663322</v>
      </c>
      <c r="O17" s="27">
        <v>156.27716259796111</v>
      </c>
      <c r="P17" s="27">
        <v>165.03619343073404</v>
      </c>
      <c r="Q17" s="27">
        <v>174.29281799057614</v>
      </c>
      <c r="R17" s="27">
        <v>180.53223477901486</v>
      </c>
      <c r="S17" s="27">
        <v>187.00092687631545</v>
      </c>
      <c r="T17" s="27">
        <v>193.71145480645708</v>
      </c>
      <c r="U17" s="27">
        <v>200.67473521123438</v>
      </c>
      <c r="V17" s="27">
        <v>207.90303211302992</v>
      </c>
      <c r="W17" s="27"/>
      <c r="X17" s="27"/>
    </row>
    <row r="18" spans="1:24" x14ac:dyDescent="0.25">
      <c r="A18" s="20" t="s">
        <v>233</v>
      </c>
      <c r="B18" s="25">
        <f t="shared" si="1"/>
        <v>-100</v>
      </c>
      <c r="C18" s="40"/>
      <c r="D18" s="27"/>
      <c r="E18" s="27"/>
      <c r="F18" s="27"/>
      <c r="G18" s="27"/>
      <c r="H18" s="27"/>
      <c r="J18" s="77" t="s">
        <v>110</v>
      </c>
      <c r="K18" s="27">
        <v>437.62002699999903</v>
      </c>
      <c r="L18" s="27">
        <v>701.35099999999898</v>
      </c>
      <c r="M18" s="27">
        <v>540.5993134291848</v>
      </c>
      <c r="N18" s="27">
        <v>432.1139807838141</v>
      </c>
      <c r="O18" s="27">
        <v>356.49699502714526</v>
      </c>
      <c r="P18" s="27">
        <v>302.37580138224263</v>
      </c>
      <c r="Q18" s="27">
        <v>262.76624980639474</v>
      </c>
      <c r="R18" s="27">
        <v>228.77973206342611</v>
      </c>
      <c r="S18" s="27">
        <v>202.97355455342853</v>
      </c>
      <c r="T18" s="27">
        <v>183.10460334540917</v>
      </c>
      <c r="U18" s="27">
        <v>167.64005990612466</v>
      </c>
      <c r="V18" s="27">
        <v>155.51106976641157</v>
      </c>
      <c r="W18" s="27"/>
      <c r="X18" s="27"/>
    </row>
    <row r="19" spans="1:24" x14ac:dyDescent="0.25">
      <c r="A19" s="20" t="s">
        <v>234</v>
      </c>
      <c r="B19" s="25">
        <f t="shared" si="1"/>
        <v>-100</v>
      </c>
      <c r="C19" s="40"/>
      <c r="D19" s="27"/>
      <c r="E19" s="27"/>
      <c r="F19" s="27"/>
      <c r="G19" s="27"/>
      <c r="H19" s="27"/>
      <c r="J19" s="77" t="s">
        <v>112</v>
      </c>
      <c r="K19" s="27">
        <v>12124.379973000001</v>
      </c>
      <c r="L19" s="27">
        <v>12565.849</v>
      </c>
      <c r="M19" s="27">
        <v>12354.976686125865</v>
      </c>
      <c r="N19" s="27">
        <v>12367.124154071809</v>
      </c>
      <c r="O19" s="27">
        <v>12411.905650996825</v>
      </c>
      <c r="P19" s="27">
        <v>12472.203785405953</v>
      </c>
      <c r="Q19" s="27">
        <v>12532.588128547004</v>
      </c>
      <c r="R19" s="27">
        <v>12589.636598937645</v>
      </c>
      <c r="S19" s="27">
        <v>12648.534609227774</v>
      </c>
      <c r="T19" s="27">
        <v>12708.068175823077</v>
      </c>
      <c r="U19" s="27">
        <v>12768.217972775779</v>
      </c>
      <c r="V19" s="27">
        <v>12829.003543100001</v>
      </c>
      <c r="W19" s="27"/>
      <c r="X19" s="27"/>
    </row>
    <row r="20" spans="1:24" x14ac:dyDescent="0.25">
      <c r="A20" s="20" t="s">
        <v>235</v>
      </c>
      <c r="B20" s="25">
        <f t="shared" si="1"/>
        <v>-100</v>
      </c>
      <c r="C20" s="40"/>
      <c r="D20" s="27"/>
      <c r="E20" s="27"/>
      <c r="F20" s="27"/>
      <c r="G20" s="27"/>
      <c r="H20" s="27"/>
      <c r="J20" s="77" t="s">
        <v>114</v>
      </c>
      <c r="K20" s="27">
        <v>137.82846334682279</v>
      </c>
      <c r="L20" s="27">
        <v>140.22314859749812</v>
      </c>
      <c r="M20" s="27">
        <v>140.95263902406754</v>
      </c>
      <c r="N20" s="27">
        <v>141.73703020602355</v>
      </c>
      <c r="O20" s="27">
        <v>142.52636599683174</v>
      </c>
      <c r="P20" s="27">
        <v>143.31311248407104</v>
      </c>
      <c r="Q20" s="27">
        <v>144.10891111753247</v>
      </c>
      <c r="R20" s="27">
        <v>144.89167359290451</v>
      </c>
      <c r="S20" s="27">
        <v>145.69934435561251</v>
      </c>
      <c r="T20" s="27">
        <v>146.50821712786777</v>
      </c>
      <c r="U20" s="27">
        <v>147.31533740512126</v>
      </c>
      <c r="V20" s="27">
        <v>148.11806312418747</v>
      </c>
      <c r="W20" s="27"/>
      <c r="X20" s="27"/>
    </row>
    <row r="21" spans="1:24" x14ac:dyDescent="0.25">
      <c r="A21" s="20" t="s">
        <v>236</v>
      </c>
      <c r="B21" s="25">
        <f t="shared" si="1"/>
        <v>-100</v>
      </c>
      <c r="C21" s="40"/>
      <c r="D21" s="27"/>
      <c r="E21" s="27"/>
      <c r="F21" s="27"/>
      <c r="G21" s="27"/>
      <c r="H21" s="27"/>
      <c r="J21" s="77" t="s">
        <v>116</v>
      </c>
      <c r="K21" s="27">
        <v>1675</v>
      </c>
      <c r="L21" s="27">
        <v>1700</v>
      </c>
      <c r="M21" s="27">
        <v>1707.0279844396155</v>
      </c>
      <c r="N21" s="27">
        <v>1713.8472410549207</v>
      </c>
      <c r="O21" s="27">
        <v>1719.8721022958609</v>
      </c>
      <c r="P21" s="27">
        <v>1725.0496407201802</v>
      </c>
      <c r="Q21" s="27">
        <v>1729.5765215042322</v>
      </c>
      <c r="R21" s="27">
        <v>1733.1845328506854</v>
      </c>
      <c r="S21" s="27">
        <v>1737.2886251187474</v>
      </c>
      <c r="T21" s="27">
        <v>1740.709830528481</v>
      </c>
      <c r="U21" s="27">
        <v>1743.4342855431289</v>
      </c>
      <c r="V21" s="27">
        <v>1745.4946153431304</v>
      </c>
      <c r="W21" s="27"/>
      <c r="X21" s="27"/>
    </row>
    <row r="22" spans="1:24" x14ac:dyDescent="0.25">
      <c r="A22" s="20" t="s">
        <v>238</v>
      </c>
      <c r="B22" s="25">
        <f t="shared" si="1"/>
        <v>-100</v>
      </c>
      <c r="C22" s="40"/>
      <c r="D22" s="27"/>
      <c r="E22" s="27"/>
      <c r="F22" s="27"/>
      <c r="G22" s="27"/>
      <c r="H22" s="27"/>
      <c r="J22" s="77" t="s">
        <v>118</v>
      </c>
      <c r="K22" s="27">
        <v>560.81393994995869</v>
      </c>
      <c r="L22" s="27">
        <v>690.20090140224193</v>
      </c>
      <c r="M22" s="27">
        <v>591.368398609976</v>
      </c>
      <c r="N22" s="27">
        <v>550.5140604584451</v>
      </c>
      <c r="O22" s="27">
        <v>523.67204139318426</v>
      </c>
      <c r="P22" s="27">
        <v>504.43187140438289</v>
      </c>
      <c r="Q22" s="27">
        <v>488.30043941954074</v>
      </c>
      <c r="R22" s="27">
        <v>482.29561973829624</v>
      </c>
      <c r="S22" s="27">
        <v>477.92119582205981</v>
      </c>
      <c r="T22" s="27">
        <v>474.53340916926498</v>
      </c>
      <c r="U22" s="27">
        <v>471.83268663831058</v>
      </c>
      <c r="V22" s="27">
        <v>469.61437182753866</v>
      </c>
      <c r="W22" s="27"/>
      <c r="X22" s="27"/>
    </row>
    <row r="23" spans="1:24" x14ac:dyDescent="0.25">
      <c r="A23" s="20" t="s">
        <v>239</v>
      </c>
      <c r="B23" s="25" t="e">
        <f t="shared" si="1"/>
        <v>#DIV/0!</v>
      </c>
      <c r="C23" s="40"/>
      <c r="D23" s="27"/>
      <c r="E23" s="27"/>
      <c r="F23" s="27"/>
      <c r="G23" s="27"/>
    </row>
    <row r="24" spans="1:24" x14ac:dyDescent="0.25">
      <c r="A24" s="20" t="s">
        <v>240</v>
      </c>
      <c r="B24" s="25" t="e">
        <f t="shared" si="1"/>
        <v>#DIV/0!</v>
      </c>
      <c r="C24" s="40"/>
      <c r="D24" s="27"/>
      <c r="E24" s="27"/>
      <c r="F24" s="27"/>
      <c r="G24" s="27"/>
    </row>
    <row r="25" spans="1:24" x14ac:dyDescent="0.25">
      <c r="A25" s="20" t="s">
        <v>241</v>
      </c>
      <c r="B25" s="25" t="e">
        <f t="shared" si="1"/>
        <v>#DIV/0!</v>
      </c>
      <c r="C25" s="40"/>
      <c r="D25" s="27"/>
      <c r="E25" s="27"/>
      <c r="F25" s="27"/>
      <c r="G25" s="27"/>
    </row>
    <row r="26" spans="1:24" x14ac:dyDescent="0.25">
      <c r="A26" s="20" t="s">
        <v>242</v>
      </c>
      <c r="B26" s="25" t="e">
        <f t="shared" si="1"/>
        <v>#DIV/0!</v>
      </c>
      <c r="C26" s="40"/>
      <c r="D26" s="27"/>
      <c r="E26" s="27"/>
      <c r="F26" s="27"/>
      <c r="G26" s="27"/>
    </row>
    <row r="27" spans="1:24" x14ac:dyDescent="0.25">
      <c r="A27" s="20" t="s">
        <v>243</v>
      </c>
      <c r="B27" s="25" t="e">
        <f t="shared" si="1"/>
        <v>#DIV/0!</v>
      </c>
      <c r="C27" s="40"/>
      <c r="D27" s="27"/>
      <c r="E27" s="27"/>
      <c r="F27" s="27"/>
      <c r="G27" s="27"/>
      <c r="H27" s="27"/>
    </row>
    <row r="28" spans="1:24" x14ac:dyDescent="0.25">
      <c r="A28" s="20" t="s">
        <v>244</v>
      </c>
      <c r="B28" s="25" t="e">
        <f t="shared" si="1"/>
        <v>#DIV/0!</v>
      </c>
      <c r="C28" s="40"/>
      <c r="D28" s="27"/>
      <c r="E28" s="27"/>
      <c r="F28" s="27"/>
      <c r="G28" s="27"/>
    </row>
    <row r="29" spans="1:24" x14ac:dyDescent="0.25">
      <c r="C29" s="40"/>
      <c r="D29" s="27"/>
      <c r="E29" s="27"/>
      <c r="F29" s="27"/>
      <c r="G29" s="27"/>
      <c r="H29" s="27"/>
    </row>
    <row r="30" spans="1:24" x14ac:dyDescent="0.25">
      <c r="C30" s="40"/>
      <c r="D30" s="27"/>
      <c r="E30" s="27"/>
      <c r="F30" s="27"/>
      <c r="G30" s="27"/>
      <c r="H30" s="27"/>
    </row>
    <row r="31" spans="1:24" x14ac:dyDescent="0.25">
      <c r="C31" s="40"/>
      <c r="D31" s="27"/>
      <c r="E31" s="27"/>
      <c r="F31" s="27"/>
      <c r="G31" s="27"/>
      <c r="H31" s="27"/>
    </row>
    <row r="32" spans="1:24" x14ac:dyDescent="0.25">
      <c r="C32" s="40"/>
      <c r="D32" s="27"/>
      <c r="E32" s="27"/>
      <c r="F32" s="27"/>
      <c r="G32" s="27"/>
      <c r="H32" s="27"/>
    </row>
    <row r="33" spans="3:8" x14ac:dyDescent="0.25">
      <c r="C33" s="40"/>
      <c r="D33" s="27"/>
      <c r="E33" s="27"/>
      <c r="F33" s="27"/>
      <c r="G33" s="27"/>
      <c r="H33" s="27"/>
    </row>
    <row r="34" spans="3:8" x14ac:dyDescent="0.25">
      <c r="C34" s="40"/>
      <c r="D34" s="27"/>
      <c r="E34" s="27"/>
      <c r="F34" s="27"/>
      <c r="G34" s="27"/>
      <c r="H34" s="27"/>
    </row>
    <row r="35" spans="3:8" x14ac:dyDescent="0.25">
      <c r="C35" s="40"/>
      <c r="D35" s="27"/>
      <c r="E35" s="27"/>
      <c r="F35" s="27"/>
      <c r="G35" s="27"/>
      <c r="H35" s="27"/>
    </row>
    <row r="36" spans="3:8" x14ac:dyDescent="0.25">
      <c r="C36" s="27"/>
      <c r="D36" s="27"/>
      <c r="E36" s="27"/>
      <c r="F36" s="27"/>
      <c r="G36" s="27"/>
      <c r="H36" s="27"/>
    </row>
    <row r="37" spans="3:8" x14ac:dyDescent="0.25">
      <c r="C37" s="27"/>
      <c r="D37" s="27"/>
      <c r="E37" s="27"/>
      <c r="F37" s="27"/>
      <c r="G37" s="27"/>
      <c r="H37" s="27"/>
    </row>
    <row r="38" spans="3:8" x14ac:dyDescent="0.25">
      <c r="C38" s="27"/>
      <c r="D38" s="27"/>
      <c r="E38" s="27"/>
      <c r="F38" s="27"/>
      <c r="G38" s="27"/>
      <c r="H38" s="27"/>
    </row>
    <row r="39" spans="3:8" x14ac:dyDescent="0.25">
      <c r="C39" s="27"/>
      <c r="D39" s="27"/>
      <c r="E39" s="27"/>
      <c r="F39" s="27"/>
      <c r="G39" s="27"/>
      <c r="H39" s="27"/>
    </row>
    <row r="40" spans="3:8" x14ac:dyDescent="0.25">
      <c r="C40" s="27"/>
      <c r="D40" s="27"/>
      <c r="E40" s="27"/>
      <c r="F40" s="27"/>
      <c r="G40" s="27"/>
      <c r="H40" s="27"/>
    </row>
    <row r="41" spans="3:8" x14ac:dyDescent="0.25">
      <c r="C41" s="27"/>
      <c r="D41" s="27"/>
      <c r="E41" s="27"/>
      <c r="F41" s="27"/>
      <c r="G41" s="27"/>
      <c r="H41" s="27"/>
    </row>
    <row r="42" spans="3:8" x14ac:dyDescent="0.25">
      <c r="C42" s="27"/>
      <c r="D42" s="27"/>
      <c r="E42" s="27"/>
      <c r="F42" s="27"/>
      <c r="G42" s="27"/>
      <c r="H42" s="27"/>
    </row>
    <row r="43" spans="3:8" x14ac:dyDescent="0.25">
      <c r="C43" s="27"/>
      <c r="D43" s="27"/>
      <c r="E43" s="27"/>
      <c r="F43" s="27"/>
      <c r="G43" s="27"/>
    </row>
    <row r="44" spans="3:8" x14ac:dyDescent="0.25">
      <c r="C44" s="27"/>
      <c r="D44" s="27"/>
      <c r="E44" s="27"/>
      <c r="F44" s="27"/>
      <c r="G44" s="27"/>
    </row>
    <row r="45" spans="3:8" x14ac:dyDescent="0.25">
      <c r="C45" s="27"/>
      <c r="D45" s="27"/>
      <c r="E45" s="27"/>
      <c r="F45" s="27"/>
      <c r="G45" s="27"/>
    </row>
    <row r="46" spans="3:8" x14ac:dyDescent="0.25">
      <c r="C46" s="27"/>
      <c r="D46" s="27"/>
      <c r="E46" s="27"/>
      <c r="F46" s="27"/>
      <c r="G46" s="27"/>
    </row>
    <row r="47" spans="3:8" x14ac:dyDescent="0.25">
      <c r="H47" s="27"/>
    </row>
    <row r="49" spans="3:8" x14ac:dyDescent="0.25">
      <c r="H49" s="27"/>
    </row>
    <row r="50" spans="3:8" x14ac:dyDescent="0.25">
      <c r="H50" s="27"/>
    </row>
    <row r="51" spans="3:8" x14ac:dyDescent="0.25">
      <c r="C51" s="27"/>
      <c r="D51" s="27"/>
      <c r="E51" s="27"/>
      <c r="F51" s="27"/>
      <c r="G51" s="27"/>
      <c r="H51" s="27"/>
    </row>
    <row r="52" spans="3:8" x14ac:dyDescent="0.25">
      <c r="H52" s="27"/>
    </row>
    <row r="53" spans="3:8" x14ac:dyDescent="0.25">
      <c r="C53" s="27"/>
      <c r="D53" s="27"/>
      <c r="E53" s="27"/>
      <c r="F53" s="27"/>
      <c r="G53" s="27"/>
      <c r="H53" s="27"/>
    </row>
    <row r="54" spans="3:8" x14ac:dyDescent="0.25">
      <c r="C54" s="27"/>
      <c r="D54" s="27"/>
      <c r="E54" s="27"/>
      <c r="F54" s="27"/>
      <c r="G54" s="27"/>
      <c r="H54" s="27"/>
    </row>
    <row r="55" spans="3:8" x14ac:dyDescent="0.25">
      <c r="C55" s="27"/>
      <c r="D55" s="27"/>
      <c r="E55" s="27"/>
      <c r="F55" s="27"/>
      <c r="G55" s="27"/>
      <c r="H55" s="27"/>
    </row>
    <row r="56" spans="3:8" x14ac:dyDescent="0.25">
      <c r="C56" s="27"/>
      <c r="D56" s="27"/>
      <c r="E56" s="27"/>
      <c r="F56" s="27"/>
      <c r="G56" s="27"/>
      <c r="H56" s="27"/>
    </row>
    <row r="57" spans="3:8" x14ac:dyDescent="0.25">
      <c r="C57" s="27"/>
      <c r="D57" s="27"/>
      <c r="E57" s="27"/>
      <c r="F57" s="27"/>
      <c r="G57" s="27"/>
      <c r="H57" s="27"/>
    </row>
    <row r="58" spans="3:8" x14ac:dyDescent="0.25">
      <c r="C58" s="27"/>
      <c r="D58" s="27"/>
      <c r="E58" s="27"/>
      <c r="F58" s="27"/>
      <c r="G58" s="27"/>
      <c r="H58" s="27"/>
    </row>
    <row r="59" spans="3:8" x14ac:dyDescent="0.25">
      <c r="C59" s="27"/>
      <c r="D59" s="27"/>
      <c r="E59" s="27"/>
      <c r="F59" s="27"/>
      <c r="G59" s="27"/>
      <c r="H59" s="27"/>
    </row>
    <row r="60" spans="3:8" x14ac:dyDescent="0.25">
      <c r="C60" s="27"/>
      <c r="D60" s="27"/>
      <c r="E60" s="27"/>
      <c r="F60" s="27"/>
      <c r="G60" s="27"/>
      <c r="H60" s="27"/>
    </row>
    <row r="61" spans="3:8" x14ac:dyDescent="0.25">
      <c r="C61" s="27"/>
      <c r="D61" s="27"/>
      <c r="E61" s="27"/>
      <c r="F61" s="27"/>
      <c r="G61" s="27"/>
      <c r="H61" s="27"/>
    </row>
    <row r="62" spans="3:8" x14ac:dyDescent="0.25">
      <c r="C62" s="27"/>
      <c r="D62" s="27"/>
      <c r="E62" s="27"/>
      <c r="F62" s="27"/>
      <c r="G62" s="27"/>
      <c r="H62" s="27"/>
    </row>
    <row r="63" spans="3:8" x14ac:dyDescent="0.25">
      <c r="C63" s="27"/>
      <c r="D63" s="27"/>
      <c r="E63" s="27"/>
      <c r="F63" s="27"/>
      <c r="G63" s="27"/>
    </row>
    <row r="64" spans="3:8" x14ac:dyDescent="0.25">
      <c r="C64" s="27"/>
      <c r="D64" s="27"/>
      <c r="E64" s="27"/>
      <c r="F64" s="27"/>
      <c r="G64" s="27"/>
    </row>
    <row r="65" spans="3:8" x14ac:dyDescent="0.25">
      <c r="C65" s="27"/>
      <c r="D65" s="27"/>
      <c r="E65" s="27"/>
      <c r="F65" s="27"/>
      <c r="G65" s="27"/>
    </row>
    <row r="66" spans="3:8" x14ac:dyDescent="0.25">
      <c r="C66" s="27"/>
      <c r="D66" s="27"/>
      <c r="E66" s="27"/>
      <c r="F66" s="27"/>
      <c r="G66" s="27"/>
    </row>
    <row r="67" spans="3:8" x14ac:dyDescent="0.25">
      <c r="H67" s="27"/>
    </row>
    <row r="69" spans="3:8" x14ac:dyDescent="0.25">
      <c r="H69" s="27"/>
    </row>
    <row r="70" spans="3:8" x14ac:dyDescent="0.25">
      <c r="H70" s="27"/>
    </row>
    <row r="71" spans="3:8" x14ac:dyDescent="0.25">
      <c r="C71" s="27"/>
      <c r="D71" s="27"/>
      <c r="E71" s="27"/>
      <c r="F71" s="27"/>
      <c r="G71" s="27"/>
      <c r="H71" s="27"/>
    </row>
    <row r="72" spans="3:8" x14ac:dyDescent="0.25">
      <c r="H72" s="27"/>
    </row>
    <row r="73" spans="3:8" x14ac:dyDescent="0.25">
      <c r="C73" s="27"/>
      <c r="D73" s="27"/>
      <c r="E73" s="27"/>
      <c r="F73" s="27"/>
      <c r="G73" s="27"/>
      <c r="H73" s="27"/>
    </row>
    <row r="74" spans="3:8" x14ac:dyDescent="0.25">
      <c r="C74" s="27"/>
      <c r="D74" s="27"/>
      <c r="E74" s="27"/>
      <c r="F74" s="27"/>
      <c r="G74" s="27"/>
      <c r="H74" s="27"/>
    </row>
    <row r="75" spans="3:8" x14ac:dyDescent="0.25">
      <c r="C75" s="27"/>
      <c r="D75" s="27"/>
      <c r="E75" s="27"/>
      <c r="F75" s="27"/>
      <c r="G75" s="27"/>
      <c r="H75" s="27"/>
    </row>
    <row r="76" spans="3:8" x14ac:dyDescent="0.25">
      <c r="C76" s="27"/>
      <c r="D76" s="27"/>
      <c r="E76" s="27"/>
      <c r="F76" s="27"/>
      <c r="G76" s="27"/>
      <c r="H76" s="27"/>
    </row>
    <row r="77" spans="3:8" x14ac:dyDescent="0.25">
      <c r="C77" s="27"/>
      <c r="D77" s="27"/>
      <c r="E77" s="27"/>
      <c r="F77" s="27"/>
      <c r="G77" s="27"/>
      <c r="H77" s="27"/>
    </row>
    <row r="78" spans="3:8" x14ac:dyDescent="0.25">
      <c r="C78" s="27"/>
      <c r="D78" s="27"/>
      <c r="E78" s="27"/>
      <c r="F78" s="27"/>
      <c r="G78" s="27"/>
      <c r="H78" s="27"/>
    </row>
    <row r="79" spans="3:8" x14ac:dyDescent="0.25">
      <c r="C79" s="27"/>
      <c r="D79" s="27"/>
      <c r="E79" s="27"/>
      <c r="F79" s="27"/>
      <c r="G79" s="27"/>
      <c r="H79" s="27"/>
    </row>
    <row r="80" spans="3:8" x14ac:dyDescent="0.25">
      <c r="C80" s="27"/>
      <c r="D80" s="27"/>
      <c r="E80" s="27"/>
      <c r="F80" s="27"/>
      <c r="G80" s="27"/>
      <c r="H80" s="27"/>
    </row>
    <row r="81" spans="3:8" x14ac:dyDescent="0.25">
      <c r="C81" s="27"/>
      <c r="D81" s="27"/>
      <c r="E81" s="27"/>
      <c r="F81" s="27"/>
      <c r="G81" s="27"/>
      <c r="H81" s="27"/>
    </row>
    <row r="82" spans="3:8" x14ac:dyDescent="0.25">
      <c r="C82" s="27"/>
      <c r="D82" s="27"/>
      <c r="E82" s="27"/>
      <c r="F82" s="27"/>
      <c r="G82" s="27"/>
      <c r="H82" s="27"/>
    </row>
    <row r="83" spans="3:8" x14ac:dyDescent="0.25">
      <c r="C83" s="27"/>
      <c r="D83" s="27"/>
      <c r="E83" s="27"/>
      <c r="F83" s="27"/>
      <c r="G83" s="27"/>
    </row>
    <row r="84" spans="3:8" x14ac:dyDescent="0.25">
      <c r="C84" s="27"/>
      <c r="D84" s="27"/>
      <c r="E84" s="27"/>
      <c r="F84" s="27"/>
      <c r="G84" s="27"/>
    </row>
    <row r="85" spans="3:8" x14ac:dyDescent="0.25">
      <c r="C85" s="27"/>
      <c r="D85" s="27"/>
      <c r="E85" s="27"/>
      <c r="F85" s="27"/>
      <c r="G85" s="27"/>
    </row>
    <row r="86" spans="3:8" x14ac:dyDescent="0.25">
      <c r="C86" s="27"/>
      <c r="D86" s="27"/>
      <c r="E86" s="27"/>
      <c r="F86" s="27"/>
      <c r="G86" s="27"/>
    </row>
  </sheetData>
  <phoneticPr fontId="14" type="noConversion"/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6:X17"/>
  <sheetViews>
    <sheetView topLeftCell="I1" zoomScale="85" zoomScaleNormal="85" workbookViewId="0">
      <pane xSplit="2" ySplit="7" topLeftCell="K8" activePane="bottomRight" state="frozen"/>
      <selection pane="topRight"/>
      <selection pane="bottomLeft"/>
      <selection pane="bottomRight" activeCell="M21" sqref="M21"/>
    </sheetView>
  </sheetViews>
  <sheetFormatPr defaultColWidth="9" defaultRowHeight="15" x14ac:dyDescent="0.25"/>
  <cols>
    <col min="1" max="9" width="9" style="20"/>
    <col min="10" max="10" width="21" style="20" customWidth="1"/>
    <col min="11" max="12" width="14.125" style="20"/>
    <col min="13" max="24" width="15.375" style="20"/>
    <col min="25" max="25" width="12.875" style="20"/>
    <col min="26" max="16384" width="9" style="20"/>
  </cols>
  <sheetData>
    <row r="6" spans="2:24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4" x14ac:dyDescent="0.25">
      <c r="J8" s="77" t="s">
        <v>92</v>
      </c>
      <c r="K8" s="27">
        <v>1817</v>
      </c>
      <c r="L8" s="27">
        <v>1871</v>
      </c>
      <c r="M8" s="27">
        <v>1876.9204906071091</v>
      </c>
      <c r="N8" s="27">
        <v>1883.3666065178425</v>
      </c>
      <c r="O8" s="27">
        <v>1889.0786918190113</v>
      </c>
      <c r="P8" s="27">
        <v>1893.9641531065843</v>
      </c>
      <c r="Q8" s="27">
        <v>1898.2203465284217</v>
      </c>
      <c r="R8" s="27">
        <v>1901.6317975968316</v>
      </c>
      <c r="S8" s="27">
        <v>1905.6286147560872</v>
      </c>
      <c r="T8" s="27">
        <v>1908.9666403837855</v>
      </c>
      <c r="U8" s="27">
        <v>1911.6465424425649</v>
      </c>
      <c r="V8" s="27">
        <v>1913.6889319340803</v>
      </c>
      <c r="W8" s="27"/>
      <c r="X8" s="27"/>
    </row>
    <row r="9" spans="2:24" x14ac:dyDescent="0.25">
      <c r="J9" s="77" t="s">
        <v>94</v>
      </c>
      <c r="K9" s="27">
        <v>1790</v>
      </c>
      <c r="L9" s="27">
        <v>1871</v>
      </c>
      <c r="M9" s="27">
        <v>1876.9204906071091</v>
      </c>
      <c r="N9" s="27">
        <v>1883.3666065178425</v>
      </c>
      <c r="O9" s="27">
        <v>1889.0786918190113</v>
      </c>
      <c r="P9" s="27">
        <v>1893.9641531065843</v>
      </c>
      <c r="Q9" s="27">
        <v>1898.2203465284217</v>
      </c>
      <c r="R9" s="27">
        <v>1901.6317975968316</v>
      </c>
      <c r="S9" s="27">
        <v>1905.6286147560872</v>
      </c>
      <c r="T9" s="27">
        <v>1908.9666403837855</v>
      </c>
      <c r="U9" s="27">
        <v>1911.6465424425649</v>
      </c>
      <c r="V9" s="27">
        <v>1913.6889319340803</v>
      </c>
      <c r="W9" s="27"/>
      <c r="X9" s="27"/>
    </row>
    <row r="10" spans="2:24" x14ac:dyDescent="0.25">
      <c r="J10" s="77" t="s">
        <v>96</v>
      </c>
      <c r="K10" s="27">
        <v>27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2:24" x14ac:dyDescent="0.25">
      <c r="J11" s="77" t="s">
        <v>98</v>
      </c>
      <c r="K11" s="27">
        <v>1817.0000000000002</v>
      </c>
      <c r="L11" s="27">
        <v>1870.9999999999998</v>
      </c>
      <c r="M11" s="27">
        <v>1876.9204906071091</v>
      </c>
      <c r="N11" s="27">
        <v>1883.3666065178425</v>
      </c>
      <c r="O11" s="27">
        <v>1889.0786918190113</v>
      </c>
      <c r="P11" s="27">
        <v>1893.9641531065843</v>
      </c>
      <c r="Q11" s="27">
        <v>1898.2203465284217</v>
      </c>
      <c r="R11" s="27">
        <v>1901.6317975968316</v>
      </c>
      <c r="S11" s="27">
        <v>1905.6286147560872</v>
      </c>
      <c r="T11" s="27">
        <v>1908.9666403837855</v>
      </c>
      <c r="U11" s="27">
        <v>1911.6465424425649</v>
      </c>
      <c r="V11" s="27">
        <v>1913.6889319340803</v>
      </c>
      <c r="W11" s="27"/>
      <c r="X11" s="27"/>
    </row>
    <row r="12" spans="2:24" x14ac:dyDescent="0.25">
      <c r="J12" s="77" t="s">
        <v>100</v>
      </c>
      <c r="K12" s="27">
        <v>12.767347402505184</v>
      </c>
      <c r="L12" s="27">
        <v>13.159322082155898</v>
      </c>
      <c r="M12" s="27">
        <v>13.220425087178532</v>
      </c>
      <c r="N12" s="27">
        <v>13.287104145507277</v>
      </c>
      <c r="O12" s="27">
        <v>13.355144072328198</v>
      </c>
      <c r="P12" s="27">
        <v>13.423584252335669</v>
      </c>
      <c r="Q12" s="27">
        <v>13.493397188539401</v>
      </c>
      <c r="R12" s="27">
        <v>13.563058484560061</v>
      </c>
      <c r="S12" s="27">
        <v>13.635369676417467</v>
      </c>
      <c r="T12" s="27">
        <v>13.708365163664224</v>
      </c>
      <c r="U12" s="27">
        <v>13.781886219332277</v>
      </c>
      <c r="V12" s="27">
        <v>13.855583745361507</v>
      </c>
      <c r="W12" s="27"/>
      <c r="X12" s="27"/>
    </row>
    <row r="13" spans="2:24" x14ac:dyDescent="0.25">
      <c r="J13" s="77" t="s">
        <v>110</v>
      </c>
      <c r="K13" s="27">
        <v>19.000000000000199</v>
      </c>
      <c r="L13" s="27">
        <v>0.68999999999994799</v>
      </c>
      <c r="M13" s="27">
        <v>0.69218339846007892</v>
      </c>
      <c r="N13" s="27">
        <v>0.69456064056505251</v>
      </c>
      <c r="O13" s="27">
        <v>0.69666718191075339</v>
      </c>
      <c r="P13" s="27">
        <v>0.69846887527709489</v>
      </c>
      <c r="Q13" s="27">
        <v>0.70003850299546366</v>
      </c>
      <c r="R13" s="27">
        <v>0.70129660093090052</v>
      </c>
      <c r="S13" s="27">
        <v>0.70277057412164678</v>
      </c>
      <c r="T13" s="27">
        <v>0.70400159372779958</v>
      </c>
      <c r="U13" s="27">
        <v>0.70498990608512579</v>
      </c>
      <c r="V13" s="27">
        <v>0.70574311225783848</v>
      </c>
      <c r="W13" s="27"/>
      <c r="X13" s="27"/>
    </row>
    <row r="14" spans="2:24" x14ac:dyDescent="0.25">
      <c r="J14" s="77" t="s">
        <v>245</v>
      </c>
      <c r="K14" s="27"/>
      <c r="L14" s="27">
        <v>21.57</v>
      </c>
      <c r="M14" s="27">
        <v>20.877816601539962</v>
      </c>
      <c r="N14" s="27">
        <v>20.875439359434949</v>
      </c>
      <c r="O14" s="27">
        <v>20.873332818089239</v>
      </c>
      <c r="P14" s="27">
        <v>20.871531124722878</v>
      </c>
      <c r="Q14" s="27">
        <v>20.869961497004624</v>
      </c>
      <c r="R14" s="27">
        <v>20.868703399069091</v>
      </c>
      <c r="S14" s="27">
        <v>20.86722942587835</v>
      </c>
      <c r="T14" s="27">
        <v>20.865998406272183</v>
      </c>
      <c r="U14" s="27">
        <v>20.865010093914861</v>
      </c>
      <c r="V14" s="27">
        <v>20.864256887742386</v>
      </c>
      <c r="W14" s="27"/>
      <c r="X14" s="27"/>
    </row>
    <row r="15" spans="2:24" x14ac:dyDescent="0.25">
      <c r="J15" s="77" t="s">
        <v>112</v>
      </c>
      <c r="K15" s="27">
        <v>1798</v>
      </c>
      <c r="L15" s="27">
        <v>1848.7399999999998</v>
      </c>
      <c r="M15" s="27">
        <v>1855.3504906071091</v>
      </c>
      <c r="N15" s="27">
        <v>1861.7966065178425</v>
      </c>
      <c r="O15" s="27">
        <v>1867.5086918190113</v>
      </c>
      <c r="P15" s="27">
        <v>1872.3941531065843</v>
      </c>
      <c r="Q15" s="27">
        <v>1876.6503465284216</v>
      </c>
      <c r="R15" s="27">
        <v>1880.0617975968316</v>
      </c>
      <c r="S15" s="27">
        <v>1884.0586147560873</v>
      </c>
      <c r="T15" s="27">
        <v>1887.3966403837856</v>
      </c>
      <c r="U15" s="27">
        <v>1890.0765424425649</v>
      </c>
      <c r="V15" s="27">
        <v>1892.1189319340801</v>
      </c>
      <c r="W15" s="27"/>
      <c r="X15" s="27"/>
    </row>
    <row r="16" spans="2:24" x14ac:dyDescent="0.25">
      <c r="J16" s="77" t="s">
        <v>114</v>
      </c>
      <c r="K16" s="27">
        <v>309.28830045001729</v>
      </c>
      <c r="L16" s="27">
        <v>318.78386586909721</v>
      </c>
      <c r="M16" s="27">
        <v>320.26408286171483</v>
      </c>
      <c r="N16" s="27">
        <v>321.87937944415597</v>
      </c>
      <c r="O16" s="27">
        <v>323.52764299223304</v>
      </c>
      <c r="P16" s="27">
        <v>325.18560265211124</v>
      </c>
      <c r="Q16" s="27">
        <v>326.876817256614</v>
      </c>
      <c r="R16" s="27">
        <v>328.56435838588163</v>
      </c>
      <c r="S16" s="27">
        <v>330.31609309850512</v>
      </c>
      <c r="T16" s="27">
        <v>332.08440482993353</v>
      </c>
      <c r="U16" s="27">
        <v>333.86544842794825</v>
      </c>
      <c r="V16" s="27">
        <v>335.65076701092033</v>
      </c>
      <c r="W16" s="27"/>
      <c r="X16" s="27"/>
    </row>
    <row r="17" spans="10:24" x14ac:dyDescent="0.25">
      <c r="J17" s="77" t="s">
        <v>116</v>
      </c>
      <c r="K17" s="27">
        <v>1798</v>
      </c>
      <c r="L17" s="27">
        <v>1848.74</v>
      </c>
      <c r="M17" s="27">
        <v>1855.3504906071091</v>
      </c>
      <c r="N17" s="27">
        <v>1861.7966065178425</v>
      </c>
      <c r="O17" s="27">
        <v>1867.5086918190113</v>
      </c>
      <c r="P17" s="27">
        <v>1872.3941531065843</v>
      </c>
      <c r="Q17" s="27">
        <v>1876.6503465284216</v>
      </c>
      <c r="R17" s="27">
        <v>1880.0617975968316</v>
      </c>
      <c r="S17" s="27">
        <v>1884.0586147560873</v>
      </c>
      <c r="T17" s="27">
        <v>1887.3966403837856</v>
      </c>
      <c r="U17" s="27">
        <v>1890.0765424425649</v>
      </c>
      <c r="V17" s="27">
        <v>1892.1189319340801</v>
      </c>
      <c r="W17" s="27"/>
      <c r="X17" s="27"/>
    </row>
  </sheetData>
  <phoneticPr fontId="1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6:X15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J11" sqref="A11:XFD11"/>
    </sheetView>
  </sheetViews>
  <sheetFormatPr defaultColWidth="9" defaultRowHeight="15" x14ac:dyDescent="0.25"/>
  <cols>
    <col min="1" max="9" width="9" style="20"/>
    <col min="10" max="10" width="15.375" style="20" customWidth="1"/>
    <col min="11" max="11" width="10.375" style="20"/>
    <col min="12" max="16" width="15.375" style="20"/>
    <col min="17" max="17" width="14.125" style="20"/>
    <col min="18" max="24" width="15.375" style="20"/>
    <col min="25" max="16384" width="9" style="20"/>
  </cols>
  <sheetData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92</v>
      </c>
      <c r="K8" s="24">
        <v>7729.4</v>
      </c>
      <c r="L8" s="24">
        <v>8100</v>
      </c>
      <c r="M8" s="24">
        <v>8045.9736534572257</v>
      </c>
      <c r="N8" s="24">
        <v>8042.7683143985478</v>
      </c>
      <c r="O8" s="24">
        <v>8065.2494741257433</v>
      </c>
      <c r="P8" s="24">
        <v>8100.0850719522205</v>
      </c>
      <c r="Q8" s="24">
        <v>8135.0825067253309</v>
      </c>
      <c r="R8" s="24">
        <v>8170.5225323095337</v>
      </c>
      <c r="S8" s="24">
        <v>8206.8130747268933</v>
      </c>
      <c r="T8" s="24">
        <v>8243.9165644406057</v>
      </c>
      <c r="U8" s="24">
        <v>8281.8197387157979</v>
      </c>
      <c r="V8" s="24">
        <v>8320.5023361577714</v>
      </c>
      <c r="W8" s="24"/>
      <c r="X8" s="24"/>
    </row>
    <row r="9" spans="2:24" x14ac:dyDescent="0.25">
      <c r="J9" s="77" t="s">
        <v>94</v>
      </c>
      <c r="K9" s="24">
        <v>7729.4</v>
      </c>
      <c r="L9" s="24">
        <v>8100</v>
      </c>
      <c r="M9" s="24">
        <v>7927.4339310995456</v>
      </c>
      <c r="N9" s="24">
        <v>7924.3061720495989</v>
      </c>
      <c r="O9" s="24">
        <v>7946.2432119392361</v>
      </c>
      <c r="P9" s="24">
        <v>7980.2356708858406</v>
      </c>
      <c r="Q9" s="24">
        <v>8014.386049779504</v>
      </c>
      <c r="R9" s="24">
        <v>8048.9683072948901</v>
      </c>
      <c r="S9" s="24">
        <v>8084.3804962694257</v>
      </c>
      <c r="T9" s="24">
        <v>8120.5859564757257</v>
      </c>
      <c r="U9" s="24">
        <v>8157.5717461817994</v>
      </c>
      <c r="V9" s="24">
        <v>8195.3180943869938</v>
      </c>
      <c r="W9" s="24"/>
      <c r="X9" s="24"/>
    </row>
    <row r="10" spans="2:24" x14ac:dyDescent="0.25">
      <c r="J10" s="77" t="s">
        <v>96</v>
      </c>
      <c r="K10" s="24"/>
      <c r="L10" s="24"/>
      <c r="M10" s="24">
        <v>118.53972235768015</v>
      </c>
      <c r="N10" s="24">
        <v>118.46214234894887</v>
      </c>
      <c r="O10" s="24">
        <v>119.00626218650723</v>
      </c>
      <c r="P10" s="24">
        <v>119.84940106637987</v>
      </c>
      <c r="Q10" s="24">
        <v>120.69645694582687</v>
      </c>
      <c r="R10" s="24">
        <v>121.55422501464363</v>
      </c>
      <c r="S10" s="24">
        <v>122.43257845746757</v>
      </c>
      <c r="T10" s="24">
        <v>123.33060796488007</v>
      </c>
      <c r="U10" s="24">
        <v>124.24799253399851</v>
      </c>
      <c r="V10" s="24">
        <v>125.18424177077759</v>
      </c>
      <c r="W10" s="24"/>
      <c r="X10" s="24"/>
    </row>
    <row r="11" spans="2:24" x14ac:dyDescent="0.25">
      <c r="J11" s="77" t="s">
        <v>98</v>
      </c>
      <c r="K11" s="24">
        <v>7729.4</v>
      </c>
      <c r="L11" s="24">
        <v>8100</v>
      </c>
      <c r="M11" s="24">
        <v>8045.9736534572257</v>
      </c>
      <c r="N11" s="24">
        <v>8042.7683143985478</v>
      </c>
      <c r="O11" s="24">
        <v>8065.2494741257433</v>
      </c>
      <c r="P11" s="24">
        <v>8100.0850719522205</v>
      </c>
      <c r="Q11" s="24">
        <v>8135.0825067253309</v>
      </c>
      <c r="R11" s="24">
        <v>8170.5225323095337</v>
      </c>
      <c r="S11" s="24">
        <v>8206.8130747268933</v>
      </c>
      <c r="T11" s="24">
        <v>8243.9165644406057</v>
      </c>
      <c r="U11" s="24">
        <v>8281.8197387157979</v>
      </c>
      <c r="V11" s="24">
        <v>8320.5023361577714</v>
      </c>
      <c r="W11" s="24"/>
      <c r="X11" s="24"/>
    </row>
    <row r="12" spans="2:24" x14ac:dyDescent="0.25">
      <c r="J12" s="77" t="s">
        <v>104</v>
      </c>
      <c r="K12" s="27">
        <v>7540</v>
      </c>
      <c r="L12" s="27">
        <v>7821</v>
      </c>
      <c r="M12" s="27">
        <v>7849.3439310995445</v>
      </c>
      <c r="N12" s="27">
        <v>7846.2161720495988</v>
      </c>
      <c r="O12" s="27">
        <v>7868.1532119392359</v>
      </c>
      <c r="P12" s="27">
        <v>7902.1456708858404</v>
      </c>
      <c r="Q12" s="27">
        <v>7936.2960497795057</v>
      </c>
      <c r="R12" s="27">
        <v>7970.8783072948891</v>
      </c>
      <c r="S12" s="27">
        <v>8006.2904962694256</v>
      </c>
      <c r="T12" s="27">
        <v>8042.4959564757246</v>
      </c>
      <c r="U12" s="27">
        <v>8079.4817461817993</v>
      </c>
      <c r="V12" s="27">
        <v>8117.2280943869946</v>
      </c>
      <c r="W12" s="27"/>
      <c r="X12" s="27"/>
    </row>
    <row r="13" spans="2:24" x14ac:dyDescent="0.25">
      <c r="J13" s="77" t="s">
        <v>110</v>
      </c>
      <c r="K13" s="24">
        <v>50.5</v>
      </c>
      <c r="L13" s="24">
        <v>200.91</v>
      </c>
      <c r="M13" s="24">
        <v>196.62972235768024</v>
      </c>
      <c r="N13" s="24">
        <v>196.55214234894876</v>
      </c>
      <c r="O13" s="24">
        <v>197.09626218650763</v>
      </c>
      <c r="P13" s="24">
        <v>197.93940106637953</v>
      </c>
      <c r="Q13" s="24">
        <v>198.7864569458271</v>
      </c>
      <c r="R13" s="24">
        <v>199.64422501464398</v>
      </c>
      <c r="S13" s="24">
        <v>200.52257845746797</v>
      </c>
      <c r="T13" s="24">
        <v>201.42060796488127</v>
      </c>
      <c r="U13" s="24">
        <v>202.3379925339982</v>
      </c>
      <c r="V13" s="24">
        <v>203.27424177077665</v>
      </c>
      <c r="W13" s="24"/>
      <c r="X13" s="24"/>
    </row>
    <row r="14" spans="2:24" x14ac:dyDescent="0.25">
      <c r="J14" s="77" t="s">
        <v>245</v>
      </c>
      <c r="K14" s="24">
        <v>138.9</v>
      </c>
      <c r="L14" s="24">
        <v>78.089999999999989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2:24" x14ac:dyDescent="0.25">
      <c r="J15" s="77" t="s">
        <v>112</v>
      </c>
      <c r="K15" s="20">
        <v>7540</v>
      </c>
      <c r="L15" s="20">
        <v>7821</v>
      </c>
      <c r="M15" s="20">
        <v>7849.3439310995454</v>
      </c>
      <c r="N15" s="20">
        <v>7846.2161720495988</v>
      </c>
      <c r="O15" s="20">
        <v>7868.1532119392359</v>
      </c>
      <c r="P15" s="20">
        <v>7902.1456708858414</v>
      </c>
      <c r="Q15" s="20">
        <v>7936.2960497795038</v>
      </c>
      <c r="R15" s="20">
        <v>7970.87830729489</v>
      </c>
      <c r="S15" s="20">
        <v>8006.2904962694256</v>
      </c>
      <c r="T15" s="20">
        <v>8042.4959564757246</v>
      </c>
      <c r="U15" s="20">
        <v>8079.4817461818002</v>
      </c>
      <c r="V15" s="20">
        <v>8117.2280943869946</v>
      </c>
    </row>
  </sheetData>
  <phoneticPr fontId="1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X18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M18" sqref="M18"/>
    </sheetView>
  </sheetViews>
  <sheetFormatPr defaultColWidth="9" defaultRowHeight="15" x14ac:dyDescent="0.25"/>
  <cols>
    <col min="1" max="1" width="9" style="20"/>
    <col min="2" max="2" width="12" style="20" customWidth="1"/>
    <col min="3" max="9" width="9" style="20"/>
    <col min="10" max="10" width="19.5" style="20" customWidth="1"/>
    <col min="11" max="23" width="10.75" style="20" customWidth="1"/>
    <col min="24" max="24" width="14.125" style="20"/>
    <col min="25" max="25" width="12.875" style="20"/>
    <col min="26" max="16384" width="9" style="20"/>
  </cols>
  <sheetData>
    <row r="3" spans="2:24" x14ac:dyDescent="0.25">
      <c r="K3" s="27">
        <f t="shared" ref="K3:W3" si="0">K9/15</f>
        <v>140.69322831112498</v>
      </c>
      <c r="L3" s="27">
        <f t="shared" si="0"/>
        <v>142.07257368672421</v>
      </c>
      <c r="M3" s="27">
        <f t="shared" si="0"/>
        <v>143.4733433213126</v>
      </c>
      <c r="N3" s="27">
        <f t="shared" si="0"/>
        <v>144.88533951148835</v>
      </c>
      <c r="O3" s="27">
        <f t="shared" si="0"/>
        <v>146.31173699432583</v>
      </c>
      <c r="P3" s="27">
        <f t="shared" si="0"/>
        <v>147.75921869023966</v>
      </c>
      <c r="Q3" s="27">
        <f t="shared" si="0"/>
        <v>149.22672877746342</v>
      </c>
      <c r="R3" s="27">
        <f t="shared" si="0"/>
        <v>150.72323618351646</v>
      </c>
      <c r="S3" s="27">
        <f t="shared" si="0"/>
        <v>152.25069213840348</v>
      </c>
      <c r="T3" s="27">
        <f t="shared" si="0"/>
        <v>153.81228688879884</v>
      </c>
      <c r="U3" s="27">
        <f t="shared" si="0"/>
        <v>155.4093941129405</v>
      </c>
      <c r="V3" s="27">
        <f t="shared" si="0"/>
        <v>157.04402907010393</v>
      </c>
      <c r="W3" s="27">
        <f t="shared" si="0"/>
        <v>0</v>
      </c>
    </row>
    <row r="4" spans="2:24" x14ac:dyDescent="0.25">
      <c r="M4" s="24"/>
    </row>
    <row r="5" spans="2:24" x14ac:dyDescent="0.25">
      <c r="L5" s="22">
        <f>L11/L10</f>
        <v>0.8740684990296187</v>
      </c>
    </row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88</v>
      </c>
      <c r="K8" s="24">
        <v>799.32299999999998</v>
      </c>
      <c r="L8" s="24">
        <v>815.30946000000006</v>
      </c>
      <c r="M8" s="24">
        <v>846.06782803745693</v>
      </c>
      <c r="N8" s="24">
        <v>848.39452646228017</v>
      </c>
      <c r="O8" s="24">
        <v>850.68369978740634</v>
      </c>
      <c r="P8" s="24">
        <v>852.94515847296725</v>
      </c>
      <c r="Q8" s="24">
        <v>855.18361898917681</v>
      </c>
      <c r="R8" s="24">
        <v>857.52938102745691</v>
      </c>
      <c r="S8" s="24">
        <v>859.97821209640597</v>
      </c>
      <c r="T8" s="24">
        <v>862.52611465963128</v>
      </c>
      <c r="U8" s="24">
        <v>865.16931179444066</v>
      </c>
      <c r="V8" s="24">
        <v>867.90423387120734</v>
      </c>
      <c r="W8" s="24"/>
      <c r="X8" s="24"/>
    </row>
    <row r="9" spans="2:24" x14ac:dyDescent="0.25">
      <c r="J9" s="77" t="s">
        <v>90</v>
      </c>
      <c r="K9" s="24">
        <v>2110.3984246668747</v>
      </c>
      <c r="L9" s="24">
        <v>2131.088605300863</v>
      </c>
      <c r="M9" s="24">
        <v>2152.1001498196888</v>
      </c>
      <c r="N9" s="24">
        <v>2173.2800926723253</v>
      </c>
      <c r="O9" s="24">
        <v>2194.6760549148876</v>
      </c>
      <c r="P9" s="24">
        <v>2216.3882803535948</v>
      </c>
      <c r="Q9" s="24">
        <v>2238.4009316619513</v>
      </c>
      <c r="R9" s="24">
        <v>2260.8485427527471</v>
      </c>
      <c r="S9" s="24">
        <v>2283.7603820760523</v>
      </c>
      <c r="T9" s="24">
        <v>2307.1843033319824</v>
      </c>
      <c r="U9" s="24">
        <v>2331.1409116941077</v>
      </c>
      <c r="V9" s="24">
        <v>2355.6604360515589</v>
      </c>
      <c r="W9" s="24"/>
      <c r="X9" s="24"/>
    </row>
    <row r="10" spans="2:24" x14ac:dyDescent="0.25">
      <c r="J10" s="77" t="s">
        <v>92</v>
      </c>
      <c r="K10" s="24">
        <v>2325.4499999999998</v>
      </c>
      <c r="L10" s="24">
        <v>1987.8266999999998</v>
      </c>
      <c r="M10" s="24">
        <v>2138.6900044268559</v>
      </c>
      <c r="N10" s="24">
        <v>2138.6301678454229</v>
      </c>
      <c r="O10" s="24">
        <v>2141.9821524832382</v>
      </c>
      <c r="P10" s="24">
        <v>2146.9187380142571</v>
      </c>
      <c r="Q10" s="24">
        <v>2151.9108796478095</v>
      </c>
      <c r="R10" s="24">
        <v>2157.0479126058181</v>
      </c>
      <c r="S10" s="24">
        <v>2162.4339245771694</v>
      </c>
      <c r="T10" s="24">
        <v>2168.0562378940149</v>
      </c>
      <c r="U10" s="24">
        <v>2173.9098631565371</v>
      </c>
      <c r="V10" s="24">
        <v>2179.9877287287986</v>
      </c>
      <c r="W10" s="24"/>
      <c r="X10" s="24"/>
    </row>
    <row r="11" spans="2:24" x14ac:dyDescent="0.25">
      <c r="J11" s="77" t="s">
        <v>94</v>
      </c>
      <c r="K11" s="24">
        <v>1686.89</v>
      </c>
      <c r="L11" s="24">
        <v>1737.4966999999999</v>
      </c>
      <c r="M11" s="24">
        <v>1820.82269947703</v>
      </c>
      <c r="N11" s="24">
        <v>1843.7989350926382</v>
      </c>
      <c r="O11" s="24">
        <v>1866.9751462298257</v>
      </c>
      <c r="P11" s="24">
        <v>1890.4576530238242</v>
      </c>
      <c r="Q11" s="24">
        <v>1914.2438094874119</v>
      </c>
      <c r="R11" s="24">
        <v>1938.7440514635909</v>
      </c>
      <c r="S11" s="24">
        <v>1963.9841702343681</v>
      </c>
      <c r="T11" s="24">
        <v>1990.0067129566232</v>
      </c>
      <c r="U11" s="24">
        <v>2016.8315782662562</v>
      </c>
      <c r="V11" s="24">
        <v>2044.4876660120419</v>
      </c>
      <c r="W11" s="24"/>
      <c r="X11" s="24"/>
    </row>
    <row r="12" spans="2:24" x14ac:dyDescent="0.25">
      <c r="J12" s="77" t="s">
        <v>96</v>
      </c>
      <c r="K12" s="24">
        <v>638.55999999999995</v>
      </c>
      <c r="L12" s="24">
        <v>250.33</v>
      </c>
      <c r="M12" s="24">
        <v>317.86730494982589</v>
      </c>
      <c r="N12" s="24">
        <v>294.83123275278462</v>
      </c>
      <c r="O12" s="24">
        <v>275.00700625341256</v>
      </c>
      <c r="P12" s="24">
        <v>256.46108499043282</v>
      </c>
      <c r="Q12" s="24">
        <v>237.6670701603976</v>
      </c>
      <c r="R12" s="24">
        <v>218.30386114222702</v>
      </c>
      <c r="S12" s="24">
        <v>198.44975434280124</v>
      </c>
      <c r="T12" s="24">
        <v>178.0495249373916</v>
      </c>
      <c r="U12" s="24">
        <v>157.07828489028086</v>
      </c>
      <c r="V12" s="24">
        <v>135.5000627167567</v>
      </c>
      <c r="W12" s="24"/>
      <c r="X12" s="24"/>
    </row>
    <row r="13" spans="2:24" x14ac:dyDescent="0.25">
      <c r="J13" s="77" t="s">
        <v>98</v>
      </c>
      <c r="K13" s="24">
        <v>2325.4499999999998</v>
      </c>
      <c r="L13" s="24">
        <v>1987.8267000000001</v>
      </c>
      <c r="M13" s="24">
        <v>2138.6900044268559</v>
      </c>
      <c r="N13" s="24">
        <v>2138.6301678454229</v>
      </c>
      <c r="O13" s="24">
        <v>2141.9821524832382</v>
      </c>
      <c r="P13" s="24">
        <v>2146.9187380142571</v>
      </c>
      <c r="Q13" s="24">
        <v>2151.9108796478095</v>
      </c>
      <c r="R13" s="24">
        <v>2157.0479126058181</v>
      </c>
      <c r="S13" s="24">
        <v>2162.4339245771694</v>
      </c>
      <c r="T13" s="24">
        <v>2168.0562378940149</v>
      </c>
      <c r="U13" s="24">
        <v>2173.9098631565371</v>
      </c>
      <c r="V13" s="24">
        <v>2179.9877287287986</v>
      </c>
      <c r="W13" s="24"/>
      <c r="X13" s="24"/>
    </row>
    <row r="14" spans="2:24" x14ac:dyDescent="0.25">
      <c r="J14" s="77" t="s">
        <v>130</v>
      </c>
      <c r="K14" s="24">
        <v>1963.34</v>
      </c>
      <c r="L14" s="24">
        <v>1980</v>
      </c>
      <c r="M14" s="24">
        <v>2130.4879554549075</v>
      </c>
      <c r="N14" s="24">
        <v>2130.324620487957</v>
      </c>
      <c r="O14" s="24">
        <v>2133.5722059337008</v>
      </c>
      <c r="P14" s="24">
        <v>2138.4030125381037</v>
      </c>
      <c r="Q14" s="24">
        <v>2143.2880074295699</v>
      </c>
      <c r="R14" s="24">
        <v>2148.314676987246</v>
      </c>
      <c r="S14" s="24">
        <v>2153.5869927210265</v>
      </c>
      <c r="T14" s="24">
        <v>2159.0920853058124</v>
      </c>
      <c r="U14" s="24">
        <v>2164.824875706709</v>
      </c>
      <c r="V14" s="24">
        <v>2170.7781621059808</v>
      </c>
      <c r="W14" s="24"/>
      <c r="X14" s="24"/>
    </row>
    <row r="15" spans="2:24" x14ac:dyDescent="0.25">
      <c r="J15" s="77" t="s">
        <v>110</v>
      </c>
      <c r="K15" s="24">
        <v>362.11</v>
      </c>
      <c r="L15" s="24">
        <v>7.8267000000000699</v>
      </c>
      <c r="M15" s="24">
        <v>8.2020489719474003</v>
      </c>
      <c r="N15" s="24">
        <v>8.3055473574653025</v>
      </c>
      <c r="O15" s="24">
        <v>8.4099465495371071</v>
      </c>
      <c r="P15" s="24">
        <v>8.5157254761529604</v>
      </c>
      <c r="Q15" s="24">
        <v>8.6228722182409037</v>
      </c>
      <c r="R15" s="24">
        <v>8.733235618571376</v>
      </c>
      <c r="S15" s="24">
        <v>8.8469318561430743</v>
      </c>
      <c r="T15" s="24">
        <v>8.9641525882021789</v>
      </c>
      <c r="U15" s="24">
        <v>9.084987449827473</v>
      </c>
      <c r="V15" s="24">
        <v>9.2095666228180981</v>
      </c>
      <c r="W15" s="24"/>
      <c r="X15" s="24"/>
    </row>
    <row r="16" spans="2:24" x14ac:dyDescent="0.25">
      <c r="J16" s="77" t="s">
        <v>112</v>
      </c>
      <c r="K16" s="24">
        <v>1963.3399999999997</v>
      </c>
      <c r="L16" s="24">
        <v>1980</v>
      </c>
      <c r="M16" s="24">
        <v>2130.4879554549084</v>
      </c>
      <c r="N16" s="24">
        <v>2130.3246204879574</v>
      </c>
      <c r="O16" s="24">
        <v>2133.5722059337013</v>
      </c>
      <c r="P16" s="24">
        <v>2138.4030125381041</v>
      </c>
      <c r="Q16" s="24">
        <v>2143.2880074295686</v>
      </c>
      <c r="R16" s="24">
        <v>2148.3146769872465</v>
      </c>
      <c r="S16" s="24">
        <v>2153.5869927210265</v>
      </c>
      <c r="T16" s="24">
        <v>2159.0920853058128</v>
      </c>
      <c r="U16" s="24">
        <v>2164.8248757067095</v>
      </c>
      <c r="V16" s="24">
        <v>2170.7781621059808</v>
      </c>
      <c r="W16" s="24"/>
      <c r="X16" s="24"/>
    </row>
    <row r="17" spans="10:24" x14ac:dyDescent="0.25">
      <c r="J17" s="77" t="s">
        <v>118</v>
      </c>
      <c r="K17" s="24">
        <v>499.35198936801152</v>
      </c>
      <c r="L17" s="24">
        <v>399.80370111548336</v>
      </c>
      <c r="M17" s="24">
        <v>434.15694432171023</v>
      </c>
      <c r="N17" s="24">
        <v>427.51831514944149</v>
      </c>
      <c r="O17" s="24">
        <v>421.86703099193312</v>
      </c>
      <c r="P17" s="24">
        <v>416.67462388500883</v>
      </c>
      <c r="Q17" s="24">
        <v>411.54060376931272</v>
      </c>
      <c r="R17" s="24">
        <v>406.46311635374701</v>
      </c>
      <c r="S17" s="24">
        <v>401.46314094369797</v>
      </c>
      <c r="T17" s="24">
        <v>396.52915381235039</v>
      </c>
      <c r="U17" s="24">
        <v>391.65688684553356</v>
      </c>
      <c r="V17" s="24">
        <v>386.84030178385643</v>
      </c>
      <c r="W17" s="24"/>
      <c r="X17" s="24"/>
    </row>
    <row r="18" spans="10:24" x14ac:dyDescent="0.25">
      <c r="J18" s="77"/>
    </row>
  </sheetData>
  <phoneticPr fontId="1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X1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N16" sqref="N16"/>
    </sheetView>
  </sheetViews>
  <sheetFormatPr defaultColWidth="9" defaultRowHeight="15" x14ac:dyDescent="0.25"/>
  <cols>
    <col min="1" max="9" width="9" style="20"/>
    <col min="10" max="10" width="49.125" style="20" customWidth="1"/>
    <col min="11" max="24" width="14.125" style="20"/>
    <col min="25" max="16384" width="9" style="20"/>
  </cols>
  <sheetData>
    <row r="5" spans="2:24" x14ac:dyDescent="0.25"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92</v>
      </c>
      <c r="K8" s="24">
        <v>933.5</v>
      </c>
      <c r="L8" s="24">
        <v>980.76</v>
      </c>
      <c r="M8" s="24">
        <v>986.40387667611765</v>
      </c>
      <c r="N8" s="24">
        <v>992.5058100377795</v>
      </c>
      <c r="O8" s="24">
        <v>998.27923750292916</v>
      </c>
      <c r="P8" s="24">
        <v>1003.673295455485</v>
      </c>
      <c r="Q8" s="24">
        <v>1008.74814836856</v>
      </c>
      <c r="R8" s="24">
        <v>1013.2482679746372</v>
      </c>
      <c r="S8" s="24">
        <v>1017.9445295798669</v>
      </c>
      <c r="T8" s="24">
        <v>1022.1738382274491</v>
      </c>
      <c r="U8" s="24">
        <v>1025.9389023618028</v>
      </c>
      <c r="V8" s="24">
        <v>1029.2534099842178</v>
      </c>
      <c r="W8" s="24"/>
      <c r="X8" s="24"/>
    </row>
    <row r="9" spans="2:24" x14ac:dyDescent="0.25">
      <c r="J9" s="77" t="s">
        <v>94</v>
      </c>
      <c r="K9" s="24">
        <v>760.5</v>
      </c>
      <c r="L9" s="24">
        <v>772.2</v>
      </c>
      <c r="M9" s="24">
        <v>797.71972159118491</v>
      </c>
      <c r="N9" s="24">
        <v>803.97757452078963</v>
      </c>
      <c r="O9" s="24">
        <v>809.898527411499</v>
      </c>
      <c r="P9" s="24">
        <v>815.43041695538409</v>
      </c>
      <c r="Q9" s="24">
        <v>820.6349449774259</v>
      </c>
      <c r="R9" s="24">
        <v>825.25005382758093</v>
      </c>
      <c r="S9" s="24">
        <v>830.06631659261268</v>
      </c>
      <c r="T9" s="24">
        <v>834.40369459099622</v>
      </c>
      <c r="U9" s="24">
        <v>838.26496547463944</v>
      </c>
      <c r="V9" s="24">
        <v>841.66416700729553</v>
      </c>
      <c r="W9" s="24"/>
      <c r="X9" s="24"/>
    </row>
    <row r="10" spans="2:24" x14ac:dyDescent="0.25">
      <c r="J10" s="77" t="s">
        <v>96</v>
      </c>
      <c r="K10" s="24">
        <v>173</v>
      </c>
      <c r="L10" s="24">
        <v>208.56</v>
      </c>
      <c r="M10" s="24">
        <v>188.68415508493277</v>
      </c>
      <c r="N10" s="24">
        <v>188.52823551698989</v>
      </c>
      <c r="O10" s="24">
        <v>188.38071009143016</v>
      </c>
      <c r="P10" s="24">
        <v>188.24287850010094</v>
      </c>
      <c r="Q10" s="24">
        <v>188.11320339113411</v>
      </c>
      <c r="R10" s="24">
        <v>187.99821414705633</v>
      </c>
      <c r="S10" s="24">
        <v>187.87821298725424</v>
      </c>
      <c r="T10" s="24">
        <v>187.77014363645281</v>
      </c>
      <c r="U10" s="24">
        <v>187.67393688716345</v>
      </c>
      <c r="V10" s="24">
        <v>187.58924297692218</v>
      </c>
      <c r="W10" s="24"/>
      <c r="X10" s="24"/>
    </row>
    <row r="11" spans="2:24" x14ac:dyDescent="0.25">
      <c r="J11" s="77" t="s">
        <v>98</v>
      </c>
      <c r="K11" s="24">
        <v>933.5</v>
      </c>
      <c r="L11" s="24">
        <v>980.76000000000022</v>
      </c>
      <c r="M11" s="24">
        <v>986.40387667611776</v>
      </c>
      <c r="N11" s="24">
        <v>992.50581003777961</v>
      </c>
      <c r="O11" s="24">
        <v>998.27923750292916</v>
      </c>
      <c r="P11" s="24">
        <v>1003.673295455485</v>
      </c>
      <c r="Q11" s="24">
        <v>1008.74814836856</v>
      </c>
      <c r="R11" s="24">
        <v>1013.2482679746373</v>
      </c>
      <c r="S11" s="24">
        <v>1017.9445295798669</v>
      </c>
      <c r="T11" s="24">
        <v>1022.1738382274491</v>
      </c>
      <c r="U11" s="24">
        <v>1025.938902361803</v>
      </c>
      <c r="V11" s="24">
        <v>1029.2534099842176</v>
      </c>
      <c r="W11" s="24"/>
      <c r="X11" s="24"/>
    </row>
    <row r="12" spans="2:24" x14ac:dyDescent="0.25">
      <c r="J12" s="77" t="s">
        <v>100</v>
      </c>
      <c r="K12" s="24">
        <v>7.0334024483767505</v>
      </c>
      <c r="L12" s="24">
        <v>7.1179950031675085</v>
      </c>
      <c r="M12" s="24">
        <v>7.1703140422217286</v>
      </c>
      <c r="N12" s="24">
        <v>7.2261879502830286</v>
      </c>
      <c r="O12" s="24">
        <v>7.2833183721481634</v>
      </c>
      <c r="P12" s="24">
        <v>7.3412008966054874</v>
      </c>
      <c r="Q12" s="24">
        <v>7.40006586880037</v>
      </c>
      <c r="R12" s="24">
        <v>7.4580666656344254</v>
      </c>
      <c r="S12" s="24">
        <v>7.5167798238748098</v>
      </c>
      <c r="T12" s="24">
        <v>7.575157691809026</v>
      </c>
      <c r="U12" s="24">
        <v>7.6331419610570244</v>
      </c>
      <c r="V12" s="24">
        <v>7.6905677818560481</v>
      </c>
      <c r="W12" s="24"/>
      <c r="X12" s="24"/>
    </row>
    <row r="13" spans="2:24" x14ac:dyDescent="0.25">
      <c r="J13" s="77" t="s">
        <v>110</v>
      </c>
      <c r="K13" s="24">
        <v>-57.000000000000597</v>
      </c>
      <c r="L13" s="24">
        <v>-19.240000000000499</v>
      </c>
      <c r="M13" s="24">
        <v>-19.875844915067074</v>
      </c>
      <c r="N13" s="24">
        <v>-20.031764483010093</v>
      </c>
      <c r="O13" s="24">
        <v>-20.179289908569856</v>
      </c>
      <c r="P13" s="24">
        <v>-20.317121499898985</v>
      </c>
      <c r="Q13" s="24">
        <v>-20.446796608865686</v>
      </c>
      <c r="R13" s="24">
        <v>-20.561785852943625</v>
      </c>
      <c r="S13" s="24">
        <v>-20.681787012745772</v>
      </c>
      <c r="T13" s="24">
        <v>-20.789856363547244</v>
      </c>
      <c r="U13" s="24">
        <v>-20.886063112836673</v>
      </c>
      <c r="V13" s="24">
        <v>-20.97075702307794</v>
      </c>
      <c r="W13" s="24"/>
      <c r="X13" s="24"/>
    </row>
    <row r="14" spans="2:24" x14ac:dyDescent="0.25">
      <c r="J14" s="77" t="s">
        <v>112</v>
      </c>
      <c r="K14" s="24">
        <v>990.50000000000057</v>
      </c>
      <c r="L14" s="24">
        <v>1000.0000000000007</v>
      </c>
      <c r="M14" s="24">
        <v>1006.2797215911849</v>
      </c>
      <c r="N14" s="24">
        <v>1012.5375745207897</v>
      </c>
      <c r="O14" s="24">
        <v>1018.4585274114991</v>
      </c>
      <c r="P14" s="24">
        <v>1023.990416955384</v>
      </c>
      <c r="Q14" s="24">
        <v>1029.1949449774256</v>
      </c>
      <c r="R14" s="24">
        <v>1033.810053827581</v>
      </c>
      <c r="S14" s="24">
        <v>1038.6263165926127</v>
      </c>
      <c r="T14" s="24">
        <v>1042.9636945909963</v>
      </c>
      <c r="U14" s="24">
        <v>1046.8249654746396</v>
      </c>
      <c r="V14" s="24">
        <v>1050.2241670072956</v>
      </c>
      <c r="W14" s="24"/>
      <c r="X14" s="24"/>
    </row>
    <row r="15" spans="2:24" x14ac:dyDescent="0.25">
      <c r="J15" s="77" t="s">
        <v>114</v>
      </c>
      <c r="K15" s="24">
        <v>170.38379399095797</v>
      </c>
      <c r="L15" s="24">
        <v>172.43304405654521</v>
      </c>
      <c r="M15" s="24">
        <v>173.70046994855804</v>
      </c>
      <c r="N15" s="24">
        <v>175.05401235004302</v>
      </c>
      <c r="O15" s="24">
        <v>176.43799373048174</v>
      </c>
      <c r="P15" s="24">
        <v>177.84019475554743</v>
      </c>
      <c r="Q15" s="24">
        <v>179.266195523931</v>
      </c>
      <c r="R15" s="24">
        <v>180.67126169092762</v>
      </c>
      <c r="S15" s="24">
        <v>182.09358477447259</v>
      </c>
      <c r="T15" s="24">
        <v>183.50778546848099</v>
      </c>
      <c r="U15" s="24">
        <v>184.91245125559908</v>
      </c>
      <c r="V15" s="24">
        <v>186.30358865923799</v>
      </c>
      <c r="W15" s="24"/>
      <c r="X15" s="24"/>
    </row>
    <row r="16" spans="2:24" x14ac:dyDescent="0.25">
      <c r="J16" s="77" t="s">
        <v>116</v>
      </c>
      <c r="K16" s="24">
        <v>990.50000000000102</v>
      </c>
      <c r="L16" s="24">
        <v>1000</v>
      </c>
      <c r="M16" s="24">
        <v>1006.2797215911849</v>
      </c>
      <c r="N16" s="24">
        <v>1012.5375745207897</v>
      </c>
      <c r="O16" s="24">
        <v>1018.4585274114991</v>
      </c>
      <c r="P16" s="24">
        <v>1023.990416955384</v>
      </c>
      <c r="Q16" s="24">
        <v>1029.1949449774256</v>
      </c>
      <c r="R16" s="24">
        <v>1033.810053827581</v>
      </c>
      <c r="S16" s="24">
        <v>1038.6263165926127</v>
      </c>
      <c r="T16" s="24">
        <v>1042.9636945909963</v>
      </c>
      <c r="U16" s="24">
        <v>1046.8249654746394</v>
      </c>
      <c r="V16" s="24">
        <v>1050.2241670072956</v>
      </c>
      <c r="W16" s="24"/>
      <c r="X16" s="24"/>
    </row>
  </sheetData>
  <phoneticPr fontId="1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6:X14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O17" sqref="O17"/>
    </sheetView>
  </sheetViews>
  <sheetFormatPr defaultColWidth="9" defaultRowHeight="15" x14ac:dyDescent="0.25"/>
  <cols>
    <col min="1" max="1" width="9" style="20"/>
    <col min="2" max="2" width="11.625" style="20" customWidth="1"/>
    <col min="3" max="9" width="9" style="20"/>
    <col min="10" max="10" width="19.125" style="20" customWidth="1"/>
    <col min="11" max="12" width="10.375" style="20" customWidth="1"/>
    <col min="13" max="24" width="14.125" style="20" customWidth="1"/>
    <col min="25" max="16384" width="9" style="20"/>
  </cols>
  <sheetData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92</v>
      </c>
      <c r="K8" s="39">
        <v>1449.7</v>
      </c>
      <c r="L8" s="39">
        <v>1445.1200000000001</v>
      </c>
      <c r="M8" s="39">
        <v>1442.7808789678365</v>
      </c>
      <c r="N8" s="39">
        <v>1442.691482304203</v>
      </c>
      <c r="O8" s="39">
        <v>1444.468954140968</v>
      </c>
      <c r="P8" s="39">
        <v>1447.1129562254816</v>
      </c>
      <c r="Q8" s="39">
        <v>1449.7866166995118</v>
      </c>
      <c r="R8" s="39">
        <v>1452.5378186988926</v>
      </c>
      <c r="S8" s="39">
        <v>1455.4234680183297</v>
      </c>
      <c r="T8" s="39">
        <v>1458.4365210054534</v>
      </c>
      <c r="U8" s="39">
        <v>1461.5741977976136</v>
      </c>
      <c r="V8" s="39">
        <v>1464.8325566884532</v>
      </c>
      <c r="W8" s="39"/>
      <c r="X8" s="39"/>
    </row>
    <row r="9" spans="2:24" x14ac:dyDescent="0.25">
      <c r="J9" s="77" t="s">
        <v>94</v>
      </c>
      <c r="K9" s="39">
        <v>1150.7</v>
      </c>
      <c r="L9" s="39">
        <v>1168.4000000000001</v>
      </c>
      <c r="M9" s="39">
        <v>1248.4026728603226</v>
      </c>
      <c r="N9" s="39">
        <v>1248.3069634202432</v>
      </c>
      <c r="O9" s="39">
        <v>1250.2099520480028</v>
      </c>
      <c r="P9" s="39">
        <v>1253.0406612578656</v>
      </c>
      <c r="Q9" s="39">
        <v>1255.9031231947199</v>
      </c>
      <c r="R9" s="39">
        <v>1258.8486022786642</v>
      </c>
      <c r="S9" s="39">
        <v>1261.9380227268589</v>
      </c>
      <c r="T9" s="39">
        <v>1265.1638434969757</v>
      </c>
      <c r="U9" s="39">
        <v>1268.5230884253983</v>
      </c>
      <c r="V9" s="39">
        <v>1272.0115374608058</v>
      </c>
      <c r="W9" s="39"/>
      <c r="X9" s="39"/>
    </row>
    <row r="10" spans="2:24" x14ac:dyDescent="0.25">
      <c r="J10" s="77" t="s">
        <v>96</v>
      </c>
      <c r="K10" s="39">
        <v>299</v>
      </c>
      <c r="L10" s="39">
        <v>276.72000000000003</v>
      </c>
      <c r="M10" s="39">
        <v>194.37820610751385</v>
      </c>
      <c r="N10" s="39">
        <v>194.38451888395991</v>
      </c>
      <c r="O10" s="39">
        <v>194.25900209296515</v>
      </c>
      <c r="P10" s="39">
        <v>194.07229496761602</v>
      </c>
      <c r="Q10" s="39">
        <v>193.88349350479189</v>
      </c>
      <c r="R10" s="39">
        <v>193.68921642022841</v>
      </c>
      <c r="S10" s="39">
        <v>193.48544529147085</v>
      </c>
      <c r="T10" s="39">
        <v>193.27267750847784</v>
      </c>
      <c r="U10" s="39">
        <v>193.05110937221525</v>
      </c>
      <c r="V10" s="39">
        <v>192.8210192276473</v>
      </c>
      <c r="W10" s="39"/>
      <c r="X10" s="39"/>
    </row>
    <row r="11" spans="2:24" x14ac:dyDescent="0.25">
      <c r="J11" s="77" t="s">
        <v>98</v>
      </c>
      <c r="K11" s="39">
        <v>1449.7</v>
      </c>
      <c r="L11" s="39">
        <v>1445.12</v>
      </c>
      <c r="M11" s="39">
        <v>1442.7808789678363</v>
      </c>
      <c r="N11" s="39">
        <v>1442.691482304203</v>
      </c>
      <c r="O11" s="39">
        <v>1444.468954140968</v>
      </c>
      <c r="P11" s="39">
        <v>1447.1129562254819</v>
      </c>
      <c r="Q11" s="39">
        <v>1449.7866166995118</v>
      </c>
      <c r="R11" s="39">
        <v>1452.5378186988926</v>
      </c>
      <c r="S11" s="39">
        <v>1455.4234680183297</v>
      </c>
      <c r="T11" s="39">
        <v>1458.4365210054534</v>
      </c>
      <c r="U11" s="39">
        <v>1461.5741977976136</v>
      </c>
      <c r="V11" s="39">
        <v>1464.832556688453</v>
      </c>
      <c r="W11" s="39"/>
      <c r="X11" s="39"/>
    </row>
    <row r="12" spans="2:24" x14ac:dyDescent="0.25">
      <c r="J12" s="77" t="s">
        <v>104</v>
      </c>
      <c r="K12" s="39">
        <v>1449.7</v>
      </c>
      <c r="L12" s="39">
        <v>1522.1849999999999</v>
      </c>
      <c r="M12" s="39">
        <v>1525.1226728603224</v>
      </c>
      <c r="N12" s="39">
        <v>1525.0269634202432</v>
      </c>
      <c r="O12" s="39">
        <v>1526.9299520480029</v>
      </c>
      <c r="P12" s="39">
        <v>1529.7606612578656</v>
      </c>
      <c r="Q12" s="39">
        <v>1532.6231231947204</v>
      </c>
      <c r="R12" s="39">
        <v>1535.568602278664</v>
      </c>
      <c r="S12" s="39">
        <v>1538.6580227268589</v>
      </c>
      <c r="T12" s="39">
        <v>1541.8838434969757</v>
      </c>
      <c r="U12" s="39">
        <v>1545.2430884253984</v>
      </c>
      <c r="V12" s="39">
        <v>1548.7315374608058</v>
      </c>
      <c r="W12" s="39"/>
      <c r="X12" s="39"/>
    </row>
    <row r="13" spans="2:24" x14ac:dyDescent="0.25">
      <c r="J13" s="77" t="s">
        <v>110</v>
      </c>
      <c r="K13" s="39"/>
      <c r="L13" s="39">
        <v>-77.065000000000097</v>
      </c>
      <c r="M13" s="39">
        <v>-82.341793892486237</v>
      </c>
      <c r="N13" s="39">
        <v>-82.335481116040015</v>
      </c>
      <c r="O13" s="39">
        <v>-82.460997907034809</v>
      </c>
      <c r="P13" s="39">
        <v>-82.647705032384067</v>
      </c>
      <c r="Q13" s="39">
        <v>-82.836506495208127</v>
      </c>
      <c r="R13" s="39">
        <v>-83.030783579771807</v>
      </c>
      <c r="S13" s="39">
        <v>-83.234554708529203</v>
      </c>
      <c r="T13" s="39">
        <v>-83.447322491522215</v>
      </c>
      <c r="U13" s="39">
        <v>-83.668890627784535</v>
      </c>
      <c r="V13" s="39">
        <v>-83.8989807723529</v>
      </c>
      <c r="W13" s="39"/>
      <c r="X13" s="39"/>
    </row>
    <row r="14" spans="2:24" x14ac:dyDescent="0.25">
      <c r="J14" s="77" t="s">
        <v>112</v>
      </c>
      <c r="K14" s="20">
        <v>1449.7</v>
      </c>
      <c r="L14" s="20">
        <v>1522.1849999999999</v>
      </c>
      <c r="M14" s="20">
        <v>1525.1226728603226</v>
      </c>
      <c r="N14" s="20">
        <v>1525.026963420243</v>
      </c>
      <c r="O14" s="20">
        <v>1526.9299520480029</v>
      </c>
      <c r="P14" s="20">
        <v>1529.7606612578659</v>
      </c>
      <c r="Q14" s="20">
        <v>1532.6231231947199</v>
      </c>
      <c r="R14" s="20">
        <v>1535.5686022786645</v>
      </c>
      <c r="S14" s="20">
        <v>1538.6580227268589</v>
      </c>
      <c r="T14" s="20">
        <v>1541.8838434969757</v>
      </c>
      <c r="U14" s="20">
        <v>1545.2430884253981</v>
      </c>
      <c r="V14" s="20">
        <v>1548.7315374608058</v>
      </c>
    </row>
  </sheetData>
  <phoneticPr fontId="1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5:V22"/>
  <sheetViews>
    <sheetView topLeftCell="I1" zoomScale="130" zoomScaleNormal="130" workbookViewId="0">
      <pane xSplit="2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4"/>
    <col min="10" max="10" width="40" style="24" customWidth="1"/>
    <col min="11" max="11" width="15.375" style="24"/>
    <col min="12" max="24" width="14.125" style="24"/>
    <col min="25" max="16384" width="9" style="24"/>
  </cols>
  <sheetData>
    <row r="5" spans="2:22" x14ac:dyDescent="0.25">
      <c r="L5" s="22">
        <f>L11/L10</f>
        <v>0.99728405915413354</v>
      </c>
    </row>
    <row r="6" spans="2:22" s="38" customFormat="1" ht="12.75" customHeight="1" x14ac:dyDescent="0.25">
      <c r="B6" s="38" t="s">
        <v>73</v>
      </c>
      <c r="K6" s="81" t="s">
        <v>73</v>
      </c>
      <c r="L6" s="81" t="s">
        <v>73</v>
      </c>
      <c r="M6" s="81" t="s">
        <v>73</v>
      </c>
      <c r="N6" s="81" t="s">
        <v>73</v>
      </c>
      <c r="O6" s="81" t="s">
        <v>73</v>
      </c>
      <c r="P6" s="81" t="s">
        <v>73</v>
      </c>
      <c r="Q6" s="81" t="s">
        <v>73</v>
      </c>
      <c r="R6" s="81" t="s">
        <v>73</v>
      </c>
      <c r="S6" s="81" t="s">
        <v>73</v>
      </c>
      <c r="T6" s="81" t="s">
        <v>73</v>
      </c>
      <c r="U6" s="81" t="s">
        <v>73</v>
      </c>
      <c r="V6" s="81" t="s">
        <v>73</v>
      </c>
    </row>
    <row r="7" spans="2:22" s="38" customFormat="1" x14ac:dyDescent="0.25">
      <c r="B7" s="38" t="s">
        <v>74</v>
      </c>
      <c r="K7" s="81" t="s">
        <v>75</v>
      </c>
      <c r="L7" s="81" t="s">
        <v>76</v>
      </c>
      <c r="M7" s="81" t="s">
        <v>77</v>
      </c>
      <c r="N7" s="81" t="s">
        <v>78</v>
      </c>
      <c r="O7" s="81" t="s">
        <v>79</v>
      </c>
      <c r="P7" s="81" t="s">
        <v>80</v>
      </c>
      <c r="Q7" s="81" t="s">
        <v>81</v>
      </c>
      <c r="R7" s="81" t="s">
        <v>82</v>
      </c>
      <c r="S7" s="81" t="s">
        <v>83</v>
      </c>
      <c r="T7" s="81" t="s">
        <v>84</v>
      </c>
      <c r="U7" s="81" t="s">
        <v>85</v>
      </c>
      <c r="V7" s="81" t="s">
        <v>86</v>
      </c>
    </row>
    <row r="8" spans="2:22" x14ac:dyDescent="0.25">
      <c r="J8" s="82" t="s">
        <v>88</v>
      </c>
      <c r="K8" s="24">
        <v>485</v>
      </c>
      <c r="L8" s="24">
        <v>495</v>
      </c>
      <c r="M8" s="24">
        <v>495.92136973886528</v>
      </c>
      <c r="N8" s="24">
        <v>496.85601826116391</v>
      </c>
      <c r="O8" s="24">
        <v>497.80214200344619</v>
      </c>
      <c r="P8" s="24">
        <v>498.76942887264079</v>
      </c>
      <c r="Q8" s="24">
        <v>499.73011929615313</v>
      </c>
      <c r="R8" s="24">
        <v>500.6446510398581</v>
      </c>
      <c r="S8" s="24">
        <v>501.51515286104456</v>
      </c>
      <c r="T8" s="24">
        <v>502.34366402606992</v>
      </c>
      <c r="U8" s="24">
        <v>503.13213720577625</v>
      </c>
      <c r="V8" s="24">
        <v>503.88244136990994</v>
      </c>
    </row>
    <row r="9" spans="2:22" x14ac:dyDescent="0.25">
      <c r="J9" s="82" t="s">
        <v>90</v>
      </c>
      <c r="K9" s="24">
        <v>3917.5257731958764</v>
      </c>
      <c r="L9" s="24">
        <v>3850</v>
      </c>
      <c r="M9" s="24">
        <v>3868.7536115997173</v>
      </c>
      <c r="N9" s="24">
        <v>3887.6881511688748</v>
      </c>
      <c r="O9" s="24">
        <v>3906.8868497425228</v>
      </c>
      <c r="P9" s="24">
        <v>3926.5213756680159</v>
      </c>
      <c r="Q9" s="24">
        <v>3946.4055361909577</v>
      </c>
      <c r="R9" s="24">
        <v>3966.2581387263695</v>
      </c>
      <c r="S9" s="24">
        <v>3986.1392661383925</v>
      </c>
      <c r="T9" s="24">
        <v>4006.139378581282</v>
      </c>
      <c r="U9" s="24">
        <v>4026.2992984025054</v>
      </c>
      <c r="V9" s="24">
        <v>4046.6748057338896</v>
      </c>
    </row>
    <row r="10" spans="2:22" x14ac:dyDescent="0.25">
      <c r="J10" s="82" t="s">
        <v>92</v>
      </c>
      <c r="K10" s="24">
        <v>1961.49</v>
      </c>
      <c r="L10" s="24">
        <v>1910.94</v>
      </c>
      <c r="M10" s="24">
        <v>1918.5975902467139</v>
      </c>
      <c r="N10" s="24">
        <v>1931.621255030873</v>
      </c>
      <c r="O10" s="24">
        <v>1944.8566423669238</v>
      </c>
      <c r="P10" s="24">
        <v>1958.4288239981522</v>
      </c>
      <c r="Q10" s="24">
        <v>1972.1377093917056</v>
      </c>
      <c r="R10" s="24">
        <v>1985.6859217966603</v>
      </c>
      <c r="S10" s="24">
        <v>1999.1092433828076</v>
      </c>
      <c r="T10" s="24">
        <v>2012.4587340356441</v>
      </c>
      <c r="U10" s="24">
        <v>2025.7605710353698</v>
      </c>
      <c r="V10" s="24">
        <v>2039.0483805432984</v>
      </c>
    </row>
    <row r="11" spans="2:22" x14ac:dyDescent="0.25">
      <c r="J11" s="82" t="s">
        <v>94</v>
      </c>
      <c r="K11" s="24">
        <v>1900</v>
      </c>
      <c r="L11" s="24">
        <v>1905.75</v>
      </c>
      <c r="M11" s="24">
        <v>1918.5975902467139</v>
      </c>
      <c r="N11" s="24">
        <v>1931.621255030873</v>
      </c>
      <c r="O11" s="24">
        <v>1944.8566423669238</v>
      </c>
      <c r="P11" s="24">
        <v>1958.4288239981522</v>
      </c>
      <c r="Q11" s="24">
        <v>1972.1377093917056</v>
      </c>
      <c r="R11" s="24">
        <v>1985.6859217966603</v>
      </c>
      <c r="S11" s="24">
        <v>1999.1092433828076</v>
      </c>
      <c r="T11" s="24">
        <v>2012.4587340356441</v>
      </c>
      <c r="U11" s="24">
        <v>2025.7605710353698</v>
      </c>
      <c r="V11" s="24">
        <v>2039.0483805432984</v>
      </c>
    </row>
    <row r="12" spans="2:22" x14ac:dyDescent="0.25">
      <c r="J12" s="82" t="s">
        <v>96</v>
      </c>
      <c r="K12" s="24">
        <v>61.49</v>
      </c>
      <c r="L12" s="24">
        <v>5.1899999999999977</v>
      </c>
    </row>
    <row r="13" spans="2:22" x14ac:dyDescent="0.25">
      <c r="J13" s="82" t="s">
        <v>98</v>
      </c>
      <c r="K13" s="24">
        <v>1961.4899999999998</v>
      </c>
      <c r="L13" s="24">
        <v>1910.9399999999998</v>
      </c>
      <c r="M13" s="24">
        <v>1918.5975902467139</v>
      </c>
      <c r="N13" s="24">
        <v>1931.621255030873</v>
      </c>
      <c r="O13" s="24">
        <v>1944.8566423669238</v>
      </c>
      <c r="P13" s="24">
        <v>1958.4288239981522</v>
      </c>
      <c r="Q13" s="24">
        <v>1972.1377093917056</v>
      </c>
      <c r="R13" s="24">
        <v>1985.6859217966603</v>
      </c>
      <c r="S13" s="24">
        <v>1999.1092433828076</v>
      </c>
      <c r="T13" s="24">
        <v>2012.4587340356441</v>
      </c>
      <c r="U13" s="24">
        <v>2025.7605710353698</v>
      </c>
      <c r="V13" s="24">
        <v>2039.0483805432984</v>
      </c>
    </row>
    <row r="14" spans="2:22" x14ac:dyDescent="0.25">
      <c r="J14" s="82" t="s">
        <v>100</v>
      </c>
      <c r="K14" s="24">
        <v>5.6984406510069023</v>
      </c>
      <c r="L14" s="24">
        <v>5.9435258276448693</v>
      </c>
      <c r="M14" s="24">
        <v>6.0523760023699475</v>
      </c>
      <c r="N14" s="24">
        <v>6.1660724387035337</v>
      </c>
      <c r="O14" s="24">
        <v>6.2787637929542282</v>
      </c>
      <c r="P14" s="24">
        <v>6.3899655819330761</v>
      </c>
      <c r="Q14" s="24">
        <v>6.5011959229160272</v>
      </c>
      <c r="R14" s="24">
        <v>6.6103377459662651</v>
      </c>
      <c r="S14" s="24">
        <v>6.7223463208605576</v>
      </c>
      <c r="T14" s="24">
        <v>6.8343700103337168</v>
      </c>
      <c r="U14" s="24">
        <v>6.946109050735803</v>
      </c>
      <c r="V14" s="24">
        <v>7.0573233516034124</v>
      </c>
    </row>
    <row r="15" spans="2:22" x14ac:dyDescent="0.25">
      <c r="J15" s="82" t="s">
        <v>104</v>
      </c>
      <c r="K15" s="24">
        <v>104.8</v>
      </c>
      <c r="L15" s="24">
        <v>105</v>
      </c>
    </row>
    <row r="16" spans="2:22" x14ac:dyDescent="0.25">
      <c r="J16" s="82" t="s">
        <v>130</v>
      </c>
      <c r="K16" s="24">
        <v>970</v>
      </c>
      <c r="L16" s="24">
        <v>980</v>
      </c>
      <c r="M16" s="24">
        <v>992.21755146220289</v>
      </c>
      <c r="N16" s="24">
        <v>992.15531335243406</v>
      </c>
      <c r="O16" s="24">
        <v>993.39279227830275</v>
      </c>
      <c r="P16" s="24">
        <v>995.23355104131974</v>
      </c>
      <c r="Q16" s="24">
        <v>997.09495802572712</v>
      </c>
      <c r="R16" s="24">
        <v>999.01034955240186</v>
      </c>
      <c r="S16" s="24">
        <v>1001.0193435327243</v>
      </c>
      <c r="T16" s="24">
        <v>1003.1170361638941</v>
      </c>
      <c r="U16" s="24">
        <v>1005.3014921007907</v>
      </c>
      <c r="V16" s="24">
        <v>1007.5699671207224</v>
      </c>
    </row>
    <row r="17" spans="10:22" x14ac:dyDescent="0.25">
      <c r="J17" s="82" t="s">
        <v>110</v>
      </c>
      <c r="K17" s="24">
        <v>84.190000000000097</v>
      </c>
      <c r="L17" s="24">
        <v>-9.0599999999998904</v>
      </c>
      <c r="M17" s="24">
        <v>-9.1210778788587259</v>
      </c>
      <c r="N17" s="24">
        <v>-9.1829928220278099</v>
      </c>
      <c r="O17" s="24">
        <v>-9.2459143013743237</v>
      </c>
      <c r="P17" s="24">
        <v>-9.3104369121988952</v>
      </c>
      <c r="Q17" s="24">
        <v>-9.3756094173362747</v>
      </c>
      <c r="R17" s="24">
        <v>-9.4400180776479203</v>
      </c>
      <c r="S17" s="24">
        <v>-9.5038330027800164</v>
      </c>
      <c r="T17" s="24">
        <v>-9.5672969331563493</v>
      </c>
      <c r="U17" s="24">
        <v>-9.6305343164529589</v>
      </c>
      <c r="V17" s="24">
        <v>-9.6937050125788069</v>
      </c>
    </row>
    <row r="18" spans="10:22" x14ac:dyDescent="0.25">
      <c r="J18" s="82" t="s">
        <v>245</v>
      </c>
      <c r="M18" s="24">
        <v>86.112484203571512</v>
      </c>
      <c r="N18" s="24">
        <v>84.655349728037436</v>
      </c>
      <c r="O18" s="24">
        <v>82.722533872878557</v>
      </c>
      <c r="P18" s="24">
        <v>81.198740787207399</v>
      </c>
      <c r="Q18" s="24">
        <v>80.237492828729941</v>
      </c>
      <c r="R18" s="24">
        <v>79.814633605457743</v>
      </c>
      <c r="S18" s="24">
        <v>78.737765046137753</v>
      </c>
      <c r="T18" s="24">
        <v>77.938511261437952</v>
      </c>
      <c r="U18" s="24">
        <v>77.485770126298277</v>
      </c>
      <c r="V18" s="24">
        <v>77.423829820491903</v>
      </c>
    </row>
    <row r="19" spans="10:22" x14ac:dyDescent="0.25">
      <c r="J19" s="82" t="s">
        <v>112</v>
      </c>
      <c r="K19" s="24">
        <v>1877.2999999999997</v>
      </c>
      <c r="L19" s="24">
        <v>1919.9999999999998</v>
      </c>
      <c r="M19" s="24">
        <v>1841.606183922001</v>
      </c>
      <c r="N19" s="24">
        <v>1856.1488981248633</v>
      </c>
      <c r="O19" s="24">
        <v>1871.3800227954196</v>
      </c>
      <c r="P19" s="24">
        <v>1886.5405201231436</v>
      </c>
      <c r="Q19" s="24">
        <v>1901.275825980312</v>
      </c>
      <c r="R19" s="24">
        <v>1915.3113062688503</v>
      </c>
      <c r="S19" s="24">
        <v>1929.8753113394498</v>
      </c>
      <c r="T19" s="24">
        <v>1944.0875197073624</v>
      </c>
      <c r="U19" s="24">
        <v>1957.9053352255244</v>
      </c>
      <c r="V19" s="24">
        <v>1971.3182557353855</v>
      </c>
    </row>
    <row r="20" spans="10:22" x14ac:dyDescent="0.25">
      <c r="J20" s="82" t="s">
        <v>114</v>
      </c>
      <c r="K20" s="24">
        <v>68.069791482336456</v>
      </c>
      <c r="L20" s="24">
        <v>70.997416404815951</v>
      </c>
      <c r="M20" s="24">
        <v>72.297668377264358</v>
      </c>
      <c r="N20" s="24">
        <v>73.655810575717283</v>
      </c>
      <c r="O20" s="24">
        <v>75.001946730412755</v>
      </c>
      <c r="P20" s="24">
        <v>76.330289526597795</v>
      </c>
      <c r="Q20" s="24">
        <v>77.658973386081513</v>
      </c>
      <c r="R20" s="24">
        <v>78.962709195933101</v>
      </c>
      <c r="S20" s="24">
        <v>80.300689321415476</v>
      </c>
      <c r="T20" s="24">
        <v>81.638849995629499</v>
      </c>
      <c r="U20" s="24">
        <v>82.973610440886134</v>
      </c>
      <c r="V20" s="24">
        <v>84.302102695793494</v>
      </c>
    </row>
    <row r="21" spans="10:22" x14ac:dyDescent="0.25">
      <c r="J21" s="82" t="s">
        <v>116</v>
      </c>
      <c r="K21" s="24">
        <v>802.5</v>
      </c>
      <c r="L21" s="24">
        <v>835</v>
      </c>
      <c r="M21" s="24">
        <v>849.3886324597978</v>
      </c>
      <c r="N21" s="24">
        <v>863.99358477242924</v>
      </c>
      <c r="O21" s="24">
        <v>877.98723051711681</v>
      </c>
      <c r="P21" s="24">
        <v>891.30696908182369</v>
      </c>
      <c r="Q21" s="24">
        <v>904.18086795458578</v>
      </c>
      <c r="R21" s="24">
        <v>916.30095671644824</v>
      </c>
      <c r="S21" s="24">
        <v>928.8559678067254</v>
      </c>
      <c r="T21" s="24">
        <v>940.97048354346782</v>
      </c>
      <c r="U21" s="24">
        <v>952.60384312473366</v>
      </c>
      <c r="V21" s="24">
        <v>963.74828861466278</v>
      </c>
    </row>
    <row r="22" spans="10:22" x14ac:dyDescent="0.25">
      <c r="J22" s="82" t="s">
        <v>118</v>
      </c>
      <c r="K22" s="24">
        <v>386.72577996621163</v>
      </c>
      <c r="L22" s="24">
        <v>381.13084467521873</v>
      </c>
      <c r="M22" s="24">
        <v>361.52447361165184</v>
      </c>
      <c r="N22" s="24">
        <v>360.6206560655105</v>
      </c>
      <c r="O22" s="24">
        <v>359.81497783911232</v>
      </c>
      <c r="P22" s="24">
        <v>358.94162154059268</v>
      </c>
      <c r="Q22" s="24">
        <v>357.95160106486486</v>
      </c>
      <c r="R22" s="24">
        <v>356.82202078204097</v>
      </c>
      <c r="S22" s="24">
        <v>355.78190950593222</v>
      </c>
      <c r="T22" s="24">
        <v>354.65736144425125</v>
      </c>
      <c r="U22" s="24">
        <v>353.43959070080336</v>
      </c>
      <c r="V22" s="24">
        <v>352.12472764220126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6:X16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K8" sqref="K8:X15"/>
    </sheetView>
  </sheetViews>
  <sheetFormatPr defaultColWidth="9" defaultRowHeight="15" x14ac:dyDescent="0.25"/>
  <cols>
    <col min="1" max="9" width="9" style="20"/>
    <col min="10" max="10" width="49.125" style="20" customWidth="1"/>
    <col min="11" max="24" width="14.125" style="20"/>
    <col min="25" max="16384" width="9" style="20"/>
  </cols>
  <sheetData>
    <row r="6" spans="2:24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4" x14ac:dyDescent="0.25">
      <c r="J8" s="77" t="s">
        <v>92</v>
      </c>
      <c r="K8" s="24">
        <v>312.64999999999998</v>
      </c>
      <c r="L8" s="24">
        <v>359.09</v>
      </c>
      <c r="M8" s="24">
        <v>363.12178066097823</v>
      </c>
      <c r="N8" s="24">
        <v>366.94218234852872</v>
      </c>
      <c r="O8" s="24">
        <v>370.36005608612902</v>
      </c>
      <c r="P8" s="24">
        <v>373.3885439118917</v>
      </c>
      <c r="Q8" s="24">
        <v>376.10593747425054</v>
      </c>
      <c r="R8" s="24">
        <v>378.46717773229773</v>
      </c>
      <c r="S8" s="24">
        <v>380.86047801311906</v>
      </c>
      <c r="T8" s="24">
        <v>383.00406049912027</v>
      </c>
      <c r="U8" s="24">
        <v>384.89651764042469</v>
      </c>
      <c r="V8" s="24">
        <v>386.55347693036617</v>
      </c>
      <c r="W8" s="24"/>
      <c r="X8" s="24"/>
    </row>
    <row r="9" spans="2:24" x14ac:dyDescent="0.25">
      <c r="J9" s="77" t="s">
        <v>94</v>
      </c>
      <c r="K9" s="24">
        <v>288.2</v>
      </c>
      <c r="L9" s="24">
        <v>320</v>
      </c>
      <c r="M9" s="24">
        <v>324.95587392745944</v>
      </c>
      <c r="N9" s="24">
        <v>328.78717086567798</v>
      </c>
      <c r="O9" s="24">
        <v>332.21479190059625</v>
      </c>
      <c r="P9" s="24">
        <v>335.25191654957956</v>
      </c>
      <c r="Q9" s="24">
        <v>337.9770597378801</v>
      </c>
      <c r="R9" s="24">
        <v>340.34503392251474</v>
      </c>
      <c r="S9" s="24">
        <v>342.74515956061953</v>
      </c>
      <c r="T9" s="24">
        <v>344.89485524371952</v>
      </c>
      <c r="U9" s="24">
        <v>346.7927094078031</v>
      </c>
      <c r="V9" s="24">
        <v>348.45439411362673</v>
      </c>
      <c r="W9" s="24"/>
      <c r="X9" s="24"/>
    </row>
    <row r="10" spans="2:24" x14ac:dyDescent="0.25">
      <c r="J10" s="77" t="s">
        <v>96</v>
      </c>
      <c r="K10" s="24">
        <v>24.45</v>
      </c>
      <c r="L10" s="24">
        <v>39.089999999999996</v>
      </c>
      <c r="M10" s="24">
        <v>38.165906733518796</v>
      </c>
      <c r="N10" s="24">
        <v>38.155011482850718</v>
      </c>
      <c r="O10" s="24">
        <v>38.145264185532739</v>
      </c>
      <c r="P10" s="24">
        <v>38.136627362312147</v>
      </c>
      <c r="Q10" s="24">
        <v>38.128877736370441</v>
      </c>
      <c r="R10" s="24">
        <v>38.122143809782976</v>
      </c>
      <c r="S10" s="24">
        <v>38.115318452499558</v>
      </c>
      <c r="T10" s="24">
        <v>38.109205255400767</v>
      </c>
      <c r="U10" s="24">
        <v>38.103808232621596</v>
      </c>
      <c r="V10" s="24">
        <v>38.09908281673944</v>
      </c>
      <c r="W10" s="24"/>
      <c r="X10" s="24"/>
    </row>
    <row r="11" spans="2:24" x14ac:dyDescent="0.25">
      <c r="J11" s="77" t="s">
        <v>98</v>
      </c>
      <c r="K11" s="24">
        <v>312.65000000000003</v>
      </c>
      <c r="L11" s="24">
        <v>359.09</v>
      </c>
      <c r="M11" s="24">
        <v>363.12178066097823</v>
      </c>
      <c r="N11" s="24">
        <v>366.94218234852872</v>
      </c>
      <c r="O11" s="24">
        <v>370.36005608612896</v>
      </c>
      <c r="P11" s="24">
        <v>373.3885439118917</v>
      </c>
      <c r="Q11" s="24">
        <v>376.10593747425054</v>
      </c>
      <c r="R11" s="24">
        <v>378.46717773229773</v>
      </c>
      <c r="S11" s="24">
        <v>380.86047801311906</v>
      </c>
      <c r="T11" s="24">
        <v>383.00406049912027</v>
      </c>
      <c r="U11" s="24">
        <v>384.89651764042469</v>
      </c>
      <c r="V11" s="24">
        <v>386.55347693036617</v>
      </c>
      <c r="W11" s="24"/>
      <c r="X11" s="24"/>
    </row>
    <row r="12" spans="2:24" x14ac:dyDescent="0.25">
      <c r="J12" s="77" t="s">
        <v>100</v>
      </c>
      <c r="K12" s="24">
        <v>2.2722753997784531</v>
      </c>
      <c r="L12" s="24">
        <v>2.5624782011403027</v>
      </c>
      <c r="M12" s="24">
        <v>2.594033434070754</v>
      </c>
      <c r="N12" s="24">
        <v>2.6254330171913942</v>
      </c>
      <c r="O12" s="24">
        <v>2.6553177569140254</v>
      </c>
      <c r="P12" s="24">
        <v>2.683735284927502</v>
      </c>
      <c r="Q12" s="24">
        <v>2.7111686591857471</v>
      </c>
      <c r="R12" s="24">
        <v>2.7373034028776599</v>
      </c>
      <c r="S12" s="24">
        <v>2.7634297124757619</v>
      </c>
      <c r="T12" s="24">
        <v>2.7889233775086653</v>
      </c>
      <c r="U12" s="24">
        <v>2.8137440339814228</v>
      </c>
      <c r="V12" s="24">
        <v>2.8379050159378747</v>
      </c>
      <c r="W12" s="24"/>
      <c r="X12" s="24"/>
    </row>
    <row r="13" spans="2:24" x14ac:dyDescent="0.25">
      <c r="J13" s="77" t="s">
        <v>110</v>
      </c>
      <c r="K13" s="24">
        <v>-7.3500000000000396</v>
      </c>
      <c r="L13" s="24">
        <v>-0.90999999999994596</v>
      </c>
      <c r="M13" s="24">
        <v>-0.92409326648115797</v>
      </c>
      <c r="N13" s="24">
        <v>-0.93498851714921627</v>
      </c>
      <c r="O13" s="24">
        <v>-0.94473581446726451</v>
      </c>
      <c r="P13" s="24">
        <v>-0.95337263768781033</v>
      </c>
      <c r="Q13" s="24">
        <v>-0.96112226362953967</v>
      </c>
      <c r="R13" s="24">
        <v>-0.9678561902170939</v>
      </c>
      <c r="S13" s="24">
        <v>-0.97468154750045388</v>
      </c>
      <c r="T13" s="24">
        <v>-0.98079474459926919</v>
      </c>
      <c r="U13" s="24">
        <v>-0.98619176737838155</v>
      </c>
      <c r="V13" s="24">
        <v>-0.99091718326056721</v>
      </c>
      <c r="W13" s="24"/>
      <c r="X13" s="24"/>
    </row>
    <row r="14" spans="2:24" x14ac:dyDescent="0.25">
      <c r="J14" s="77" t="s">
        <v>112</v>
      </c>
      <c r="K14" s="24">
        <v>320.00000000000006</v>
      </c>
      <c r="L14" s="24">
        <v>359.99999999999994</v>
      </c>
      <c r="M14" s="24">
        <v>364.04587392745941</v>
      </c>
      <c r="N14" s="24">
        <v>367.87717086567795</v>
      </c>
      <c r="O14" s="24">
        <v>371.30479190059623</v>
      </c>
      <c r="P14" s="24">
        <v>374.34191654957954</v>
      </c>
      <c r="Q14" s="24">
        <v>377.06705973788007</v>
      </c>
      <c r="R14" s="24">
        <v>379.43503392251483</v>
      </c>
      <c r="S14" s="24">
        <v>381.8351595606195</v>
      </c>
      <c r="T14" s="24">
        <v>383.98485524371955</v>
      </c>
      <c r="U14" s="24">
        <v>385.88270940780308</v>
      </c>
      <c r="V14" s="24">
        <v>387.54439411362677</v>
      </c>
      <c r="W14" s="24"/>
      <c r="X14" s="24"/>
    </row>
    <row r="15" spans="2:24" x14ac:dyDescent="0.25">
      <c r="J15" s="77" t="s">
        <v>114</v>
      </c>
      <c r="K15" s="24">
        <v>55.045748689658254</v>
      </c>
      <c r="L15" s="24">
        <v>62.075895860356262</v>
      </c>
      <c r="M15" s="24">
        <v>62.840319671793296</v>
      </c>
      <c r="N15" s="24">
        <v>63.600972875004182</v>
      </c>
      <c r="O15" s="24">
        <v>64.324929078811252</v>
      </c>
      <c r="P15" s="24">
        <v>65.013342158301384</v>
      </c>
      <c r="Q15" s="24">
        <v>65.677914166287721</v>
      </c>
      <c r="R15" s="24">
        <v>66.311026919026204</v>
      </c>
      <c r="S15" s="24">
        <v>66.943935356298155</v>
      </c>
      <c r="T15" s="24">
        <v>67.561518013187538</v>
      </c>
      <c r="U15" s="24">
        <v>68.162797074099331</v>
      </c>
      <c r="V15" s="24">
        <v>68.748095555524543</v>
      </c>
      <c r="W15" s="24"/>
      <c r="X15" s="24"/>
    </row>
    <row r="16" spans="2:24" x14ac:dyDescent="0.25">
      <c r="J16" s="77" t="s">
        <v>116</v>
      </c>
      <c r="K16" s="20">
        <v>320</v>
      </c>
      <c r="L16" s="20">
        <v>360</v>
      </c>
      <c r="M16" s="20">
        <v>364.04587392745941</v>
      </c>
      <c r="N16" s="20">
        <v>367.87717086567795</v>
      </c>
      <c r="O16" s="20">
        <v>371.30479190059623</v>
      </c>
      <c r="P16" s="20">
        <v>374.34191654957948</v>
      </c>
      <c r="Q16" s="20">
        <v>377.06705973787996</v>
      </c>
      <c r="R16" s="20">
        <v>379.43503392251472</v>
      </c>
      <c r="S16" s="20">
        <v>381.8351595606195</v>
      </c>
      <c r="T16" s="20">
        <v>383.98485524371949</v>
      </c>
      <c r="U16" s="20">
        <v>385.88270940780308</v>
      </c>
      <c r="V16" s="20">
        <v>387.54439411362671</v>
      </c>
    </row>
  </sheetData>
  <phoneticPr fontId="1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6:X15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W35" sqref="W35"/>
    </sheetView>
  </sheetViews>
  <sheetFormatPr defaultColWidth="9" defaultRowHeight="15" x14ac:dyDescent="0.25"/>
  <cols>
    <col min="1" max="9" width="9" style="20"/>
    <col min="10" max="10" width="19.125" style="20" customWidth="1"/>
    <col min="11" max="12" width="9.25" style="20"/>
    <col min="13" max="24" width="14.125" style="20"/>
    <col min="25" max="16384" width="9" style="20"/>
  </cols>
  <sheetData>
    <row r="6" spans="2:24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4" x14ac:dyDescent="0.25">
      <c r="J8" s="77" t="s">
        <v>92</v>
      </c>
      <c r="K8" s="27">
        <v>407.3</v>
      </c>
      <c r="L8" s="27">
        <v>398</v>
      </c>
      <c r="M8" s="27">
        <v>402.96182192036389</v>
      </c>
      <c r="N8" s="27">
        <v>402.93654562680479</v>
      </c>
      <c r="O8" s="27">
        <v>403.43911359873925</v>
      </c>
      <c r="P8" s="27">
        <v>404.18668705555632</v>
      </c>
      <c r="Q8" s="27">
        <v>404.94264621861174</v>
      </c>
      <c r="R8" s="27">
        <v>405.7205297161795</v>
      </c>
      <c r="S8" s="27">
        <v>406.53642727145331</v>
      </c>
      <c r="T8" s="27">
        <v>407.38834734003041</v>
      </c>
      <c r="U8" s="27">
        <v>408.27550393481084</v>
      </c>
      <c r="V8" s="27">
        <v>409.19678256535451</v>
      </c>
      <c r="W8" s="27"/>
      <c r="X8" s="27"/>
    </row>
    <row r="9" spans="2:24" x14ac:dyDescent="0.25">
      <c r="J9" s="77" t="s">
        <v>94</v>
      </c>
      <c r="K9" s="27">
        <v>404</v>
      </c>
      <c r="L9" s="27">
        <v>398</v>
      </c>
      <c r="M9" s="27">
        <v>402.96182192036389</v>
      </c>
      <c r="N9" s="27">
        <v>402.93654562680479</v>
      </c>
      <c r="O9" s="27">
        <v>403.43911359873925</v>
      </c>
      <c r="P9" s="27">
        <v>404.18668705555632</v>
      </c>
      <c r="Q9" s="27">
        <v>404.94264621861174</v>
      </c>
      <c r="R9" s="27">
        <v>405.7205297161795</v>
      </c>
      <c r="S9" s="27">
        <v>406.53642727145331</v>
      </c>
      <c r="T9" s="27">
        <v>407.38834734003041</v>
      </c>
      <c r="U9" s="27">
        <v>408.27550393481084</v>
      </c>
      <c r="V9" s="27">
        <v>409.19678256535451</v>
      </c>
      <c r="W9" s="27"/>
      <c r="X9" s="27"/>
    </row>
    <row r="10" spans="2:24" x14ac:dyDescent="0.25">
      <c r="J10" s="77" t="s">
        <v>96</v>
      </c>
      <c r="K10" s="27">
        <v>3.3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2:24" x14ac:dyDescent="0.25">
      <c r="J11" s="77" t="s">
        <v>98</v>
      </c>
      <c r="K11" s="27">
        <v>407.3</v>
      </c>
      <c r="L11" s="27">
        <v>398</v>
      </c>
      <c r="M11" s="27">
        <v>402.96182192036389</v>
      </c>
      <c r="N11" s="27">
        <v>402.93654562680479</v>
      </c>
      <c r="O11" s="27">
        <v>403.43911359873925</v>
      </c>
      <c r="P11" s="27">
        <v>404.18668705555632</v>
      </c>
      <c r="Q11" s="27">
        <v>404.94264621861174</v>
      </c>
      <c r="R11" s="27">
        <v>405.7205297161795</v>
      </c>
      <c r="S11" s="27">
        <v>406.53642727145331</v>
      </c>
      <c r="T11" s="27">
        <v>407.38834734003041</v>
      </c>
      <c r="U11" s="27">
        <v>408.27550393481084</v>
      </c>
      <c r="V11" s="27">
        <v>409.19678256535451</v>
      </c>
      <c r="W11" s="27"/>
      <c r="X11" s="27"/>
    </row>
    <row r="12" spans="2:24" x14ac:dyDescent="0.25">
      <c r="J12" s="77" t="s">
        <v>104</v>
      </c>
      <c r="K12" s="27">
        <v>385</v>
      </c>
      <c r="L12" s="27">
        <v>402</v>
      </c>
      <c r="M12" s="27">
        <v>402.77582192036391</v>
      </c>
      <c r="N12" s="27">
        <v>402.75054562680475</v>
      </c>
      <c r="O12" s="27">
        <v>403.25311359873928</v>
      </c>
      <c r="P12" s="27">
        <v>404.00068705555634</v>
      </c>
      <c r="Q12" s="27">
        <v>404.75664621861182</v>
      </c>
      <c r="R12" s="27">
        <v>405.53452971617952</v>
      </c>
      <c r="S12" s="27">
        <v>406.35042727145333</v>
      </c>
      <c r="T12" s="27">
        <v>407.20234734003043</v>
      </c>
      <c r="U12" s="27">
        <v>408.08950393481086</v>
      </c>
      <c r="V12" s="27">
        <v>409.01078256535448</v>
      </c>
      <c r="W12" s="27"/>
      <c r="X12" s="27"/>
    </row>
    <row r="13" spans="2:24" x14ac:dyDescent="0.25">
      <c r="J13" s="77" t="s">
        <v>110</v>
      </c>
      <c r="K13" s="27">
        <v>22.3</v>
      </c>
      <c r="L13" s="27">
        <v>-4.1859999999999902</v>
      </c>
      <c r="M13" s="27">
        <v>-4.2381863983885424</v>
      </c>
      <c r="N13" s="27">
        <v>-4.2379205527482435</v>
      </c>
      <c r="O13" s="27">
        <v>-4.2432063555887414</v>
      </c>
      <c r="P13" s="27">
        <v>-4.2510690251621979</v>
      </c>
      <c r="Q13" s="27">
        <v>-4.2590198921384523</v>
      </c>
      <c r="R13" s="27">
        <v>-4.2672013502309634</v>
      </c>
      <c r="S13" s="27">
        <v>-4.2757826245183415</v>
      </c>
      <c r="T13" s="27">
        <v>-4.2847427687571953</v>
      </c>
      <c r="U13" s="27">
        <v>-4.2940735162590817</v>
      </c>
      <c r="V13" s="27">
        <v>-4.3037631452727894</v>
      </c>
      <c r="W13" s="27"/>
      <c r="X13" s="27"/>
    </row>
    <row r="14" spans="2:24" x14ac:dyDescent="0.25">
      <c r="J14" s="77" t="s">
        <v>245</v>
      </c>
      <c r="L14" s="20">
        <v>0.186</v>
      </c>
      <c r="M14" s="20">
        <v>4.4241863983885423</v>
      </c>
      <c r="N14" s="20">
        <v>4.4239205527482568</v>
      </c>
      <c r="O14" s="20">
        <v>4.4292063555887466</v>
      </c>
      <c r="P14" s="20">
        <v>4.4370690251622023</v>
      </c>
      <c r="Q14" s="20">
        <v>4.4450198921384185</v>
      </c>
      <c r="R14" s="20">
        <v>4.4532013502309269</v>
      </c>
      <c r="S14" s="20">
        <v>4.461782624518321</v>
      </c>
      <c r="T14" s="20">
        <v>4.4707427687571908</v>
      </c>
      <c r="U14" s="20">
        <v>4.4800735162590399</v>
      </c>
      <c r="V14" s="20">
        <v>4.4897631452727751</v>
      </c>
    </row>
    <row r="15" spans="2:24" x14ac:dyDescent="0.25">
      <c r="J15" s="77" t="s">
        <v>112</v>
      </c>
      <c r="K15" s="20">
        <v>385</v>
      </c>
      <c r="L15" s="20">
        <v>402</v>
      </c>
      <c r="M15" s="20">
        <v>402.77582192036391</v>
      </c>
      <c r="N15" s="20">
        <v>402.75054562680475</v>
      </c>
      <c r="O15" s="20">
        <v>403.25311359873928</v>
      </c>
      <c r="P15" s="20">
        <v>404.00068705555634</v>
      </c>
      <c r="Q15" s="20">
        <v>404.75664621861176</v>
      </c>
      <c r="R15" s="20">
        <v>405.53452971617952</v>
      </c>
      <c r="S15" s="20">
        <v>406.35042727145333</v>
      </c>
      <c r="T15" s="20">
        <v>407.20234734003043</v>
      </c>
      <c r="U15" s="20">
        <v>408.08950393481086</v>
      </c>
      <c r="V15" s="20">
        <v>409.01078256535453</v>
      </c>
    </row>
  </sheetData>
  <phoneticPr fontId="1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AE17"/>
  <sheetViews>
    <sheetView topLeftCell="I1" zoomScale="90" zoomScaleNormal="90" workbookViewId="0">
      <pane xSplit="2" ySplit="7" topLeftCell="K8" activePane="bottomRight" state="frozen"/>
      <selection pane="topRight"/>
      <selection pane="bottomLeft"/>
      <selection pane="bottomRight" activeCell="M12" sqref="M12"/>
    </sheetView>
  </sheetViews>
  <sheetFormatPr defaultColWidth="9" defaultRowHeight="15" x14ac:dyDescent="0.25"/>
  <cols>
    <col min="1" max="9" width="9" style="20"/>
    <col min="10" max="10" width="21.625" style="20" customWidth="1"/>
    <col min="11" max="16" width="14.125" style="20"/>
    <col min="17" max="31" width="9.875" style="20" customWidth="1"/>
    <col min="32" max="16384" width="9" style="20"/>
  </cols>
  <sheetData>
    <row r="3" spans="2:31" x14ac:dyDescent="0.25">
      <c r="K3" s="27">
        <f t="shared" ref="K3:W3" si="0">K9/15</f>
        <v>144.78150066354272</v>
      </c>
      <c r="L3" s="27">
        <f t="shared" si="0"/>
        <v>148.60812746151092</v>
      </c>
      <c r="M3" s="27">
        <f t="shared" si="0"/>
        <v>148.67540926794061</v>
      </c>
      <c r="N3" s="27">
        <f t="shared" si="0"/>
        <v>148.74567647168436</v>
      </c>
      <c r="O3" s="27">
        <f t="shared" si="0"/>
        <v>148.82136057318496</v>
      </c>
      <c r="P3" s="27">
        <f t="shared" si="0"/>
        <v>148.90725437495891</v>
      </c>
      <c r="Q3" s="27">
        <f t="shared" si="0"/>
        <v>148.99889729634472</v>
      </c>
      <c r="R3" s="27">
        <f t="shared" si="0"/>
        <v>149.08532617682033</v>
      </c>
      <c r="S3" s="27">
        <f t="shared" si="0"/>
        <v>149.16885064236536</v>
      </c>
      <c r="T3" s="27">
        <f t="shared" si="0"/>
        <v>149.25287122939528</v>
      </c>
      <c r="U3" s="27">
        <f t="shared" si="0"/>
        <v>149.3388868991876</v>
      </c>
      <c r="V3" s="27">
        <f t="shared" si="0"/>
        <v>149.42892178166025</v>
      </c>
      <c r="W3" s="27">
        <f t="shared" si="0"/>
        <v>0</v>
      </c>
    </row>
    <row r="5" spans="2:31" x14ac:dyDescent="0.25">
      <c r="L5" s="22">
        <f>L11/L10</f>
        <v>0.86460096341622183</v>
      </c>
      <c r="M5" s="30">
        <f>M8/L8-1</f>
        <v>-1.1514060276350824E-3</v>
      </c>
      <c r="N5" s="30">
        <f t="shared" ref="N5:X5" si="1">N8/M8-1</f>
        <v>-1.1502428147701638E-3</v>
      </c>
      <c r="O5" s="30">
        <f t="shared" si="1"/>
        <v>-1.1497012728781675E-3</v>
      </c>
      <c r="P5" s="30">
        <f t="shared" si="1"/>
        <v>-1.1400415328249869E-3</v>
      </c>
      <c r="Q5" s="30">
        <f t="shared" si="1"/>
        <v>-1.1389242987862591E-3</v>
      </c>
      <c r="R5" s="30">
        <f t="shared" si="1"/>
        <v>-1.1085801134801399E-3</v>
      </c>
      <c r="S5" s="30">
        <f t="shared" si="1"/>
        <v>-1.0793190657851781E-3</v>
      </c>
      <c r="T5" s="30">
        <f t="shared" si="1"/>
        <v>-1.0508548818750629E-3</v>
      </c>
      <c r="U5" s="30">
        <f t="shared" si="1"/>
        <v>-1.0234905410965167E-3</v>
      </c>
      <c r="V5" s="30">
        <f t="shared" si="1"/>
        <v>-9.9705689267681752E-4</v>
      </c>
      <c r="W5" s="30">
        <f t="shared" si="1"/>
        <v>-1</v>
      </c>
      <c r="X5" s="30" t="e">
        <f t="shared" si="1"/>
        <v>#DIV/0!</v>
      </c>
    </row>
    <row r="6" spans="2:31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31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31" x14ac:dyDescent="0.25">
      <c r="J8" s="77" t="s">
        <v>88</v>
      </c>
      <c r="K8" s="24">
        <v>283.83000000000004</v>
      </c>
      <c r="L8" s="24">
        <v>297.92</v>
      </c>
      <c r="M8" s="24">
        <v>297.57697311624696</v>
      </c>
      <c r="N8" s="24">
        <v>297.23468734107894</v>
      </c>
      <c r="O8" s="24">
        <v>296.89295624269937</v>
      </c>
      <c r="P8" s="24">
        <v>296.55448594177949</v>
      </c>
      <c r="Q8" s="24">
        <v>296.21673283182633</v>
      </c>
      <c r="R8" s="24">
        <v>295.8883528525289</v>
      </c>
      <c r="S8" s="24">
        <v>295.56899491195139</v>
      </c>
      <c r="T8" s="24">
        <v>295.25839479071726</v>
      </c>
      <c r="U8" s="24">
        <v>294.95620061646963</v>
      </c>
      <c r="V8" s="24">
        <v>294.6621125036072</v>
      </c>
      <c r="W8" s="24"/>
      <c r="X8" s="24"/>
      <c r="Y8" s="37"/>
      <c r="Z8" s="37"/>
      <c r="AA8" s="37"/>
      <c r="AB8" s="37"/>
      <c r="AC8" s="37"/>
      <c r="AD8" s="37"/>
      <c r="AE8" s="37"/>
    </row>
    <row r="9" spans="2:31" x14ac:dyDescent="0.25">
      <c r="J9" s="77" t="s">
        <v>90</v>
      </c>
      <c r="K9" s="24">
        <v>2171.7225099531406</v>
      </c>
      <c r="L9" s="24">
        <v>2229.1219119226639</v>
      </c>
      <c r="M9" s="24">
        <v>2230.131139019109</v>
      </c>
      <c r="N9" s="24">
        <v>2231.1851470752654</v>
      </c>
      <c r="O9" s="24">
        <v>2232.3204085977745</v>
      </c>
      <c r="P9" s="24">
        <v>2233.6088156243836</v>
      </c>
      <c r="Q9" s="24">
        <v>2234.9834594451709</v>
      </c>
      <c r="R9" s="24">
        <v>2236.2798926523051</v>
      </c>
      <c r="S9" s="24">
        <v>2237.5327596354805</v>
      </c>
      <c r="T9" s="24">
        <v>2238.7930684409293</v>
      </c>
      <c r="U9" s="24">
        <v>2240.0833034878142</v>
      </c>
      <c r="V9" s="24">
        <v>2241.4338267249036</v>
      </c>
      <c r="W9" s="24"/>
      <c r="X9" s="24"/>
      <c r="Y9" s="37"/>
      <c r="Z9" s="37"/>
      <c r="AA9" s="37"/>
      <c r="AB9" s="37"/>
      <c r="AC9" s="37"/>
      <c r="AD9" s="37"/>
      <c r="AE9" s="37"/>
    </row>
    <row r="10" spans="2:31" x14ac:dyDescent="0.25">
      <c r="J10" s="77" t="s">
        <v>92</v>
      </c>
      <c r="K10" s="24">
        <v>877.2</v>
      </c>
      <c r="L10" s="24">
        <v>768.1</v>
      </c>
      <c r="M10" s="24">
        <v>799.44594853743718</v>
      </c>
      <c r="N10" s="24">
        <v>804.15007924417159</v>
      </c>
      <c r="O10" s="24">
        <v>808.72993684291714</v>
      </c>
      <c r="P10" s="24">
        <v>813.18797126696165</v>
      </c>
      <c r="Q10" s="24">
        <v>817.58307352566794</v>
      </c>
      <c r="R10" s="24">
        <v>821.88133547129996</v>
      </c>
      <c r="S10" s="24">
        <v>826.135760530531</v>
      </c>
      <c r="T10" s="24">
        <v>830.32541527483363</v>
      </c>
      <c r="U10" s="24">
        <v>834.43033220623875</v>
      </c>
      <c r="V10" s="24">
        <v>838.44665236373316</v>
      </c>
      <c r="W10" s="24"/>
      <c r="X10" s="24"/>
      <c r="Y10" s="37"/>
      <c r="Z10" s="37"/>
      <c r="AA10" s="37"/>
      <c r="AB10" s="37"/>
      <c r="AC10" s="37"/>
      <c r="AD10" s="37"/>
      <c r="AE10" s="37"/>
    </row>
    <row r="11" spans="2:31" x14ac:dyDescent="0.25">
      <c r="J11" s="77" t="s">
        <v>94</v>
      </c>
      <c r="K11" s="24">
        <v>616.4</v>
      </c>
      <c r="L11" s="24">
        <v>664.1</v>
      </c>
      <c r="M11" s="24">
        <v>663.63567400159468</v>
      </c>
      <c r="N11" s="24">
        <v>663.18561959097565</v>
      </c>
      <c r="O11" s="24">
        <v>662.76020538950377</v>
      </c>
      <c r="P11" s="24">
        <v>662.38671411251607</v>
      </c>
      <c r="Q11" s="24">
        <v>662.03949829001579</v>
      </c>
      <c r="R11" s="24">
        <v>661.68917395412086</v>
      </c>
      <c r="S11" s="24">
        <v>661.34530884802405</v>
      </c>
      <c r="T11" s="24">
        <v>661.0224476564531</v>
      </c>
      <c r="U11" s="24">
        <v>660.72646026115581</v>
      </c>
      <c r="V11" s="24">
        <v>660.46562641980427</v>
      </c>
      <c r="W11" s="24"/>
      <c r="X11" s="24"/>
      <c r="Y11" s="37"/>
      <c r="Z11" s="37"/>
      <c r="AA11" s="37"/>
      <c r="AB11" s="37"/>
      <c r="AC11" s="37"/>
      <c r="AD11" s="37"/>
      <c r="AE11" s="37"/>
    </row>
    <row r="12" spans="2:31" x14ac:dyDescent="0.25">
      <c r="J12" s="77" t="s">
        <v>96</v>
      </c>
      <c r="K12" s="24">
        <v>260.8</v>
      </c>
      <c r="L12" s="24">
        <v>104</v>
      </c>
      <c r="M12" s="24">
        <v>135.8102745358425</v>
      </c>
      <c r="N12" s="24">
        <v>140.96445965319592</v>
      </c>
      <c r="O12" s="24">
        <v>145.96973145341332</v>
      </c>
      <c r="P12" s="24">
        <v>150.80125715444558</v>
      </c>
      <c r="Q12" s="24">
        <v>155.54357523565221</v>
      </c>
      <c r="R12" s="24">
        <v>160.19216151717907</v>
      </c>
      <c r="S12" s="24">
        <v>164.79045168250698</v>
      </c>
      <c r="T12" s="24">
        <v>169.30296761838059</v>
      </c>
      <c r="U12" s="24">
        <v>173.70387194508294</v>
      </c>
      <c r="V12" s="24">
        <v>177.98102594392887</v>
      </c>
      <c r="W12" s="24"/>
      <c r="X12" s="24"/>
      <c r="Y12" s="37"/>
      <c r="Z12" s="37"/>
      <c r="AA12" s="37"/>
      <c r="AB12" s="37"/>
      <c r="AC12" s="37"/>
      <c r="AD12" s="37"/>
      <c r="AE12" s="37"/>
    </row>
    <row r="13" spans="2:31" x14ac:dyDescent="0.25">
      <c r="J13" s="77" t="s">
        <v>98</v>
      </c>
      <c r="K13" s="24">
        <v>877.2</v>
      </c>
      <c r="L13" s="24">
        <v>768.1</v>
      </c>
      <c r="M13" s="24">
        <v>799.44594853743718</v>
      </c>
      <c r="N13" s="24">
        <v>804.15007924417159</v>
      </c>
      <c r="O13" s="24">
        <v>808.72993684291703</v>
      </c>
      <c r="P13" s="24">
        <v>813.18797126696165</v>
      </c>
      <c r="Q13" s="24">
        <v>817.58307352566806</v>
      </c>
      <c r="R13" s="24">
        <v>821.88133547129996</v>
      </c>
      <c r="S13" s="24">
        <v>826.135760530531</v>
      </c>
      <c r="T13" s="24">
        <v>830.32541527483374</v>
      </c>
      <c r="U13" s="24">
        <v>834.43033220623875</v>
      </c>
      <c r="V13" s="24">
        <v>838.44665236373316</v>
      </c>
      <c r="W13" s="24"/>
      <c r="X13" s="24"/>
      <c r="Y13" s="37"/>
      <c r="Z13" s="37"/>
      <c r="AA13" s="37"/>
      <c r="AB13" s="37"/>
      <c r="AC13" s="37"/>
      <c r="AD13" s="37"/>
      <c r="AE13" s="37"/>
    </row>
    <row r="14" spans="2:31" x14ac:dyDescent="0.25">
      <c r="J14" s="77" t="s">
        <v>106</v>
      </c>
      <c r="K14" s="24">
        <v>786.4</v>
      </c>
      <c r="L14" s="24">
        <v>760</v>
      </c>
      <c r="M14" s="24">
        <v>791.27066853592078</v>
      </c>
      <c r="N14" s="24">
        <v>795.89864607234131</v>
      </c>
      <c r="O14" s="24">
        <v>800.40133532323409</v>
      </c>
      <c r="P14" s="24">
        <v>804.78082415945175</v>
      </c>
      <c r="Q14" s="24">
        <v>809.09630595037186</v>
      </c>
      <c r="R14" s="24">
        <v>813.31423598048036</v>
      </c>
      <c r="S14" s="24">
        <v>817.48748669664246</v>
      </c>
      <c r="T14" s="24">
        <v>821.59492291054312</v>
      </c>
      <c r="U14" s="24">
        <v>825.6164832817243</v>
      </c>
      <c r="V14" s="24">
        <v>829.54817917214029</v>
      </c>
      <c r="W14" s="24"/>
      <c r="X14" s="24"/>
      <c r="Y14" s="37"/>
      <c r="Z14" s="37"/>
      <c r="AA14" s="37"/>
      <c r="AB14" s="37"/>
      <c r="AC14" s="37"/>
      <c r="AD14" s="37"/>
      <c r="AE14" s="37"/>
    </row>
    <row r="15" spans="2:31" x14ac:dyDescent="0.25">
      <c r="J15" s="77" t="s">
        <v>110</v>
      </c>
      <c r="K15" s="24">
        <v>90.800000000000097</v>
      </c>
      <c r="L15" s="24">
        <v>8.1000000000000192</v>
      </c>
      <c r="M15" s="24">
        <v>8.1752800015164251</v>
      </c>
      <c r="N15" s="24">
        <v>8.25143317183033</v>
      </c>
      <c r="O15" s="24">
        <v>8.3286015196828824</v>
      </c>
      <c r="P15" s="24">
        <v>8.4071471075098572</v>
      </c>
      <c r="Q15" s="24">
        <v>8.4867675752963532</v>
      </c>
      <c r="R15" s="24">
        <v>8.5670994908196558</v>
      </c>
      <c r="S15" s="24">
        <v>8.6482738338885508</v>
      </c>
      <c r="T15" s="24">
        <v>8.7304923642905816</v>
      </c>
      <c r="U15" s="24">
        <v>8.8138489245144118</v>
      </c>
      <c r="V15" s="24">
        <v>8.8984731915928261</v>
      </c>
      <c r="W15" s="24"/>
      <c r="X15" s="24"/>
      <c r="Y15" s="37"/>
      <c r="Z15" s="37"/>
      <c r="AA15" s="37"/>
      <c r="AB15" s="37"/>
      <c r="AC15" s="37"/>
      <c r="AD15" s="37"/>
      <c r="AE15" s="37"/>
    </row>
    <row r="16" spans="2:31" x14ac:dyDescent="0.25">
      <c r="J16" s="77" t="s">
        <v>112</v>
      </c>
      <c r="K16" s="24">
        <v>786.4</v>
      </c>
      <c r="L16" s="24">
        <v>760</v>
      </c>
      <c r="M16" s="24">
        <v>791.27066853592078</v>
      </c>
      <c r="N16" s="24">
        <v>795.89864607234131</v>
      </c>
      <c r="O16" s="24">
        <v>800.40133532323409</v>
      </c>
      <c r="P16" s="24">
        <v>804.78082415945175</v>
      </c>
      <c r="Q16" s="24">
        <v>809.09630595037174</v>
      </c>
      <c r="R16" s="24">
        <v>813.31423598048036</v>
      </c>
      <c r="S16" s="24">
        <v>817.48748669664246</v>
      </c>
      <c r="T16" s="24">
        <v>821.59492291054312</v>
      </c>
      <c r="U16" s="24">
        <v>825.6164832817243</v>
      </c>
      <c r="V16" s="24">
        <v>829.54817917214029</v>
      </c>
      <c r="W16" s="24"/>
      <c r="X16" s="24"/>
      <c r="Y16" s="37"/>
      <c r="Z16" s="37"/>
      <c r="AA16" s="37"/>
      <c r="AB16" s="37"/>
      <c r="AC16" s="37"/>
      <c r="AD16" s="37"/>
      <c r="AE16" s="37"/>
    </row>
    <row r="17" spans="10:31" x14ac:dyDescent="0.25">
      <c r="J17" s="77" t="s">
        <v>118</v>
      </c>
      <c r="K17" s="24">
        <v>428.92662408645754</v>
      </c>
      <c r="L17" s="24">
        <v>349.48708108066165</v>
      </c>
      <c r="M17" s="24">
        <v>366.25429365996422</v>
      </c>
      <c r="N17" s="24">
        <v>366.85931519711676</v>
      </c>
      <c r="O17" s="24">
        <v>367.3565107505334</v>
      </c>
      <c r="P17" s="24">
        <v>367.7370327779397</v>
      </c>
      <c r="Q17" s="24">
        <v>368.04800403880563</v>
      </c>
      <c r="R17" s="24">
        <v>368.29760218397013</v>
      </c>
      <c r="S17" s="24">
        <v>368.51212699416493</v>
      </c>
      <c r="T17" s="24">
        <v>368.67177198198641</v>
      </c>
      <c r="U17" s="24">
        <v>368.76227150765789</v>
      </c>
      <c r="V17" s="24">
        <v>368.77751860717586</v>
      </c>
      <c r="W17" s="24"/>
      <c r="X17" s="24"/>
      <c r="Y17" s="37"/>
      <c r="Z17" s="37"/>
      <c r="AA17" s="37"/>
      <c r="AB17" s="37"/>
      <c r="AC17" s="37"/>
      <c r="AD17" s="37"/>
      <c r="AE17" s="37"/>
    </row>
  </sheetData>
  <phoneticPr fontId="1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4:Z22"/>
  <sheetViews>
    <sheetView topLeftCell="I4" zoomScale="90" zoomScaleNormal="90" workbookViewId="0">
      <pane xSplit="2" ySplit="4" topLeftCell="K8" activePane="bottomRight" state="frozen"/>
      <selection pane="topRight"/>
      <selection pane="bottomLeft"/>
      <selection pane="bottomRight" activeCell="O19" sqref="O19"/>
    </sheetView>
  </sheetViews>
  <sheetFormatPr defaultColWidth="9" defaultRowHeight="15" x14ac:dyDescent="0.25"/>
  <cols>
    <col min="1" max="1" width="9" style="20"/>
    <col min="2" max="2" width="12" style="20" customWidth="1"/>
    <col min="3" max="8" width="9" style="20"/>
    <col min="9" max="9" width="4" style="20" customWidth="1"/>
    <col min="10" max="10" width="43.25" style="20" customWidth="1"/>
    <col min="11" max="23" width="10.75" style="20" customWidth="1"/>
    <col min="24" max="24" width="15.375" style="20"/>
    <col min="25" max="25" width="9" style="20"/>
    <col min="26" max="26" width="12.625" style="20"/>
    <col min="27" max="16384" width="9" style="20"/>
  </cols>
  <sheetData>
    <row r="4" spans="2:26" x14ac:dyDescent="0.25">
      <c r="Z4" s="34"/>
    </row>
    <row r="5" spans="2:26" x14ac:dyDescent="0.25">
      <c r="L5" s="22">
        <f>L9/L8</f>
        <v>0.71446862996158766</v>
      </c>
      <c r="X5" s="36"/>
    </row>
    <row r="6" spans="2:26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6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6" x14ac:dyDescent="0.25">
      <c r="I8" s="20">
        <v>1</v>
      </c>
      <c r="J8" s="77" t="s">
        <v>92</v>
      </c>
      <c r="K8" s="27">
        <v>1456</v>
      </c>
      <c r="L8" s="27">
        <v>1562</v>
      </c>
      <c r="M8" s="27">
        <v>1572.3112454730149</v>
      </c>
      <c r="N8" s="27">
        <v>1582.0668314619368</v>
      </c>
      <c r="O8" s="27">
        <v>1591.1978344071711</v>
      </c>
      <c r="P8" s="27">
        <v>1599.7384152531799</v>
      </c>
      <c r="Q8" s="27">
        <v>1607.8327555108353</v>
      </c>
      <c r="R8" s="27">
        <v>1615.4051239677972</v>
      </c>
      <c r="S8" s="27">
        <v>1622.9806604406006</v>
      </c>
      <c r="T8" s="27">
        <v>1630.1735900395656</v>
      </c>
      <c r="U8" s="27">
        <v>1636.9569630411663</v>
      </c>
      <c r="V8" s="27">
        <v>1643.3496135903943</v>
      </c>
      <c r="W8" s="27"/>
      <c r="X8" s="27"/>
    </row>
    <row r="9" spans="2:26" x14ac:dyDescent="0.25">
      <c r="I9" s="20">
        <v>2</v>
      </c>
      <c r="J9" s="77" t="s">
        <v>94</v>
      </c>
      <c r="K9" s="27">
        <v>996</v>
      </c>
      <c r="L9" s="27">
        <v>1116</v>
      </c>
      <c r="M9" s="27">
        <v>1119.582511054716</v>
      </c>
      <c r="N9" s="27">
        <v>1123.1602598598249</v>
      </c>
      <c r="O9" s="27">
        <v>1126.7323911735291</v>
      </c>
      <c r="P9" s="27">
        <v>1130.3002716171263</v>
      </c>
      <c r="Q9" s="27">
        <v>1133.9104216777773</v>
      </c>
      <c r="R9" s="27">
        <v>1137.4156818776237</v>
      </c>
      <c r="S9" s="27">
        <v>1140.8314682491912</v>
      </c>
      <c r="T9" s="27">
        <v>1144.1789402151633</v>
      </c>
      <c r="U9" s="27">
        <v>1147.4692898836638</v>
      </c>
      <c r="V9" s="27">
        <v>1150.716435366407</v>
      </c>
      <c r="W9" s="27"/>
      <c r="X9" s="27"/>
    </row>
    <row r="10" spans="2:26" x14ac:dyDescent="0.25">
      <c r="I10" s="20">
        <v>3</v>
      </c>
      <c r="J10" s="77" t="s">
        <v>96</v>
      </c>
      <c r="K10" s="27">
        <v>460</v>
      </c>
      <c r="L10" s="27">
        <v>446</v>
      </c>
      <c r="M10" s="27">
        <v>452.72873441829893</v>
      </c>
      <c r="N10" s="27">
        <v>458.90657160211185</v>
      </c>
      <c r="O10" s="27">
        <v>464.46544323364196</v>
      </c>
      <c r="P10" s="27">
        <v>469.43814363605361</v>
      </c>
      <c r="Q10" s="27">
        <v>473.92233383305802</v>
      </c>
      <c r="R10" s="27">
        <v>477.9894420901735</v>
      </c>
      <c r="S10" s="27">
        <v>482.14919219140938</v>
      </c>
      <c r="T10" s="27">
        <v>485.99464982440236</v>
      </c>
      <c r="U10" s="27">
        <v>489.48767315750251</v>
      </c>
      <c r="V10" s="27">
        <v>492.63317822398722</v>
      </c>
      <c r="W10" s="27"/>
      <c r="X10" s="27"/>
    </row>
    <row r="11" spans="2:26" x14ac:dyDescent="0.25">
      <c r="I11" s="20">
        <v>4</v>
      </c>
      <c r="J11" s="77" t="s">
        <v>98</v>
      </c>
      <c r="K11" s="27">
        <v>1456</v>
      </c>
      <c r="L11" s="27">
        <v>1562</v>
      </c>
      <c r="M11" s="27">
        <v>1572.3112454730149</v>
      </c>
      <c r="N11" s="27">
        <v>1582.0668314619368</v>
      </c>
      <c r="O11" s="27">
        <v>1591.1978344071711</v>
      </c>
      <c r="P11" s="27">
        <v>1599.7384152531799</v>
      </c>
      <c r="Q11" s="27">
        <v>1607.8327555108353</v>
      </c>
      <c r="R11" s="27">
        <v>1615.4051239677972</v>
      </c>
      <c r="S11" s="27">
        <v>1622.9806604406006</v>
      </c>
      <c r="T11" s="27">
        <v>1630.1735900395656</v>
      </c>
      <c r="U11" s="27">
        <v>1636.9569630411663</v>
      </c>
      <c r="V11" s="27">
        <v>1643.3496135903943</v>
      </c>
      <c r="W11" s="27"/>
      <c r="X11" s="27"/>
    </row>
    <row r="12" spans="2:26" x14ac:dyDescent="0.25">
      <c r="I12" s="20">
        <v>5</v>
      </c>
      <c r="J12" s="77" t="s">
        <v>100</v>
      </c>
      <c r="K12" s="27">
        <v>4.4024625784645099</v>
      </c>
      <c r="L12" s="27">
        <v>5.0544882517492473</v>
      </c>
      <c r="M12" s="27">
        <v>5.0709714514633921</v>
      </c>
      <c r="N12" s="27">
        <v>5.087261775355846</v>
      </c>
      <c r="O12" s="27">
        <v>5.1028915051957462</v>
      </c>
      <c r="P12" s="27">
        <v>5.1178146406007796</v>
      </c>
      <c r="Q12" s="27">
        <v>5.1321926822365711</v>
      </c>
      <c r="R12" s="27">
        <v>5.1460089084270395</v>
      </c>
      <c r="S12" s="27">
        <v>5.1596614515312806</v>
      </c>
      <c r="T12" s="27">
        <v>5.1729544249426231</v>
      </c>
      <c r="U12" s="27">
        <v>5.185928913880292</v>
      </c>
      <c r="V12" s="27">
        <v>5.1985752051998633</v>
      </c>
      <c r="W12" s="27"/>
      <c r="X12" s="27"/>
    </row>
    <row r="13" spans="2:26" x14ac:dyDescent="0.25">
      <c r="I13" s="20">
        <v>6</v>
      </c>
      <c r="J13" s="77" t="s">
        <v>106</v>
      </c>
      <c r="K13" s="27">
        <v>930</v>
      </c>
      <c r="L13" s="27">
        <v>867.9</v>
      </c>
      <c r="M13" s="27">
        <v>876.54348181008004</v>
      </c>
      <c r="N13" s="27">
        <v>885.17844125464808</v>
      </c>
      <c r="O13" s="27">
        <v>893.63034219754263</v>
      </c>
      <c r="P13" s="27">
        <v>901.9209134021238</v>
      </c>
      <c r="Q13" s="27">
        <v>910.14592074394261</v>
      </c>
      <c r="R13" s="27">
        <v>918.22806507104031</v>
      </c>
      <c r="S13" s="27">
        <v>926.24013660809783</v>
      </c>
      <c r="T13" s="27">
        <v>934.19026903106976</v>
      </c>
      <c r="U13" s="27">
        <v>942.03454594815355</v>
      </c>
      <c r="V13" s="27">
        <v>949.76477701624538</v>
      </c>
      <c r="W13" s="27"/>
      <c r="X13" s="27"/>
    </row>
    <row r="14" spans="2:26" x14ac:dyDescent="0.25">
      <c r="I14" s="20">
        <v>7</v>
      </c>
      <c r="J14" s="77" t="s">
        <v>110</v>
      </c>
      <c r="K14" s="27">
        <v>-93.990000000000094</v>
      </c>
      <c r="L14" s="27">
        <v>-16</v>
      </c>
      <c r="M14" s="27">
        <v>-15.890848544002418</v>
      </c>
      <c r="N14" s="27">
        <v>-15.94162949478461</v>
      </c>
      <c r="O14" s="27">
        <v>-15.992330713430734</v>
      </c>
      <c r="P14" s="27">
        <v>-16.042971597146309</v>
      </c>
      <c r="Q14" s="27">
        <v>-16.094212436716738</v>
      </c>
      <c r="R14" s="27">
        <v>-16.143964516972723</v>
      </c>
      <c r="S14" s="27">
        <v>-16.192446646117553</v>
      </c>
      <c r="T14" s="27">
        <v>-16.239959151441028</v>
      </c>
      <c r="U14" s="27">
        <v>-16.286660888671356</v>
      </c>
      <c r="V14" s="27">
        <v>-16.332749405200616</v>
      </c>
      <c r="W14" s="27"/>
      <c r="X14" s="27"/>
    </row>
    <row r="15" spans="2:26" x14ac:dyDescent="0.25">
      <c r="I15" s="20">
        <v>8</v>
      </c>
      <c r="J15" s="77" t="s">
        <v>112</v>
      </c>
      <c r="K15" s="27">
        <v>1549.99</v>
      </c>
      <c r="L15" s="27">
        <v>1578</v>
      </c>
      <c r="M15" s="27">
        <v>1588.2020940170173</v>
      </c>
      <c r="N15" s="27">
        <v>1598.0084609567214</v>
      </c>
      <c r="O15" s="27">
        <v>1607.1901651206017</v>
      </c>
      <c r="P15" s="27">
        <v>1615.7813868503263</v>
      </c>
      <c r="Q15" s="27">
        <v>1623.9269679475522</v>
      </c>
      <c r="R15" s="27">
        <v>1631.54908848477</v>
      </c>
      <c r="S15" s="27">
        <v>1639.1731070867181</v>
      </c>
      <c r="T15" s="27">
        <v>1646.4135491910067</v>
      </c>
      <c r="U15" s="27">
        <v>1653.2436239298377</v>
      </c>
      <c r="V15" s="27">
        <v>1659.6823629955948</v>
      </c>
      <c r="W15" s="27"/>
      <c r="X15" s="27"/>
    </row>
    <row r="16" spans="2:26" x14ac:dyDescent="0.25">
      <c r="I16" s="20">
        <v>9</v>
      </c>
      <c r="J16" s="77" t="s">
        <v>114</v>
      </c>
      <c r="K16" s="27">
        <v>48.996404655127094</v>
      </c>
      <c r="L16" s="27">
        <v>56.253005515305922</v>
      </c>
      <c r="M16" s="27">
        <v>56.436452281476328</v>
      </c>
      <c r="N16" s="27">
        <v>56.617752471352361</v>
      </c>
      <c r="O16" s="27">
        <v>56.79170070015325</v>
      </c>
      <c r="P16" s="27">
        <v>56.957785015010344</v>
      </c>
      <c r="Q16" s="27">
        <v>57.11780280813857</v>
      </c>
      <c r="R16" s="27">
        <v>57.271567978692509</v>
      </c>
      <c r="S16" s="27">
        <v>57.423511468179321</v>
      </c>
      <c r="T16" s="27">
        <v>57.57145319232206</v>
      </c>
      <c r="U16" s="27">
        <v>57.715850401577889</v>
      </c>
      <c r="V16" s="27">
        <v>57.856594995276737</v>
      </c>
      <c r="W16" s="27"/>
      <c r="X16" s="27"/>
    </row>
    <row r="17" spans="9:24" x14ac:dyDescent="0.25">
      <c r="I17" s="20">
        <v>10</v>
      </c>
      <c r="J17" s="77" t="s">
        <v>116</v>
      </c>
      <c r="K17" s="27">
        <v>619.99</v>
      </c>
      <c r="L17" s="27">
        <v>710.1</v>
      </c>
      <c r="M17" s="27">
        <v>711.65861220693705</v>
      </c>
      <c r="N17" s="27">
        <v>712.83001970207317</v>
      </c>
      <c r="O17" s="27">
        <v>713.55982292305919</v>
      </c>
      <c r="P17" s="27">
        <v>713.86047344820247</v>
      </c>
      <c r="Q17" s="27">
        <v>713.78104720360921</v>
      </c>
      <c r="R17" s="27">
        <v>713.32102341372945</v>
      </c>
      <c r="S17" s="27">
        <v>712.93297047862018</v>
      </c>
      <c r="T17" s="27">
        <v>712.22328015993685</v>
      </c>
      <c r="U17" s="27">
        <v>711.20907798168423</v>
      </c>
      <c r="V17" s="27">
        <v>709.91758597934961</v>
      </c>
      <c r="W17" s="27"/>
      <c r="X17" s="27"/>
    </row>
    <row r="18" spans="9:24" x14ac:dyDescent="0.25">
      <c r="I18" s="20">
        <v>11</v>
      </c>
    </row>
    <row r="19" spans="9:24" x14ac:dyDescent="0.25">
      <c r="I19" s="20">
        <v>12</v>
      </c>
    </row>
    <row r="20" spans="9:24" x14ac:dyDescent="0.25">
      <c r="I20" s="20">
        <v>13</v>
      </c>
    </row>
    <row r="21" spans="9:24" x14ac:dyDescent="0.25">
      <c r="I21" s="20">
        <v>14</v>
      </c>
    </row>
    <row r="22" spans="9:24" x14ac:dyDescent="0.25">
      <c r="I22" s="20">
        <v>15</v>
      </c>
    </row>
  </sheetData>
  <phoneticPr fontId="1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6:X21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N49" sqref="N48:N49"/>
    </sheetView>
  </sheetViews>
  <sheetFormatPr defaultColWidth="9" defaultRowHeight="15" x14ac:dyDescent="0.25"/>
  <cols>
    <col min="1" max="9" width="9" style="20"/>
    <col min="10" max="10" width="42.875" style="20" customWidth="1"/>
    <col min="11" max="24" width="14.125" style="20"/>
    <col min="25" max="16384" width="9" style="20"/>
  </cols>
  <sheetData>
    <row r="6" spans="2:24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4" x14ac:dyDescent="0.25">
      <c r="J8" s="77" t="s">
        <v>88</v>
      </c>
      <c r="K8" s="24">
        <v>2338.6349999999998</v>
      </c>
      <c r="L8" s="24">
        <v>2339.1494997000004</v>
      </c>
      <c r="M8" s="24">
        <v>2339.4334771354547</v>
      </c>
      <c r="N8" s="24">
        <v>2339.7035285443758</v>
      </c>
      <c r="O8" s="24">
        <v>2339.9564607037928</v>
      </c>
      <c r="P8" s="24">
        <v>2340.2288296562997</v>
      </c>
      <c r="Q8" s="24">
        <v>2340.4620569682797</v>
      </c>
      <c r="R8" s="24">
        <v>2340.5543296959495</v>
      </c>
      <c r="S8" s="24">
        <v>2340.512860634044</v>
      </c>
      <c r="T8" s="24">
        <v>2340.3446353212612</v>
      </c>
      <c r="U8" s="24">
        <v>2340.0561511216865</v>
      </c>
      <c r="V8" s="24">
        <v>2339.6536532275627</v>
      </c>
      <c r="W8" s="24"/>
      <c r="X8" s="24"/>
    </row>
    <row r="9" spans="2:24" x14ac:dyDescent="0.25">
      <c r="J9" s="77" t="s">
        <v>90</v>
      </c>
      <c r="K9" s="24">
        <v>36822.325843921775</v>
      </c>
      <c r="L9" s="24">
        <v>36851.040940758721</v>
      </c>
      <c r="M9" s="24">
        <v>36931.776347329673</v>
      </c>
      <c r="N9" s="24">
        <v>37013.469154678765</v>
      </c>
      <c r="O9" s="24">
        <v>37097.308701496659</v>
      </c>
      <c r="P9" s="24">
        <v>37185.685580178979</v>
      </c>
      <c r="Q9" s="24">
        <v>37276.768324558798</v>
      </c>
      <c r="R9" s="24">
        <v>37367.358510184989</v>
      </c>
      <c r="S9" s="24">
        <v>37458.391512083756</v>
      </c>
      <c r="T9" s="24">
        <v>37551.293611218716</v>
      </c>
      <c r="U9" s="24">
        <v>37646.666747864387</v>
      </c>
      <c r="V9" s="24">
        <v>37745.353361295587</v>
      </c>
      <c r="W9" s="24"/>
      <c r="X9" s="24"/>
    </row>
    <row r="10" spans="2:24" x14ac:dyDescent="0.25">
      <c r="J10" s="77" t="s">
        <v>92</v>
      </c>
      <c r="K10" s="24">
        <v>86113.98</v>
      </c>
      <c r="L10" s="24">
        <v>86200.093980000005</v>
      </c>
      <c r="M10" s="24">
        <v>86399.433957022396</v>
      </c>
      <c r="N10" s="24">
        <v>86600.544384870329</v>
      </c>
      <c r="O10" s="24">
        <v>86806.087170790124</v>
      </c>
      <c r="P10" s="24">
        <v>87023.013445269375</v>
      </c>
      <c r="Q10" s="24">
        <v>87244.861870026682</v>
      </c>
      <c r="R10" s="24">
        <v>87460.332750314265</v>
      </c>
      <c r="S10" s="24">
        <v>87671.847072697157</v>
      </c>
      <c r="T10" s="24">
        <v>87882.968552389269</v>
      </c>
      <c r="U10" s="24">
        <v>88095.314092568311</v>
      </c>
      <c r="V10" s="24">
        <v>88311.053884120483</v>
      </c>
      <c r="W10" s="24"/>
      <c r="X10" s="24"/>
    </row>
    <row r="11" spans="2:24" x14ac:dyDescent="0.25">
      <c r="J11" s="77" t="s">
        <v>94</v>
      </c>
      <c r="K11" s="24">
        <v>86113.98</v>
      </c>
      <c r="L11" s="24">
        <v>86200.093980000005</v>
      </c>
      <c r="M11" s="24">
        <v>86399.433957022396</v>
      </c>
      <c r="N11" s="24">
        <v>86600.544384870329</v>
      </c>
      <c r="O11" s="24">
        <v>86806.087170790124</v>
      </c>
      <c r="P11" s="24">
        <v>87023.013445269375</v>
      </c>
      <c r="Q11" s="24">
        <v>87244.861870026682</v>
      </c>
      <c r="R11" s="24">
        <v>87460.332750314265</v>
      </c>
      <c r="S11" s="24">
        <v>87671.847072697157</v>
      </c>
      <c r="T11" s="24">
        <v>87882.968552389269</v>
      </c>
      <c r="U11" s="24">
        <v>88095.314092568311</v>
      </c>
      <c r="V11" s="24">
        <v>88311.053884120483</v>
      </c>
      <c r="W11" s="24"/>
      <c r="X11" s="24"/>
    </row>
    <row r="12" spans="2:24" x14ac:dyDescent="0.25">
      <c r="J12" s="77" t="s">
        <v>98</v>
      </c>
      <c r="K12" s="24">
        <v>86113.980000000025</v>
      </c>
      <c r="L12" s="24">
        <v>86200.093980000034</v>
      </c>
      <c r="M12" s="24">
        <v>86399.433957022396</v>
      </c>
      <c r="N12" s="24">
        <v>86600.544384870329</v>
      </c>
      <c r="O12" s="24">
        <v>86806.087170790124</v>
      </c>
      <c r="P12" s="24">
        <v>87023.013445269375</v>
      </c>
      <c r="Q12" s="24">
        <v>87244.861870026682</v>
      </c>
      <c r="R12" s="24">
        <v>87460.332750314265</v>
      </c>
      <c r="S12" s="24">
        <v>87671.847072697157</v>
      </c>
      <c r="T12" s="24">
        <v>87882.968552389269</v>
      </c>
      <c r="U12" s="24">
        <v>88095.314092568311</v>
      </c>
      <c r="V12" s="24">
        <v>88311.053884120483</v>
      </c>
      <c r="W12" s="24"/>
      <c r="X12" s="24"/>
    </row>
    <row r="13" spans="2:24" x14ac:dyDescent="0.25">
      <c r="J13" s="77" t="s">
        <v>100</v>
      </c>
      <c r="K13" s="24">
        <v>144.96785469338485</v>
      </c>
      <c r="L13" s="24">
        <v>133.57775200668095</v>
      </c>
      <c r="M13" s="24">
        <v>134.04167327117099</v>
      </c>
      <c r="N13" s="24">
        <v>134.50759395051057</v>
      </c>
      <c r="O13" s="24">
        <v>134.96278036411002</v>
      </c>
      <c r="P13" s="24">
        <v>135.40539779072168</v>
      </c>
      <c r="Q13" s="24">
        <v>135.84231084079619</v>
      </c>
      <c r="R13" s="24">
        <v>136.26410041741187</v>
      </c>
      <c r="S13" s="24">
        <v>136.68071933798723</v>
      </c>
      <c r="T13" s="24">
        <v>137.08671339246339</v>
      </c>
      <c r="U13" s="24">
        <v>137.48209736729569</v>
      </c>
      <c r="V13" s="24">
        <v>137.86661258045848</v>
      </c>
      <c r="W13" s="24"/>
      <c r="X13" s="24"/>
    </row>
    <row r="14" spans="2:24" x14ac:dyDescent="0.25">
      <c r="J14" s="77" t="s">
        <v>106</v>
      </c>
      <c r="K14" s="24">
        <v>19231.2192</v>
      </c>
      <c r="L14" s="24">
        <v>23077.463039999999</v>
      </c>
      <c r="M14" s="24">
        <v>23214.045205352104</v>
      </c>
      <c r="N14" s="24">
        <v>23348.792877376472</v>
      </c>
      <c r="O14" s="24">
        <v>23477.009378911331</v>
      </c>
      <c r="P14" s="24">
        <v>23599.106954855513</v>
      </c>
      <c r="Q14" s="24">
        <v>23718.126571530927</v>
      </c>
      <c r="R14" s="24">
        <v>23830.953456285533</v>
      </c>
      <c r="S14" s="24">
        <v>23939.563386984781</v>
      </c>
      <c r="T14" s="24">
        <v>24044.236000528588</v>
      </c>
      <c r="U14" s="24">
        <v>24143.912444167105</v>
      </c>
      <c r="V14" s="24">
        <v>24238.463769518825</v>
      </c>
      <c r="W14" s="24"/>
      <c r="X14" s="24"/>
    </row>
    <row r="15" spans="2:24" x14ac:dyDescent="0.25">
      <c r="J15" s="77" t="s">
        <v>108</v>
      </c>
      <c r="K15" s="24">
        <v>21528.494999999999</v>
      </c>
      <c r="L15" s="24">
        <v>21550.023495000001</v>
      </c>
      <c r="M15" s="24">
        <v>21599.858489255599</v>
      </c>
      <c r="N15" s="24">
        <v>21650.136096217582</v>
      </c>
      <c r="O15" s="24">
        <v>21701.521792697531</v>
      </c>
      <c r="P15" s="24">
        <v>21755.753361317344</v>
      </c>
      <c r="Q15" s="24">
        <v>21811.215467506598</v>
      </c>
      <c r="R15" s="24">
        <v>21865.083187578566</v>
      </c>
      <c r="S15" s="24">
        <v>21917.961768174289</v>
      </c>
      <c r="T15" s="24">
        <v>21970.742138097317</v>
      </c>
      <c r="U15" s="24">
        <v>22023.828523142078</v>
      </c>
      <c r="V15" s="24">
        <v>22077.763471030121</v>
      </c>
      <c r="W15" s="24"/>
      <c r="X15" s="24"/>
    </row>
    <row r="16" spans="2:24" x14ac:dyDescent="0.25">
      <c r="J16" s="77" t="s">
        <v>131</v>
      </c>
      <c r="K16" s="24">
        <v>23505.910941058199</v>
      </c>
      <c r="L16" s="24">
        <v>21283.739425151602</v>
      </c>
      <c r="M16" s="24">
        <v>21332.958630515168</v>
      </c>
      <c r="N16" s="24">
        <v>21382.61497941647</v>
      </c>
      <c r="O16" s="24">
        <v>21433.365725665677</v>
      </c>
      <c r="P16" s="24">
        <v>21486.927178876576</v>
      </c>
      <c r="Q16" s="24">
        <v>21541.703964450669</v>
      </c>
      <c r="R16" s="24">
        <v>21594.906065028648</v>
      </c>
      <c r="S16" s="24">
        <v>21647.131248487607</v>
      </c>
      <c r="T16" s="24">
        <v>21699.259434819538</v>
      </c>
      <c r="U16" s="24">
        <v>21751.689854980243</v>
      </c>
      <c r="V16" s="24">
        <v>21804.95835267003</v>
      </c>
      <c r="W16" s="24"/>
      <c r="X16" s="24"/>
    </row>
    <row r="17" spans="10:24" x14ac:dyDescent="0.25">
      <c r="J17" s="77" t="s">
        <v>245</v>
      </c>
      <c r="K17" s="24">
        <v>1432.8218181818218</v>
      </c>
      <c r="L17" s="24">
        <v>1522.66321818182</v>
      </c>
      <c r="M17" s="24">
        <v>1441.2034175253793</v>
      </c>
      <c r="N17" s="24">
        <v>1371.7196981857071</v>
      </c>
      <c r="O17" s="24">
        <v>1321.7495093406801</v>
      </c>
      <c r="P17" s="24">
        <v>1294.1485231680272</v>
      </c>
      <c r="Q17" s="24">
        <v>1280.9813823416789</v>
      </c>
      <c r="R17" s="24">
        <v>1280.9564428854064</v>
      </c>
      <c r="S17" s="24">
        <v>1281.4183833772872</v>
      </c>
      <c r="T17" s="24">
        <v>1294.3430261042149</v>
      </c>
      <c r="U17" s="24">
        <v>1321.3024745654402</v>
      </c>
      <c r="V17" s="24">
        <v>1362.7995409157447</v>
      </c>
      <c r="W17" s="24"/>
      <c r="X17" s="24"/>
    </row>
    <row r="18" spans="10:24" x14ac:dyDescent="0.25">
      <c r="J18" s="77" t="s">
        <v>112</v>
      </c>
      <c r="K18" s="24">
        <v>84681.158181818202</v>
      </c>
      <c r="L18" s="24">
        <v>84677.430761818221</v>
      </c>
      <c r="M18" s="24">
        <v>84958.230539497017</v>
      </c>
      <c r="N18" s="24">
        <v>85228.824686684617</v>
      </c>
      <c r="O18" s="24">
        <v>85484.337661449448</v>
      </c>
      <c r="P18" s="24">
        <v>85728.864922101347</v>
      </c>
      <c r="Q18" s="24">
        <v>85963.880487685004</v>
      </c>
      <c r="R18" s="24">
        <v>86179.376307428858</v>
      </c>
      <c r="S18" s="24">
        <v>86390.428689319873</v>
      </c>
      <c r="T18" s="24">
        <v>86588.625526285061</v>
      </c>
      <c r="U18" s="24">
        <v>86774.011618002871</v>
      </c>
      <c r="V18" s="24">
        <v>86948.254343204739</v>
      </c>
      <c r="W18" s="24"/>
      <c r="X18" s="24"/>
    </row>
    <row r="19" spans="10:24" x14ac:dyDescent="0.25">
      <c r="J19" s="77" t="s">
        <v>114</v>
      </c>
      <c r="K19" s="24">
        <v>86.039414691035518</v>
      </c>
      <c r="L19" s="24">
        <v>79.279310732074791</v>
      </c>
      <c r="M19" s="24">
        <v>79.55465118009252</v>
      </c>
      <c r="N19" s="24">
        <v>79.831178294518111</v>
      </c>
      <c r="O19" s="24">
        <v>80.101334548704529</v>
      </c>
      <c r="P19" s="24">
        <v>80.364031023024751</v>
      </c>
      <c r="Q19" s="24">
        <v>80.623341910799112</v>
      </c>
      <c r="R19" s="24">
        <v>80.873676913490215</v>
      </c>
      <c r="S19" s="24">
        <v>81.120943096405952</v>
      </c>
      <c r="T19" s="24">
        <v>81.361903348518766</v>
      </c>
      <c r="U19" s="24">
        <v>81.596566445691124</v>
      </c>
      <c r="V19" s="24">
        <v>81.824778858369086</v>
      </c>
      <c r="W19" s="24"/>
      <c r="X19" s="24"/>
    </row>
    <row r="20" spans="10:24" x14ac:dyDescent="0.25">
      <c r="J20" s="77" t="s">
        <v>116</v>
      </c>
      <c r="K20" s="24">
        <v>20415.533040760001</v>
      </c>
      <c r="L20" s="24">
        <v>18766.204801666601</v>
      </c>
      <c r="M20" s="24">
        <v>18811.368214374157</v>
      </c>
      <c r="N20" s="24">
        <v>18847.280733674092</v>
      </c>
      <c r="O20" s="24">
        <v>18872.440764174913</v>
      </c>
      <c r="P20" s="24">
        <v>18887.07742705191</v>
      </c>
      <c r="Q20" s="24">
        <v>18892.834484196828</v>
      </c>
      <c r="R20" s="24">
        <v>18888.43359853611</v>
      </c>
      <c r="S20" s="24">
        <v>18885.772285673203</v>
      </c>
      <c r="T20" s="24">
        <v>18874.387952839614</v>
      </c>
      <c r="U20" s="24">
        <v>18854.580795713457</v>
      </c>
      <c r="V20" s="24">
        <v>18827.068749985792</v>
      </c>
      <c r="W20" s="24"/>
      <c r="X20" s="24"/>
    </row>
    <row r="21" spans="10:24" x14ac:dyDescent="0.25">
      <c r="J21" s="77" t="s">
        <v>118</v>
      </c>
      <c r="K21" s="24">
        <v>3601.4937271862814</v>
      </c>
      <c r="L21" s="24">
        <v>3578.5125059762736</v>
      </c>
      <c r="M21" s="24">
        <v>3562.423866618692</v>
      </c>
      <c r="N21" s="24">
        <v>3545.8769213869318</v>
      </c>
      <c r="O21" s="24">
        <v>3528.5720113297948</v>
      </c>
      <c r="P21" s="24">
        <v>3510.4674188097251</v>
      </c>
      <c r="Q21" s="24">
        <v>3491.8137091572999</v>
      </c>
      <c r="R21" s="24">
        <v>3472.5255138069219</v>
      </c>
      <c r="S21" s="24">
        <v>3453.1273796279575</v>
      </c>
      <c r="T21" s="24">
        <v>3433.1648476448463</v>
      </c>
      <c r="U21" s="24">
        <v>3412.6007751581956</v>
      </c>
      <c r="V21" s="24">
        <v>3391.4405412682399</v>
      </c>
      <c r="W21" s="24"/>
      <c r="X21" s="24"/>
    </row>
  </sheetData>
  <phoneticPr fontId="1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6:X23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O30" sqref="O30"/>
    </sheetView>
  </sheetViews>
  <sheetFormatPr defaultColWidth="9" defaultRowHeight="15" x14ac:dyDescent="0.25"/>
  <cols>
    <col min="1" max="1" width="9" style="20"/>
    <col min="2" max="2" width="10.375" style="20" customWidth="1"/>
    <col min="3" max="9" width="9" style="20"/>
    <col min="10" max="10" width="38.25" style="20" customWidth="1"/>
    <col min="11" max="12" width="12.625" style="20" customWidth="1"/>
    <col min="13" max="24" width="13.75" style="20" customWidth="1"/>
    <col min="25" max="16384" width="9" style="20"/>
  </cols>
  <sheetData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88</v>
      </c>
      <c r="K8" s="27">
        <v>69.2</v>
      </c>
      <c r="L8" s="27">
        <v>69</v>
      </c>
      <c r="M8" s="27">
        <v>69.045051869653349</v>
      </c>
      <c r="N8" s="27">
        <v>69.090509686095089</v>
      </c>
      <c r="O8" s="27">
        <v>69.136253287576181</v>
      </c>
      <c r="P8" s="27">
        <v>69.182391872889568</v>
      </c>
      <c r="Q8" s="27">
        <v>69.228561249126017</v>
      </c>
      <c r="R8" s="27">
        <v>69.272467301559303</v>
      </c>
      <c r="S8" s="27">
        <v>69.314218851216225</v>
      </c>
      <c r="T8" s="27">
        <v>69.35391969375496</v>
      </c>
      <c r="U8" s="27">
        <v>69.391668811325573</v>
      </c>
      <c r="V8" s="27">
        <v>69.427560577523224</v>
      </c>
      <c r="W8" s="27"/>
      <c r="X8" s="27"/>
    </row>
    <row r="9" spans="2:24" x14ac:dyDescent="0.25">
      <c r="J9" s="77" t="s">
        <v>90</v>
      </c>
      <c r="K9" s="27">
        <v>4557.8034682080915</v>
      </c>
      <c r="L9" s="27">
        <v>4637.68115942029</v>
      </c>
      <c r="M9" s="27">
        <v>4636.2447424336679</v>
      </c>
      <c r="N9" s="27">
        <v>4634.8690578922051</v>
      </c>
      <c r="O9" s="27">
        <v>4633.6260392603845</v>
      </c>
      <c r="P9" s="27">
        <v>4632.6688559838949</v>
      </c>
      <c r="Q9" s="27">
        <v>4631.889050677185</v>
      </c>
      <c r="R9" s="27">
        <v>4630.8965539186029</v>
      </c>
      <c r="S9" s="27">
        <v>4629.7658842278279</v>
      </c>
      <c r="T9" s="27">
        <v>4628.6050496167909</v>
      </c>
      <c r="U9" s="27">
        <v>4627.4626808042703</v>
      </c>
      <c r="V9" s="27">
        <v>4626.4034057857662</v>
      </c>
      <c r="W9" s="27"/>
      <c r="X9" s="27"/>
    </row>
    <row r="10" spans="2:24" x14ac:dyDescent="0.25">
      <c r="J10" s="77" t="s">
        <v>92</v>
      </c>
      <c r="K10" s="27">
        <v>1180.7572540000001</v>
      </c>
      <c r="L10" s="27">
        <v>774.13295199999993</v>
      </c>
      <c r="M10" s="27">
        <v>775.05256631169414</v>
      </c>
      <c r="N10" s="27">
        <v>775.26675826072903</v>
      </c>
      <c r="O10" s="27">
        <v>775.76025696104466</v>
      </c>
      <c r="P10" s="27">
        <v>776.29521247290995</v>
      </c>
      <c r="Q10" s="27">
        <v>776.72638588861275</v>
      </c>
      <c r="R10" s="27">
        <v>777.05353904891501</v>
      </c>
      <c r="S10" s="27">
        <v>777.55250571839508</v>
      </c>
      <c r="T10" s="27">
        <v>777.97466545007137</v>
      </c>
      <c r="U10" s="27">
        <v>778.31518151093758</v>
      </c>
      <c r="V10" s="27">
        <v>778.57805789994961</v>
      </c>
      <c r="W10" s="27"/>
      <c r="X10" s="27"/>
    </row>
    <row r="11" spans="2:24" x14ac:dyDescent="0.25">
      <c r="J11" s="77" t="s">
        <v>94</v>
      </c>
      <c r="K11" s="27">
        <v>315.39999999999998</v>
      </c>
      <c r="L11" s="27">
        <v>320</v>
      </c>
      <c r="M11" s="27">
        <v>320.10975872174021</v>
      </c>
      <c r="N11" s="27">
        <v>320.22546553808382</v>
      </c>
      <c r="O11" s="27">
        <v>320.35154349021445</v>
      </c>
      <c r="P11" s="27">
        <v>320.49911221200892</v>
      </c>
      <c r="Q11" s="27">
        <v>320.65901484396159</v>
      </c>
      <c r="R11" s="27">
        <v>320.7936301082301</v>
      </c>
      <c r="S11" s="27">
        <v>320.90860572926232</v>
      </c>
      <c r="T11" s="27">
        <v>321.01190290523158</v>
      </c>
      <c r="U11" s="27">
        <v>321.10735778313875</v>
      </c>
      <c r="V11" s="27">
        <v>321.19990271125107</v>
      </c>
      <c r="W11" s="27"/>
      <c r="X11" s="27"/>
    </row>
    <row r="12" spans="2:24" x14ac:dyDescent="0.25">
      <c r="J12" s="77" t="s">
        <v>96</v>
      </c>
      <c r="K12" s="27">
        <v>865.35725400000001</v>
      </c>
      <c r="L12" s="27">
        <v>454.13295199999999</v>
      </c>
      <c r="M12" s="27">
        <v>454.94280758995393</v>
      </c>
      <c r="N12" s="27">
        <v>455.04129272264521</v>
      </c>
      <c r="O12" s="27">
        <v>455.40871347083021</v>
      </c>
      <c r="P12" s="27">
        <v>455.79610026090103</v>
      </c>
      <c r="Q12" s="27">
        <v>456.06737104465117</v>
      </c>
      <c r="R12" s="27">
        <v>456.25990894068491</v>
      </c>
      <c r="S12" s="27">
        <v>456.64389998913276</v>
      </c>
      <c r="T12" s="27">
        <v>456.96276254483979</v>
      </c>
      <c r="U12" s="27">
        <v>457.20782372779883</v>
      </c>
      <c r="V12" s="27">
        <v>457.37815518869854</v>
      </c>
      <c r="W12" s="27"/>
      <c r="X12" s="27"/>
    </row>
    <row r="13" spans="2:24" x14ac:dyDescent="0.25">
      <c r="J13" s="77" t="s">
        <v>98</v>
      </c>
      <c r="K13" s="27">
        <v>1180.7572539999999</v>
      </c>
      <c r="L13" s="27">
        <v>774.13295199999993</v>
      </c>
      <c r="M13" s="27">
        <v>775.05256631169414</v>
      </c>
      <c r="N13" s="27">
        <v>775.26675826072903</v>
      </c>
      <c r="O13" s="27">
        <v>775.76025696104466</v>
      </c>
      <c r="P13" s="27">
        <v>776.29521247290995</v>
      </c>
      <c r="Q13" s="27">
        <v>776.72638588861275</v>
      </c>
      <c r="R13" s="27">
        <v>777.05353904891501</v>
      </c>
      <c r="S13" s="27">
        <v>777.55250571839508</v>
      </c>
      <c r="T13" s="27">
        <v>777.97466545007137</v>
      </c>
      <c r="U13" s="27">
        <v>778.31518151093758</v>
      </c>
      <c r="V13" s="27">
        <v>778.57805789994961</v>
      </c>
      <c r="W13" s="27"/>
      <c r="X13" s="27"/>
    </row>
    <row r="14" spans="2:24" x14ac:dyDescent="0.25">
      <c r="J14" s="77" t="s">
        <v>100</v>
      </c>
      <c r="K14" s="27">
        <v>4.2605163745845989</v>
      </c>
      <c r="L14" s="27">
        <v>2.8471980012670031</v>
      </c>
      <c r="M14" s="27">
        <v>2.8522042912293002</v>
      </c>
      <c r="N14" s="27">
        <v>2.8581553555292358</v>
      </c>
      <c r="O14" s="27">
        <v>2.8644799560973508</v>
      </c>
      <c r="P14" s="27">
        <v>2.870999712532857</v>
      </c>
      <c r="Q14" s="27">
        <v>2.8779291888509086</v>
      </c>
      <c r="R14" s="27">
        <v>2.8852298596450705</v>
      </c>
      <c r="S14" s="27">
        <v>2.8931915028724768</v>
      </c>
      <c r="T14" s="27">
        <v>2.9015118614491837</v>
      </c>
      <c r="U14" s="27">
        <v>2.910115967742537</v>
      </c>
      <c r="V14" s="27">
        <v>2.9189235022360847</v>
      </c>
      <c r="W14" s="27"/>
      <c r="X14" s="27"/>
    </row>
    <row r="15" spans="2:24" x14ac:dyDescent="0.25">
      <c r="J15" s="77" t="s">
        <v>102</v>
      </c>
      <c r="K15" s="27">
        <v>3.6</v>
      </c>
      <c r="L15" s="27">
        <v>3.4</v>
      </c>
      <c r="M15" s="27">
        <v>3.4022199472003098</v>
      </c>
      <c r="N15" s="27">
        <v>3.4044598975756997</v>
      </c>
      <c r="O15" s="27">
        <v>3.4067139301124492</v>
      </c>
      <c r="P15" s="27">
        <v>3.4089874256206452</v>
      </c>
      <c r="Q15" s="27">
        <v>3.4112624383627304</v>
      </c>
      <c r="R15" s="27">
        <v>3.413425925004371</v>
      </c>
      <c r="S15" s="27">
        <v>3.415483247741089</v>
      </c>
      <c r="T15" s="27">
        <v>3.4174395211415485</v>
      </c>
      <c r="U15" s="27">
        <v>3.4192996225870571</v>
      </c>
      <c r="V15" s="27">
        <v>3.4210682023707091</v>
      </c>
      <c r="W15" s="27"/>
      <c r="X15" s="27"/>
    </row>
    <row r="16" spans="2:24" x14ac:dyDescent="0.25">
      <c r="J16" s="77" t="s">
        <v>104</v>
      </c>
      <c r="K16" s="27">
        <v>490</v>
      </c>
      <c r="L16" s="27">
        <v>320</v>
      </c>
      <c r="M16" s="27">
        <v>320.61756968785187</v>
      </c>
      <c r="N16" s="27">
        <v>320.59744925516418</v>
      </c>
      <c r="O16" s="27">
        <v>320.99750336217477</v>
      </c>
      <c r="P16" s="27">
        <v>321.59258671088958</v>
      </c>
      <c r="Q16" s="27">
        <v>322.19434524864624</v>
      </c>
      <c r="R16" s="27">
        <v>322.81355599297825</v>
      </c>
      <c r="S16" s="27">
        <v>323.46302668374335</v>
      </c>
      <c r="T16" s="27">
        <v>324.1411720119666</v>
      </c>
      <c r="U16" s="27">
        <v>324.8473663162676</v>
      </c>
      <c r="V16" s="27">
        <v>325.58072244008872</v>
      </c>
      <c r="W16" s="27"/>
      <c r="X16" s="27"/>
    </row>
    <row r="17" spans="10:24" x14ac:dyDescent="0.25">
      <c r="J17" s="77" t="s">
        <v>106</v>
      </c>
      <c r="K17" s="27">
        <v>0.9</v>
      </c>
      <c r="L17" s="27">
        <v>0.9</v>
      </c>
      <c r="M17" s="27">
        <v>0.90523760333432701</v>
      </c>
      <c r="N17" s="27">
        <v>0.91042825100194824</v>
      </c>
      <c r="O17" s="27">
        <v>0.9154778952029311</v>
      </c>
      <c r="P17" s="27">
        <v>0.92038858979815596</v>
      </c>
      <c r="Q17" s="27">
        <v>0.92522502958487063</v>
      </c>
      <c r="R17" s="27">
        <v>0.92995381396816212</v>
      </c>
      <c r="S17" s="27">
        <v>0.93463525786170698</v>
      </c>
      <c r="T17" s="27">
        <v>0.93924505228363997</v>
      </c>
      <c r="U17" s="27">
        <v>0.94376012948978427</v>
      </c>
      <c r="V17" s="27">
        <v>0.94817580500510945</v>
      </c>
      <c r="W17" s="27"/>
      <c r="X17" s="27"/>
    </row>
    <row r="18" spans="10:24" x14ac:dyDescent="0.25">
      <c r="J18" s="77" t="s">
        <v>108</v>
      </c>
      <c r="K18" s="27">
        <v>75.11</v>
      </c>
      <c r="L18" s="27">
        <v>45</v>
      </c>
      <c r="M18" s="27">
        <v>45.015434820244714</v>
      </c>
      <c r="N18" s="27">
        <v>45.031706091293039</v>
      </c>
      <c r="O18" s="27">
        <v>45.049435803311411</v>
      </c>
      <c r="P18" s="27">
        <v>45.070187654813758</v>
      </c>
      <c r="Q18" s="27">
        <v>45.092673962432094</v>
      </c>
      <c r="R18" s="27">
        <v>45.111604233969857</v>
      </c>
      <c r="S18" s="27">
        <v>45.127772680677516</v>
      </c>
      <c r="T18" s="27">
        <v>45.142298846048192</v>
      </c>
      <c r="U18" s="27">
        <v>45.15572218825389</v>
      </c>
      <c r="V18" s="27">
        <v>45.168736318769682</v>
      </c>
      <c r="W18" s="27"/>
      <c r="X18" s="27"/>
    </row>
    <row r="19" spans="10:24" x14ac:dyDescent="0.25">
      <c r="J19" s="77" t="s">
        <v>131</v>
      </c>
      <c r="K19" s="27">
        <v>0.74711299999992198</v>
      </c>
      <c r="L19" s="27">
        <v>1.8353650000000099</v>
      </c>
      <c r="M19" s="27">
        <v>1.8359945228635308</v>
      </c>
      <c r="N19" s="27">
        <v>1.8366581611165886</v>
      </c>
      <c r="O19" s="27">
        <v>1.8373812831810019</v>
      </c>
      <c r="P19" s="27">
        <v>1.8382276658906154</v>
      </c>
      <c r="Q19" s="27">
        <v>1.839144789934658</v>
      </c>
      <c r="R19" s="27">
        <v>1.839916877886234</v>
      </c>
      <c r="S19" s="27">
        <v>1.8405763223571585</v>
      </c>
      <c r="T19" s="27">
        <v>1.8411687849239486</v>
      </c>
      <c r="U19" s="27">
        <v>1.8417162678676675</v>
      </c>
      <c r="V19" s="27">
        <v>1.8422470607488703</v>
      </c>
      <c r="W19" s="27"/>
      <c r="X19" s="27"/>
    </row>
    <row r="20" spans="10:24" x14ac:dyDescent="0.25">
      <c r="J20" s="77" t="s">
        <v>110</v>
      </c>
      <c r="K20" s="27">
        <v>10.400141000000099</v>
      </c>
      <c r="L20" s="27">
        <v>2.99758699999995</v>
      </c>
      <c r="M20" s="27">
        <v>2.9986151603669033</v>
      </c>
      <c r="N20" s="27">
        <v>2.9996990392684126</v>
      </c>
      <c r="O20" s="27">
        <v>3.0008800693630793</v>
      </c>
      <c r="P20" s="27">
        <v>3.0022624133695097</v>
      </c>
      <c r="Q20" s="27">
        <v>3.0037602947782815</v>
      </c>
      <c r="R20" s="27">
        <v>3.0050212977975721</v>
      </c>
      <c r="S20" s="27">
        <v>3.0060983272567068</v>
      </c>
      <c r="T20" s="27">
        <v>3.0070659593561513</v>
      </c>
      <c r="U20" s="27">
        <v>3.0079601290470919</v>
      </c>
      <c r="V20" s="27">
        <v>3.0088270399015467</v>
      </c>
      <c r="W20" s="27"/>
      <c r="X20" s="27"/>
    </row>
    <row r="21" spans="10:24" x14ac:dyDescent="0.25">
      <c r="J21" s="77" t="s">
        <v>112</v>
      </c>
      <c r="K21" s="27">
        <v>1170.3571129999998</v>
      </c>
      <c r="L21" s="27">
        <v>771.13536499999998</v>
      </c>
      <c r="M21" s="27">
        <v>772.05395115132728</v>
      </c>
      <c r="N21" s="27">
        <v>772.26705922146061</v>
      </c>
      <c r="O21" s="27">
        <v>772.75937689168154</v>
      </c>
      <c r="P21" s="27">
        <v>773.29295005954043</v>
      </c>
      <c r="Q21" s="27">
        <v>773.72262559383444</v>
      </c>
      <c r="R21" s="27">
        <v>774.0485177511174</v>
      </c>
      <c r="S21" s="27">
        <v>774.54640739113836</v>
      </c>
      <c r="T21" s="27">
        <v>774.9675994907152</v>
      </c>
      <c r="U21" s="27">
        <v>775.30722138189049</v>
      </c>
      <c r="V21" s="27">
        <v>775.56923086004804</v>
      </c>
      <c r="W21" s="27"/>
      <c r="X21" s="27"/>
    </row>
    <row r="22" spans="10:24" x14ac:dyDescent="0.25">
      <c r="J22" s="77" t="s">
        <v>114</v>
      </c>
      <c r="K22" s="27">
        <v>30.513641230311269</v>
      </c>
      <c r="L22" s="27">
        <v>20.391513770626297</v>
      </c>
      <c r="M22" s="27">
        <v>20.427368611301411</v>
      </c>
      <c r="N22" s="27">
        <v>20.469989886522878</v>
      </c>
      <c r="O22" s="27">
        <v>20.515286412974863</v>
      </c>
      <c r="P22" s="27">
        <v>20.561980637639461</v>
      </c>
      <c r="Q22" s="27">
        <v>20.611609259077067</v>
      </c>
      <c r="R22" s="27">
        <v>20.663896359927694</v>
      </c>
      <c r="S22" s="27">
        <v>20.720917317878715</v>
      </c>
      <c r="T22" s="27">
        <v>20.780507380255116</v>
      </c>
      <c r="U22" s="27">
        <v>20.842129631987088</v>
      </c>
      <c r="V22" s="27">
        <v>20.905208828035455</v>
      </c>
      <c r="W22" s="27"/>
      <c r="X22" s="27"/>
    </row>
    <row r="23" spans="10:24" x14ac:dyDescent="0.25">
      <c r="J23" s="77" t="s">
        <v>116</v>
      </c>
      <c r="K23" s="20">
        <v>600</v>
      </c>
      <c r="L23" s="20">
        <v>400</v>
      </c>
      <c r="M23" s="20">
        <v>400.27749456983264</v>
      </c>
      <c r="N23" s="20">
        <v>400.48635756530916</v>
      </c>
      <c r="O23" s="20">
        <v>400.55286461769902</v>
      </c>
      <c r="P23" s="20">
        <v>400.46257201252774</v>
      </c>
      <c r="Q23" s="20">
        <v>400.25997412486572</v>
      </c>
      <c r="R23" s="20">
        <v>399.94006090731051</v>
      </c>
      <c r="S23" s="20">
        <v>399.76491319875765</v>
      </c>
      <c r="T23" s="20">
        <v>399.48627527435121</v>
      </c>
      <c r="U23" s="20">
        <v>399.09935685742448</v>
      </c>
      <c r="V23" s="20">
        <v>398.60828103306488</v>
      </c>
    </row>
  </sheetData>
  <phoneticPr fontId="1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6:X22"/>
  <sheetViews>
    <sheetView topLeftCell="H1" workbookViewId="0">
      <pane xSplit="3" ySplit="7" topLeftCell="K8" activePane="bottomRight" state="frozen"/>
      <selection pane="topRight"/>
      <selection pane="bottomLeft"/>
      <selection pane="bottomRight" activeCell="H11" sqref="A11:XFD11"/>
    </sheetView>
  </sheetViews>
  <sheetFormatPr defaultColWidth="9" defaultRowHeight="15" x14ac:dyDescent="0.25"/>
  <cols>
    <col min="1" max="1" width="9" style="20"/>
    <col min="2" max="2" width="10.375" style="20" customWidth="1"/>
    <col min="3" max="9" width="9" style="20"/>
    <col min="10" max="10" width="38.25" style="20" customWidth="1"/>
    <col min="11" max="11" width="13.75" style="20" customWidth="1"/>
    <col min="12" max="21" width="12.625" style="20" customWidth="1"/>
    <col min="22" max="22" width="13.75" style="20" customWidth="1"/>
    <col min="23" max="23" width="12.625" style="20" customWidth="1"/>
    <col min="24" max="24" width="13.75" style="20" customWidth="1"/>
    <col min="25" max="16384" width="9" style="20"/>
  </cols>
  <sheetData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88</v>
      </c>
      <c r="K8" s="35">
        <v>1045.8370000000002</v>
      </c>
      <c r="L8" s="35">
        <v>1037.1670000000001</v>
      </c>
      <c r="M8" s="35">
        <v>1036.4679511604568</v>
      </c>
      <c r="N8" s="35">
        <v>1035.8290908467482</v>
      </c>
      <c r="O8" s="35">
        <v>1035.2601306926031</v>
      </c>
      <c r="P8" s="35">
        <v>1034.7750503312207</v>
      </c>
      <c r="Q8" s="35">
        <v>1034.2913541216499</v>
      </c>
      <c r="R8" s="35">
        <v>1033.8048271280149</v>
      </c>
      <c r="S8" s="35">
        <v>1033.3160478848727</v>
      </c>
      <c r="T8" s="35">
        <v>1032.8258077531689</v>
      </c>
      <c r="U8" s="35">
        <v>1032.3345052968339</v>
      </c>
      <c r="V8" s="35">
        <v>1031.8426385780879</v>
      </c>
      <c r="W8" s="35"/>
      <c r="X8" s="35"/>
    </row>
    <row r="9" spans="2:24" x14ac:dyDescent="0.25">
      <c r="J9" s="77" t="s">
        <v>90</v>
      </c>
      <c r="K9" s="35">
        <v>3647.031038297554</v>
      </c>
      <c r="L9" s="35">
        <v>3675.5893698893228</v>
      </c>
      <c r="M9" s="35">
        <v>3684.7783433140457</v>
      </c>
      <c r="N9" s="35">
        <v>3693.9902891723309</v>
      </c>
      <c r="O9" s="35">
        <v>3703.2252648952617</v>
      </c>
      <c r="P9" s="35">
        <v>3712.4833280574994</v>
      </c>
      <c r="Q9" s="35">
        <v>3721.7645363776433</v>
      </c>
      <c r="R9" s="35">
        <v>3731.068947718587</v>
      </c>
      <c r="S9" s="35">
        <v>3740.3966200878831</v>
      </c>
      <c r="T9" s="35">
        <v>3749.7476116381026</v>
      </c>
      <c r="U9" s="35">
        <v>3759.1219806671975</v>
      </c>
      <c r="V9" s="35">
        <v>3768.5197856188656</v>
      </c>
      <c r="W9" s="35"/>
      <c r="X9" s="35"/>
    </row>
    <row r="10" spans="2:24" x14ac:dyDescent="0.25">
      <c r="J10" s="77" t="s">
        <v>92</v>
      </c>
      <c r="K10" s="35">
        <v>4007.0127459999999</v>
      </c>
      <c r="L10" s="35">
        <v>4007.277047999999</v>
      </c>
      <c r="M10" s="35">
        <v>4017.213761655034</v>
      </c>
      <c r="N10" s="35">
        <v>4021.0419889192881</v>
      </c>
      <c r="O10" s="35">
        <v>4028.6841652106341</v>
      </c>
      <c r="P10" s="35">
        <v>4037.9999483547026</v>
      </c>
      <c r="Q10" s="35">
        <v>4047.2951402963336</v>
      </c>
      <c r="R10" s="35">
        <v>4056.6476642374678</v>
      </c>
      <c r="S10" s="35">
        <v>4066.3112094959688</v>
      </c>
      <c r="T10" s="35">
        <v>4076.1742386704541</v>
      </c>
      <c r="U10" s="35">
        <v>4086.2079726903844</v>
      </c>
      <c r="V10" s="35">
        <v>4096.4006540251667</v>
      </c>
      <c r="W10" s="35"/>
      <c r="X10" s="35"/>
    </row>
    <row r="11" spans="2:24" x14ac:dyDescent="0.25">
      <c r="J11" s="77" t="s">
        <v>94</v>
      </c>
      <c r="K11" s="35">
        <v>3814.2</v>
      </c>
      <c r="L11" s="35">
        <v>3812.2</v>
      </c>
      <c r="M11" s="35">
        <v>3819.1546599751318</v>
      </c>
      <c r="N11" s="35">
        <v>3826.3426028300914</v>
      </c>
      <c r="O11" s="35">
        <v>3833.8014717196174</v>
      </c>
      <c r="P11" s="35">
        <v>3841.585122644517</v>
      </c>
      <c r="Q11" s="35">
        <v>3849.388882051936</v>
      </c>
      <c r="R11" s="35">
        <v>3857.1970884989182</v>
      </c>
      <c r="S11" s="35">
        <v>3865.0118529911465</v>
      </c>
      <c r="T11" s="35">
        <v>3872.8361058606388</v>
      </c>
      <c r="U11" s="35">
        <v>3880.6713302625258</v>
      </c>
      <c r="V11" s="35">
        <v>3888.5193991267001</v>
      </c>
      <c r="W11" s="35"/>
      <c r="X11" s="35"/>
    </row>
    <row r="12" spans="2:24" x14ac:dyDescent="0.25">
      <c r="J12" s="77" t="s">
        <v>96</v>
      </c>
      <c r="K12" s="35">
        <v>192.812746</v>
      </c>
      <c r="L12" s="35">
        <v>195.07704799999897</v>
      </c>
      <c r="M12" s="35">
        <v>198.05910167990234</v>
      </c>
      <c r="N12" s="35">
        <v>194.69938608919642</v>
      </c>
      <c r="O12" s="35">
        <v>194.88269349101648</v>
      </c>
      <c r="P12" s="35">
        <v>196.4148257101856</v>
      </c>
      <c r="Q12" s="35">
        <v>197.90625824439741</v>
      </c>
      <c r="R12" s="35">
        <v>199.45057573854965</v>
      </c>
      <c r="S12" s="35">
        <v>201.29935650482213</v>
      </c>
      <c r="T12" s="35">
        <v>203.33813280981536</v>
      </c>
      <c r="U12" s="35">
        <v>205.53664242785842</v>
      </c>
      <c r="V12" s="35">
        <v>207.8812548984663</v>
      </c>
      <c r="W12" s="35"/>
      <c r="X12" s="35"/>
    </row>
    <row r="13" spans="2:24" x14ac:dyDescent="0.25">
      <c r="J13" s="77" t="s">
        <v>98</v>
      </c>
      <c r="K13" s="35">
        <v>4007.0127460000003</v>
      </c>
      <c r="L13" s="35">
        <v>4007.2770479999999</v>
      </c>
      <c r="M13" s="35">
        <v>4017.213761655034</v>
      </c>
      <c r="N13" s="35">
        <v>4021.0419889192881</v>
      </c>
      <c r="O13" s="35">
        <v>4028.6841652106341</v>
      </c>
      <c r="P13" s="35">
        <v>4037.9999483547026</v>
      </c>
      <c r="Q13" s="35">
        <v>4047.2951402963336</v>
      </c>
      <c r="R13" s="35">
        <v>4056.6476642374678</v>
      </c>
      <c r="S13" s="35">
        <v>4066.3112094959688</v>
      </c>
      <c r="T13" s="35">
        <v>4076.1742386704541</v>
      </c>
      <c r="U13" s="35">
        <v>4086.2079726903844</v>
      </c>
      <c r="V13" s="35">
        <v>4096.4006540251667</v>
      </c>
      <c r="W13" s="35"/>
      <c r="X13" s="35"/>
    </row>
    <row r="14" spans="2:24" x14ac:dyDescent="0.25">
      <c r="J14" s="77" t="s">
        <v>100</v>
      </c>
      <c r="K14" s="35">
        <v>1.1683204992127134</v>
      </c>
      <c r="L14" s="35">
        <v>0.88422499130998855</v>
      </c>
      <c r="M14" s="35">
        <v>0.8817321895985285</v>
      </c>
      <c r="N14" s="35">
        <v>0.87966180993823662</v>
      </c>
      <c r="O14" s="35">
        <v>0.87785050094187678</v>
      </c>
      <c r="P14" s="35">
        <v>0.87623730742533135</v>
      </c>
      <c r="Q14" s="35">
        <v>0.8748761602163253</v>
      </c>
      <c r="R14" s="35">
        <v>0.87375453487996224</v>
      </c>
      <c r="S14" s="35">
        <v>0.87294247985696038</v>
      </c>
      <c r="T14" s="35">
        <v>0.8723564764026156</v>
      </c>
      <c r="U14" s="35">
        <v>0.87197171513029481</v>
      </c>
      <c r="V14" s="35">
        <v>0.87176183646995986</v>
      </c>
      <c r="W14" s="35"/>
      <c r="X14" s="35"/>
    </row>
    <row r="15" spans="2:24" x14ac:dyDescent="0.25">
      <c r="J15" s="77" t="s">
        <v>102</v>
      </c>
      <c r="K15" s="35">
        <v>104.670241060148</v>
      </c>
      <c r="L15" s="35">
        <v>79.027332431086805</v>
      </c>
      <c r="M15" s="35">
        <v>78.974068139966704</v>
      </c>
      <c r="N15" s="35">
        <v>78.925389936371261</v>
      </c>
      <c r="O15" s="35">
        <v>78.882037801911082</v>
      </c>
      <c r="P15" s="35">
        <v>78.84507692003308</v>
      </c>
      <c r="Q15" s="35">
        <v>78.808221504126024</v>
      </c>
      <c r="R15" s="35">
        <v>78.771150395556219</v>
      </c>
      <c r="S15" s="35">
        <v>78.733907675981428</v>
      </c>
      <c r="T15" s="35">
        <v>78.696553643449334</v>
      </c>
      <c r="U15" s="35">
        <v>78.659118666689565</v>
      </c>
      <c r="V15" s="35">
        <v>78.621640695741661</v>
      </c>
      <c r="W15" s="35"/>
      <c r="X15" s="35"/>
    </row>
    <row r="16" spans="2:24" x14ac:dyDescent="0.25">
      <c r="J16" s="77" t="s">
        <v>104</v>
      </c>
      <c r="K16" s="35">
        <v>2675.2037062606901</v>
      </c>
      <c r="L16" s="35">
        <v>3034.4730965130002</v>
      </c>
      <c r="M16" s="35">
        <v>3040.3293421474013</v>
      </c>
      <c r="N16" s="35">
        <v>3040.1385455484346</v>
      </c>
      <c r="O16" s="35">
        <v>3043.9321500011811</v>
      </c>
      <c r="P16" s="35">
        <v>3049.5751637881931</v>
      </c>
      <c r="Q16" s="35">
        <v>3055.281476580119</v>
      </c>
      <c r="R16" s="35">
        <v>3061.1532839074594</v>
      </c>
      <c r="S16" s="35">
        <v>3067.3120380890246</v>
      </c>
      <c r="T16" s="35">
        <v>3073.7427060703094</v>
      </c>
      <c r="U16" s="35">
        <v>3080.439354874427</v>
      </c>
      <c r="V16" s="35">
        <v>3087.3935718365587</v>
      </c>
      <c r="W16" s="35"/>
      <c r="X16" s="35"/>
    </row>
    <row r="17" spans="10:24" x14ac:dyDescent="0.25">
      <c r="J17" s="77" t="s">
        <v>106</v>
      </c>
      <c r="K17" s="35">
        <v>1095.61032031584</v>
      </c>
      <c r="L17" s="35">
        <v>827.19940378063097</v>
      </c>
      <c r="M17" s="35">
        <v>831.92015570760589</v>
      </c>
      <c r="N17" s="35">
        <v>836.57986792380018</v>
      </c>
      <c r="O17" s="35">
        <v>841.08958948443978</v>
      </c>
      <c r="P17" s="35">
        <v>845.44840797954089</v>
      </c>
      <c r="Q17" s="35">
        <v>849.73742670702097</v>
      </c>
      <c r="R17" s="35">
        <v>853.93365552947978</v>
      </c>
      <c r="S17" s="35">
        <v>858.09225724412795</v>
      </c>
      <c r="T17" s="35">
        <v>862.19068476682241</v>
      </c>
      <c r="U17" s="35">
        <v>866.20755193573234</v>
      </c>
      <c r="V17" s="35">
        <v>870.13836202864877</v>
      </c>
      <c r="W17" s="35"/>
      <c r="X17" s="35"/>
    </row>
    <row r="18" spans="10:24" x14ac:dyDescent="0.25">
      <c r="J18" s="77" t="s">
        <v>108</v>
      </c>
      <c r="K18" s="35">
        <v>104.670241060148</v>
      </c>
      <c r="L18" s="35">
        <v>79.027332431086805</v>
      </c>
      <c r="M18" s="35">
        <v>79.171503310316638</v>
      </c>
      <c r="N18" s="35">
        <v>79.320510169740203</v>
      </c>
      <c r="O18" s="35">
        <v>79.475133356166012</v>
      </c>
      <c r="P18" s="35">
        <v>79.636489310515103</v>
      </c>
      <c r="Q18" s="35">
        <v>79.798262115955438</v>
      </c>
      <c r="R18" s="35">
        <v>79.960127109024768</v>
      </c>
      <c r="S18" s="35">
        <v>80.122128051104923</v>
      </c>
      <c r="T18" s="35">
        <v>80.284325688307121</v>
      </c>
      <c r="U18" s="35">
        <v>80.446750766603145</v>
      </c>
      <c r="V18" s="35">
        <v>80.609442112039162</v>
      </c>
      <c r="W18" s="35"/>
      <c r="X18" s="35"/>
    </row>
    <row r="19" spans="10:24" x14ac:dyDescent="0.25">
      <c r="J19" s="77" t="s">
        <v>110</v>
      </c>
      <c r="K19" s="35">
        <v>-137.67400195995299</v>
      </c>
      <c r="L19" s="35">
        <v>-136.67400195995299</v>
      </c>
      <c r="M19" s="35">
        <v>-136.92333861885652</v>
      </c>
      <c r="N19" s="35">
        <v>-137.18103887483647</v>
      </c>
      <c r="O19" s="35">
        <v>-137.44845230047679</v>
      </c>
      <c r="P19" s="35">
        <v>-137.72750972709798</v>
      </c>
      <c r="Q19" s="35">
        <v>-138.00728807779836</v>
      </c>
      <c r="R19" s="35">
        <v>-138.28722586260588</v>
      </c>
      <c r="S19" s="35">
        <v>-138.56739876474307</v>
      </c>
      <c r="T19" s="35">
        <v>-138.84791184171178</v>
      </c>
      <c r="U19" s="35">
        <v>-139.12881826720368</v>
      </c>
      <c r="V19" s="35">
        <v>-139.41018518901365</v>
      </c>
      <c r="W19" s="35"/>
      <c r="X19" s="35"/>
    </row>
    <row r="20" spans="10:24" x14ac:dyDescent="0.25">
      <c r="J20" s="77" t="s">
        <v>112</v>
      </c>
      <c r="K20" s="35">
        <v>4144.6867479599532</v>
      </c>
      <c r="L20" s="35">
        <v>4143.9510499599528</v>
      </c>
      <c r="M20" s="35">
        <v>4154.1371002738906</v>
      </c>
      <c r="N20" s="35">
        <v>4158.2230277941244</v>
      </c>
      <c r="O20" s="35">
        <v>4166.1326175111108</v>
      </c>
      <c r="P20" s="35">
        <v>4175.7274580818003</v>
      </c>
      <c r="Q20" s="35">
        <v>4185.3024283741315</v>
      </c>
      <c r="R20" s="35">
        <v>4194.934890100074</v>
      </c>
      <c r="S20" s="35">
        <v>4204.8786082607121</v>
      </c>
      <c r="T20" s="35">
        <v>4215.0221505121663</v>
      </c>
      <c r="U20" s="35">
        <v>4225.3367909575882</v>
      </c>
      <c r="V20" s="35">
        <v>4235.8108392141803</v>
      </c>
      <c r="W20" s="35"/>
      <c r="X20" s="35"/>
    </row>
    <row r="21" spans="10:24" x14ac:dyDescent="0.25">
      <c r="J21" s="77" t="s">
        <v>114</v>
      </c>
      <c r="K21" s="35">
        <v>8.276337389716856</v>
      </c>
      <c r="L21" s="35">
        <v>6.2638157606858211</v>
      </c>
      <c r="M21" s="35">
        <v>6.2461568494336346</v>
      </c>
      <c r="N21" s="35">
        <v>6.23149035971191</v>
      </c>
      <c r="O21" s="35">
        <v>6.2186591165889782</v>
      </c>
      <c r="P21" s="35">
        <v>6.2072313158897421</v>
      </c>
      <c r="Q21" s="35">
        <v>6.1975890015193311</v>
      </c>
      <c r="R21" s="35">
        <v>6.1896434508636249</v>
      </c>
      <c r="S21" s="35">
        <v>6.1838908843770257</v>
      </c>
      <c r="T21" s="35">
        <v>6.1797396584908366</v>
      </c>
      <c r="U21" s="35">
        <v>6.1770140244662954</v>
      </c>
      <c r="V21" s="35">
        <v>6.175527252125141</v>
      </c>
      <c r="W21" s="35"/>
      <c r="X21" s="35"/>
    </row>
    <row r="22" spans="10:24" x14ac:dyDescent="0.25">
      <c r="J22" s="77" t="s">
        <v>116</v>
      </c>
      <c r="K22" s="35">
        <v>164.53223926312799</v>
      </c>
      <c r="L22" s="35">
        <v>124.22388480414899</v>
      </c>
      <c r="M22" s="35">
        <v>123.74203096860062</v>
      </c>
      <c r="N22" s="35">
        <v>123.25871421577739</v>
      </c>
      <c r="O22" s="35">
        <v>122.75370686741181</v>
      </c>
      <c r="P22" s="35">
        <v>122.2223200835184</v>
      </c>
      <c r="Q22" s="35">
        <v>121.67704146691193</v>
      </c>
      <c r="R22" s="35">
        <v>121.1166731585534</v>
      </c>
      <c r="S22" s="35">
        <v>120.61827720047319</v>
      </c>
      <c r="T22" s="35">
        <v>120.1078803432773</v>
      </c>
      <c r="U22" s="35">
        <v>119.58401471413612</v>
      </c>
      <c r="V22" s="35">
        <v>119.04782254119284</v>
      </c>
      <c r="W22" s="35"/>
      <c r="X22" s="35"/>
    </row>
  </sheetData>
  <phoneticPr fontId="1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4:AT20"/>
  <sheetViews>
    <sheetView topLeftCell="G1" workbookViewId="0">
      <pane xSplit="4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47.625" style="20" customWidth="1"/>
    <col min="11" max="24" width="14.125" style="20"/>
    <col min="25" max="16384" width="9" style="20"/>
  </cols>
  <sheetData>
    <row r="4" spans="2:46" x14ac:dyDescent="0.25"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</row>
    <row r="5" spans="2:46" x14ac:dyDescent="0.25">
      <c r="K5" s="30"/>
      <c r="L5" s="22">
        <f>L11/L10</f>
        <v>0.98976796436587877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2:46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46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46" x14ac:dyDescent="0.25">
      <c r="J8" s="77" t="s">
        <v>88</v>
      </c>
      <c r="K8" s="24">
        <v>1200</v>
      </c>
      <c r="L8" s="24">
        <v>1066.6670000000001</v>
      </c>
      <c r="M8" s="24">
        <v>1066.2013555715678</v>
      </c>
      <c r="N8" s="24">
        <v>1065.7209049920802</v>
      </c>
      <c r="O8" s="24">
        <v>1065.2261287218121</v>
      </c>
      <c r="P8" s="24">
        <v>1064.7192483370525</v>
      </c>
      <c r="Q8" s="24">
        <v>1064.2137994798497</v>
      </c>
      <c r="R8" s="24">
        <v>1063.7058287127734</v>
      </c>
      <c r="S8" s="24">
        <v>1063.1959120496829</v>
      </c>
      <c r="T8" s="24">
        <v>1062.6848453963273</v>
      </c>
      <c r="U8" s="24">
        <v>1062.1730213768892</v>
      </c>
      <c r="V8" s="24">
        <v>1061.6609358277137</v>
      </c>
      <c r="W8" s="24"/>
      <c r="X8" s="24"/>
    </row>
    <row r="9" spans="2:46" x14ac:dyDescent="0.25">
      <c r="J9" s="77" t="s">
        <v>90</v>
      </c>
      <c r="K9" s="24">
        <v>28750</v>
      </c>
      <c r="L9" s="24">
        <v>29999.990625002927</v>
      </c>
      <c r="M9" s="24">
        <v>30031.369708948168</v>
      </c>
      <c r="N9" s="24">
        <v>30062.970842865248</v>
      </c>
      <c r="O9" s="24">
        <v>30095.140003857494</v>
      </c>
      <c r="P9" s="24">
        <v>30128.599760015797</v>
      </c>
      <c r="Q9" s="24">
        <v>30162.962072036575</v>
      </c>
      <c r="R9" s="24">
        <v>30195.922512871086</v>
      </c>
      <c r="S9" s="24">
        <v>30227.860282906247</v>
      </c>
      <c r="T9" s="24">
        <v>30259.319863371886</v>
      </c>
      <c r="U9" s="24">
        <v>30290.5561646393</v>
      </c>
      <c r="V9" s="24">
        <v>30321.903173424267</v>
      </c>
      <c r="W9" s="24"/>
      <c r="X9" s="24"/>
    </row>
    <row r="10" spans="2:46" x14ac:dyDescent="0.25">
      <c r="J10" s="77" t="s">
        <v>92</v>
      </c>
      <c r="K10" s="24">
        <v>34609.86</v>
      </c>
      <c r="L10" s="24">
        <v>32330.81</v>
      </c>
      <c r="M10" s="24">
        <v>32392.363700896989</v>
      </c>
      <c r="N10" s="24">
        <v>32441.268639232872</v>
      </c>
      <c r="O10" s="24">
        <v>32476.281532402169</v>
      </c>
      <c r="P10" s="24">
        <v>32498.393571918361</v>
      </c>
      <c r="Q10" s="24">
        <v>32508.640463343021</v>
      </c>
      <c r="R10" s="24">
        <v>32506.960122532739</v>
      </c>
      <c r="S10" s="24">
        <v>32505.978106874445</v>
      </c>
      <c r="T10" s="24">
        <v>32495.240843313382</v>
      </c>
      <c r="U10" s="24">
        <v>32475.184184522797</v>
      </c>
      <c r="V10" s="24">
        <v>32446.757696458615</v>
      </c>
      <c r="W10" s="24"/>
      <c r="X10" s="24"/>
    </row>
    <row r="11" spans="2:46" x14ac:dyDescent="0.25">
      <c r="J11" s="77" t="s">
        <v>94</v>
      </c>
      <c r="K11" s="24">
        <v>34500</v>
      </c>
      <c r="L11" s="24">
        <v>32000</v>
      </c>
      <c r="M11" s="24">
        <v>32019.487093351458</v>
      </c>
      <c r="N11" s="24">
        <v>32038.736493408873</v>
      </c>
      <c r="O11" s="24">
        <v>32058.129479650059</v>
      </c>
      <c r="P11" s="24">
        <v>32078.500089931917</v>
      </c>
      <c r="Q11" s="24">
        <v>32099.840470250761</v>
      </c>
      <c r="R11" s="24">
        <v>32119.578780300231</v>
      </c>
      <c r="S11" s="24">
        <v>32138.137482794893</v>
      </c>
      <c r="T11" s="24">
        <v>32156.120650805362</v>
      </c>
      <c r="U11" s="24">
        <v>32173.811560581278</v>
      </c>
      <c r="V11" s="24">
        <v>32191.580099174927</v>
      </c>
      <c r="W11" s="24"/>
      <c r="X11" s="24"/>
    </row>
    <row r="12" spans="2:46" x14ac:dyDescent="0.25">
      <c r="J12" s="77" t="s">
        <v>96</v>
      </c>
      <c r="K12" s="24">
        <v>109.86000000000001</v>
      </c>
      <c r="L12" s="24">
        <v>330.81000000000006</v>
      </c>
      <c r="M12" s="24">
        <v>372.87660754553116</v>
      </c>
      <c r="N12" s="24">
        <v>402.53214582400062</v>
      </c>
      <c r="O12" s="24">
        <v>418.15205275211099</v>
      </c>
      <c r="P12" s="24">
        <v>419.89348198644569</v>
      </c>
      <c r="Q12" s="24">
        <v>408.79999309226088</v>
      </c>
      <c r="R12" s="24">
        <v>387.38134223250864</v>
      </c>
      <c r="S12" s="24">
        <v>367.8406240795527</v>
      </c>
      <c r="T12" s="24">
        <v>339.12019250801927</v>
      </c>
      <c r="U12" s="24">
        <v>301.3726239415181</v>
      </c>
      <c r="V12" s="24">
        <v>255.17759728368941</v>
      </c>
      <c r="W12" s="24"/>
      <c r="X12" s="24"/>
    </row>
    <row r="13" spans="2:46" x14ac:dyDescent="0.25">
      <c r="J13" s="77" t="s">
        <v>98</v>
      </c>
      <c r="K13" s="24">
        <v>34609.86</v>
      </c>
      <c r="L13" s="24">
        <v>32330.809999999998</v>
      </c>
      <c r="M13" s="24">
        <v>32392.363700896989</v>
      </c>
      <c r="N13" s="24">
        <v>32441.268639232872</v>
      </c>
      <c r="O13" s="24">
        <v>32476.281532402169</v>
      </c>
      <c r="P13" s="24">
        <v>32498.393571918361</v>
      </c>
      <c r="Q13" s="24">
        <v>32508.640463342759</v>
      </c>
      <c r="R13" s="24">
        <v>32506.960122532739</v>
      </c>
      <c r="S13" s="24">
        <v>32505.978106874445</v>
      </c>
      <c r="T13" s="24">
        <v>32495.240843313382</v>
      </c>
      <c r="U13" s="24">
        <v>32475.184184522797</v>
      </c>
      <c r="V13" s="24">
        <v>32446.757696458615</v>
      </c>
      <c r="W13" s="24"/>
      <c r="X13" s="24"/>
    </row>
    <row r="14" spans="2:46" x14ac:dyDescent="0.25">
      <c r="J14" s="77" t="s">
        <v>100</v>
      </c>
      <c r="K14" s="24">
        <v>116.31185659101884</v>
      </c>
      <c r="L14" s="24">
        <v>134.30574635736605</v>
      </c>
      <c r="M14" s="24">
        <v>134.74578338021914</v>
      </c>
      <c r="N14" s="24">
        <v>135.16616491121826</v>
      </c>
      <c r="O14" s="24">
        <v>135.5571989866757</v>
      </c>
      <c r="P14" s="24">
        <v>135.92225034380473</v>
      </c>
      <c r="Q14" s="24">
        <v>136.26214411812575</v>
      </c>
      <c r="R14" s="24">
        <v>136.57598543221539</v>
      </c>
      <c r="S14" s="24">
        <v>136.87667937619037</v>
      </c>
      <c r="T14" s="24">
        <v>137.16032695992646</v>
      </c>
      <c r="U14" s="24">
        <v>137.42806713263838</v>
      </c>
      <c r="V14" s="24">
        <v>137.68118031712478</v>
      </c>
      <c r="W14" s="24"/>
      <c r="X14" s="24"/>
    </row>
    <row r="15" spans="2:46" x14ac:dyDescent="0.25">
      <c r="J15" s="77" t="s">
        <v>106</v>
      </c>
      <c r="K15" s="24">
        <v>9259.8931499999999</v>
      </c>
      <c r="L15" s="24">
        <v>9260.9</v>
      </c>
      <c r="M15" s="24">
        <v>9278.1923332201804</v>
      </c>
      <c r="N15" s="24">
        <v>9295.1926713620032</v>
      </c>
      <c r="O15" s="24">
        <v>9311.6584989825769</v>
      </c>
      <c r="P15" s="24">
        <v>9327.4861098137826</v>
      </c>
      <c r="Q15" s="24">
        <v>9342.8773962540545</v>
      </c>
      <c r="R15" s="24">
        <v>9358.1640999148658</v>
      </c>
      <c r="S15" s="24">
        <v>9373.5624487417608</v>
      </c>
      <c r="T15" s="24">
        <v>9388.7898071210384</v>
      </c>
      <c r="U15" s="24">
        <v>9403.7626730427291</v>
      </c>
      <c r="V15" s="24">
        <v>9418.4281326642504</v>
      </c>
      <c r="W15" s="24"/>
      <c r="X15" s="24"/>
    </row>
    <row r="16" spans="2:46" x14ac:dyDescent="0.25">
      <c r="J16" s="77" t="s">
        <v>108</v>
      </c>
      <c r="K16" s="24">
        <v>8970.0007100000003</v>
      </c>
      <c r="L16" s="24">
        <v>4201.43</v>
      </c>
      <c r="M16" s="24">
        <v>4203.9885518318633</v>
      </c>
      <c r="N16" s="24">
        <v>4206.5158957969643</v>
      </c>
      <c r="O16" s="24">
        <v>4209.0620918651921</v>
      </c>
      <c r="P16" s="24">
        <v>4211.7366447763334</v>
      </c>
      <c r="Q16" s="24">
        <v>4214.5385233417364</v>
      </c>
      <c r="R16" s="24">
        <v>4217.1300585911504</v>
      </c>
      <c r="S16" s="24">
        <v>4219.5667176355919</v>
      </c>
      <c r="T16" s="24">
        <v>4221.9278120597864</v>
      </c>
      <c r="U16" s="24">
        <v>4224.2505345304062</v>
      </c>
      <c r="V16" s="24">
        <v>4226.5834492523909</v>
      </c>
      <c r="W16" s="24"/>
      <c r="X16" s="24"/>
    </row>
    <row r="17" spans="10:24" x14ac:dyDescent="0.25">
      <c r="J17" s="77" t="s">
        <v>112</v>
      </c>
      <c r="K17" s="24">
        <v>34609.86</v>
      </c>
      <c r="L17" s="24">
        <v>32330.809999999998</v>
      </c>
      <c r="M17" s="24">
        <v>32392.363700896989</v>
      </c>
      <c r="N17" s="24">
        <v>32441.268639232872</v>
      </c>
      <c r="O17" s="24">
        <v>32476.281532402169</v>
      </c>
      <c r="P17" s="24">
        <v>32498.393571918361</v>
      </c>
      <c r="Q17" s="24">
        <v>32508.640463342759</v>
      </c>
      <c r="R17" s="24">
        <v>32506.960122532739</v>
      </c>
      <c r="S17" s="24">
        <v>32505.978106874445</v>
      </c>
      <c r="T17" s="24">
        <v>32495.240843313382</v>
      </c>
      <c r="U17" s="24">
        <v>32475.184184522797</v>
      </c>
      <c r="V17" s="24">
        <v>32446.757696458615</v>
      </c>
      <c r="W17" s="24"/>
      <c r="X17" s="24"/>
    </row>
    <row r="18" spans="10:24" x14ac:dyDescent="0.25">
      <c r="J18" s="77" t="s">
        <v>114</v>
      </c>
      <c r="K18" s="24">
        <v>96.682239149904433</v>
      </c>
      <c r="L18" s="24">
        <v>111.63935190362974</v>
      </c>
      <c r="M18" s="24">
        <v>112.00512514399584</v>
      </c>
      <c r="N18" s="24">
        <v>112.35456009332496</v>
      </c>
      <c r="O18" s="24">
        <v>112.67960047276001</v>
      </c>
      <c r="P18" s="24">
        <v>112.98304316249416</v>
      </c>
      <c r="Q18" s="24">
        <v>113.2655740422996</v>
      </c>
      <c r="R18" s="24">
        <v>113.5264492606415</v>
      </c>
      <c r="S18" s="24">
        <v>113.7763959527018</v>
      </c>
      <c r="T18" s="24">
        <v>114.01217314970326</v>
      </c>
      <c r="U18" s="24">
        <v>114.23472758367805</v>
      </c>
      <c r="V18" s="24">
        <v>114.44512358415248</v>
      </c>
      <c r="W18" s="24"/>
      <c r="X18" s="24"/>
    </row>
    <row r="19" spans="10:24" x14ac:dyDescent="0.25">
      <c r="J19" s="77" t="s">
        <v>116</v>
      </c>
      <c r="K19" s="24">
        <v>16379.96614</v>
      </c>
      <c r="L19" s="24">
        <v>18868.48</v>
      </c>
      <c r="M19" s="24">
        <v>18910.182815844943</v>
      </c>
      <c r="N19" s="24">
        <v>18939.560072073902</v>
      </c>
      <c r="O19" s="24">
        <v>18955.560941554399</v>
      </c>
      <c r="P19" s="24">
        <v>18959.170817328246</v>
      </c>
      <c r="Q19" s="24">
        <v>18951.22454374787</v>
      </c>
      <c r="R19" s="24">
        <v>18931.665964026721</v>
      </c>
      <c r="S19" s="24">
        <v>18912.848940497097</v>
      </c>
      <c r="T19" s="24">
        <v>18884.523224132558</v>
      </c>
      <c r="U19" s="24">
        <v>18847.170976949663</v>
      </c>
      <c r="V19" s="24">
        <v>18801.746114541973</v>
      </c>
      <c r="W19" s="24"/>
      <c r="X19" s="24"/>
    </row>
    <row r="20" spans="10:24" x14ac:dyDescent="0.25">
      <c r="J20" s="77" t="s">
        <v>118</v>
      </c>
      <c r="K20" s="24">
        <v>1875.8741496224682</v>
      </c>
      <c r="L20" s="24">
        <v>1668.7353058915514</v>
      </c>
      <c r="M20" s="24">
        <v>1660.9102920121218</v>
      </c>
      <c r="N20" s="24">
        <v>1652.4538284165135</v>
      </c>
      <c r="O20" s="24">
        <v>1643.2964457853134</v>
      </c>
      <c r="P20" s="24">
        <v>1633.4639200278407</v>
      </c>
      <c r="Q20" s="24">
        <v>1623.0437512881408</v>
      </c>
      <c r="R20" s="24">
        <v>1612.1686000474967</v>
      </c>
      <c r="S20" s="24">
        <v>1601.4571940359178</v>
      </c>
      <c r="T20" s="24">
        <v>1590.3610021428781</v>
      </c>
      <c r="U20" s="24">
        <v>1578.8966116163924</v>
      </c>
      <c r="V20" s="24">
        <v>1567.1013466708016</v>
      </c>
      <c r="W20" s="24"/>
      <c r="X20" s="24"/>
    </row>
  </sheetData>
  <phoneticPr fontId="1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3:AA17"/>
  <sheetViews>
    <sheetView topLeftCell="J1" zoomScale="85" zoomScaleNormal="85" workbookViewId="0">
      <pane xSplit="1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36.875" style="20" customWidth="1"/>
    <col min="11" max="24" width="14.125" style="20"/>
    <col min="25" max="16384" width="9" style="20"/>
  </cols>
  <sheetData>
    <row r="3" spans="2:27" x14ac:dyDescent="0.25">
      <c r="M3" s="24">
        <f>M9+182-M13</f>
        <v>844.3048149304276</v>
      </c>
    </row>
    <row r="4" spans="2:27" x14ac:dyDescent="0.25">
      <c r="M4" s="20">
        <f>M3/L15-1</f>
        <v>34.780076786827266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spans="2:27" x14ac:dyDescent="0.25">
      <c r="L5" s="22">
        <f>L9/L8</f>
        <v>0.74106283768780989</v>
      </c>
    </row>
    <row r="6" spans="2:27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7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7" x14ac:dyDescent="0.25">
      <c r="J8" s="77" t="s">
        <v>92</v>
      </c>
      <c r="K8" s="24">
        <v>1066.4100000000001</v>
      </c>
      <c r="L8" s="24">
        <v>1080.8800000000001</v>
      </c>
      <c r="M8" s="24">
        <v>1042.7232354101855</v>
      </c>
      <c r="N8" s="24">
        <v>1020.2261936993597</v>
      </c>
      <c r="O8" s="24">
        <v>1023.7498567300104</v>
      </c>
      <c r="P8" s="24">
        <v>1037.4243861974132</v>
      </c>
      <c r="Q8" s="24">
        <v>1050.487539283816</v>
      </c>
      <c r="R8" s="24">
        <v>1063.0585630393462</v>
      </c>
      <c r="S8" s="24">
        <v>1076.3111843435236</v>
      </c>
      <c r="T8" s="24">
        <v>1089.3643615854451</v>
      </c>
      <c r="U8" s="24">
        <v>1102.1856741005681</v>
      </c>
      <c r="V8" s="24">
        <v>1114.7648960740714</v>
      </c>
      <c r="W8" s="24"/>
      <c r="X8" s="24"/>
    </row>
    <row r="9" spans="2:27" x14ac:dyDescent="0.25">
      <c r="J9" s="77" t="s">
        <v>94</v>
      </c>
      <c r="K9" s="24">
        <v>779</v>
      </c>
      <c r="L9" s="24">
        <v>801</v>
      </c>
      <c r="M9" s="24">
        <v>771.38725482278289</v>
      </c>
      <c r="N9" s="24">
        <v>744.72348751246113</v>
      </c>
      <c r="O9" s="24">
        <v>742.08660135377829</v>
      </c>
      <c r="P9" s="24">
        <v>751.47335051616494</v>
      </c>
      <c r="Q9" s="24">
        <v>760.97104409918711</v>
      </c>
      <c r="R9" s="24">
        <v>770.57103616511472</v>
      </c>
      <c r="S9" s="24">
        <v>780.27249796730996</v>
      </c>
      <c r="T9" s="24">
        <v>790.07309189904333</v>
      </c>
      <c r="U9" s="24">
        <v>799.97270302953234</v>
      </c>
      <c r="V9" s="24">
        <v>809.97044764818486</v>
      </c>
      <c r="W9" s="24"/>
      <c r="X9" s="24"/>
    </row>
    <row r="10" spans="2:27" x14ac:dyDescent="0.25">
      <c r="J10" s="77" t="s">
        <v>96</v>
      </c>
      <c r="K10" s="24">
        <v>287.41000000000003</v>
      </c>
      <c r="L10" s="24">
        <v>279.88</v>
      </c>
      <c r="M10" s="24">
        <v>271.33598058740256</v>
      </c>
      <c r="N10" s="24">
        <v>275.50270618689854</v>
      </c>
      <c r="O10" s="24">
        <v>281.66325537623209</v>
      </c>
      <c r="P10" s="24">
        <v>285.9510356812483</v>
      </c>
      <c r="Q10" s="24">
        <v>289.51649518462887</v>
      </c>
      <c r="R10" s="24">
        <v>292.48752687423132</v>
      </c>
      <c r="S10" s="24">
        <v>296.03868637621372</v>
      </c>
      <c r="T10" s="24">
        <v>299.29126968640173</v>
      </c>
      <c r="U10" s="24">
        <v>302.21297107103572</v>
      </c>
      <c r="V10" s="24">
        <v>304.79444842588657</v>
      </c>
      <c r="W10" s="24"/>
      <c r="X10" s="24"/>
    </row>
    <row r="11" spans="2:27" x14ac:dyDescent="0.25">
      <c r="J11" s="77" t="s">
        <v>98</v>
      </c>
      <c r="K11" s="24">
        <v>1066.4100000000001</v>
      </c>
      <c r="L11" s="24">
        <v>1080.8800000000001</v>
      </c>
      <c r="M11" s="24">
        <v>1042.7232354101852</v>
      </c>
      <c r="N11" s="24">
        <v>1020.2261936993597</v>
      </c>
      <c r="O11" s="24">
        <v>1023.7498567300104</v>
      </c>
      <c r="P11" s="24">
        <v>1037.4243861974132</v>
      </c>
      <c r="Q11" s="24">
        <v>1050.487539283816</v>
      </c>
      <c r="R11" s="24">
        <v>1063.0585630393464</v>
      </c>
      <c r="S11" s="24">
        <v>1076.3111843435238</v>
      </c>
      <c r="T11" s="24">
        <v>1089.3643615854451</v>
      </c>
      <c r="U11" s="24">
        <v>1102.1856741005679</v>
      </c>
      <c r="V11" s="24">
        <v>1114.7648960740714</v>
      </c>
      <c r="W11" s="24"/>
      <c r="X11" s="24"/>
    </row>
    <row r="12" spans="2:27" x14ac:dyDescent="0.25">
      <c r="J12" s="77" t="s">
        <v>100</v>
      </c>
      <c r="K12" s="24">
        <v>6.7769903712329933</v>
      </c>
      <c r="L12" s="24">
        <v>6.8874431450149123</v>
      </c>
      <c r="M12" s="24">
        <v>6.6527204740913009</v>
      </c>
      <c r="N12" s="24">
        <v>6.5294788394190473</v>
      </c>
      <c r="O12" s="24">
        <v>6.5707063363514111</v>
      </c>
      <c r="P12" s="24">
        <v>6.6756658361704373</v>
      </c>
      <c r="Q12" s="24">
        <v>6.7794345567103607</v>
      </c>
      <c r="R12" s="24">
        <v>6.8829649345039918</v>
      </c>
      <c r="S12" s="24">
        <v>6.9909656593579177</v>
      </c>
      <c r="T12" s="24">
        <v>7.1007013453566037</v>
      </c>
      <c r="U12" s="24">
        <v>7.2119435910688203</v>
      </c>
      <c r="V12" s="24">
        <v>7.3244446304287996</v>
      </c>
      <c r="W12" s="24"/>
      <c r="X12" s="24"/>
    </row>
    <row r="13" spans="2:27" x14ac:dyDescent="0.25">
      <c r="J13" s="77" t="s">
        <v>131</v>
      </c>
      <c r="K13" s="24">
        <v>112.02</v>
      </c>
      <c r="L13" s="24">
        <v>113.27</v>
      </c>
      <c r="M13" s="24">
        <v>109.0824398923553</v>
      </c>
      <c r="N13" s="24">
        <v>105.3118969170243</v>
      </c>
      <c r="O13" s="24">
        <v>104.93901290304925</v>
      </c>
      <c r="P13" s="24">
        <v>106.26640001618726</v>
      </c>
      <c r="Q13" s="24">
        <v>107.60947586156666</v>
      </c>
      <c r="R13" s="24">
        <v>108.9670178107647</v>
      </c>
      <c r="S13" s="24">
        <v>110.33890867010884</v>
      </c>
      <c r="T13" s="24">
        <v>111.72481787690964</v>
      </c>
      <c r="U13" s="24">
        <v>113.12472917872049</v>
      </c>
      <c r="V13" s="24">
        <v>114.53851760937565</v>
      </c>
      <c r="W13" s="24"/>
      <c r="X13" s="24"/>
    </row>
    <row r="14" spans="2:27" x14ac:dyDescent="0.25">
      <c r="J14" s="77" t="s">
        <v>112</v>
      </c>
      <c r="K14" s="24">
        <v>1066.4100000000001</v>
      </c>
      <c r="L14" s="24">
        <v>1080.8800000000001</v>
      </c>
      <c r="M14" s="24">
        <v>1042.7232354101852</v>
      </c>
      <c r="N14" s="24">
        <v>1020.2261936993597</v>
      </c>
      <c r="O14" s="24">
        <v>1023.7498567300104</v>
      </c>
      <c r="P14" s="24">
        <v>1037.4243861974132</v>
      </c>
      <c r="Q14" s="24">
        <v>1050.487539283816</v>
      </c>
      <c r="R14" s="24">
        <v>1063.0585630393464</v>
      </c>
      <c r="S14" s="24">
        <v>1076.3111843435238</v>
      </c>
      <c r="T14" s="24">
        <v>1089.3643615854451</v>
      </c>
      <c r="U14" s="24">
        <v>1102.1856741005679</v>
      </c>
      <c r="V14" s="24">
        <v>1114.7648960740714</v>
      </c>
      <c r="W14" s="24"/>
      <c r="X14" s="24"/>
    </row>
    <row r="15" spans="2:27" x14ac:dyDescent="0.25">
      <c r="J15" s="77" t="s">
        <v>114</v>
      </c>
      <c r="K15" s="24">
        <v>23.218643290626627</v>
      </c>
      <c r="L15" s="24">
        <v>23.597065483136848</v>
      </c>
      <c r="M15" s="24">
        <v>22.792882258746801</v>
      </c>
      <c r="N15" s="24">
        <v>22.370644156394572</v>
      </c>
      <c r="O15" s="24">
        <v>22.511893662827582</v>
      </c>
      <c r="P15" s="24">
        <v>22.871495352185917</v>
      </c>
      <c r="Q15" s="24">
        <v>23.22701731325709</v>
      </c>
      <c r="R15" s="24">
        <v>23.581722688365474</v>
      </c>
      <c r="S15" s="24">
        <v>23.951743917281018</v>
      </c>
      <c r="T15" s="24">
        <v>24.327709295699009</v>
      </c>
      <c r="U15" s="24">
        <v>24.708836297591191</v>
      </c>
      <c r="V15" s="24">
        <v>25.094276051764673</v>
      </c>
      <c r="W15" s="24"/>
      <c r="X15" s="24"/>
    </row>
    <row r="16" spans="2:27" x14ac:dyDescent="0.25">
      <c r="J16" s="77" t="s">
        <v>116</v>
      </c>
      <c r="K16" s="24">
        <v>954.39</v>
      </c>
      <c r="L16" s="24">
        <v>967.61</v>
      </c>
      <c r="M16" s="24">
        <v>933.64079551783095</v>
      </c>
      <c r="N16" s="24">
        <v>914.91429678233544</v>
      </c>
      <c r="O16" s="24">
        <v>918.81084382696133</v>
      </c>
      <c r="P16" s="24">
        <v>931.15798618122631</v>
      </c>
      <c r="Q16" s="24">
        <v>942.87806342224928</v>
      </c>
      <c r="R16" s="24">
        <v>954.09154522858171</v>
      </c>
      <c r="S16" s="24">
        <v>965.97227567341486</v>
      </c>
      <c r="T16" s="24">
        <v>977.63954370853571</v>
      </c>
      <c r="U16" s="24">
        <v>989.06094492184752</v>
      </c>
      <c r="V16" s="24">
        <v>1000.226378464696</v>
      </c>
      <c r="W16" s="24"/>
      <c r="X16" s="24"/>
    </row>
    <row r="17" spans="10:24" x14ac:dyDescent="0.25">
      <c r="J17" s="77" t="s">
        <v>118</v>
      </c>
      <c r="K17" s="24">
        <v>12411.904515413702</v>
      </c>
      <c r="L17" s="24">
        <v>12605.23187620828</v>
      </c>
      <c r="M17" s="24">
        <v>11977.74795640716</v>
      </c>
      <c r="N17" s="24">
        <v>11596.750432781808</v>
      </c>
      <c r="O17" s="24">
        <v>11620.840425542317</v>
      </c>
      <c r="P17" s="24">
        <v>11801.587672608763</v>
      </c>
      <c r="Q17" s="24">
        <v>11971.880656639036</v>
      </c>
      <c r="R17" s="24">
        <v>12133.630991777954</v>
      </c>
      <c r="S17" s="24">
        <v>12304.897518680396</v>
      </c>
      <c r="T17" s="24">
        <v>12472.129270518506</v>
      </c>
      <c r="U17" s="24">
        <v>12634.859861264435</v>
      </c>
      <c r="V17" s="24">
        <v>12792.965572189862</v>
      </c>
      <c r="W17" s="24"/>
      <c r="X17" s="24"/>
    </row>
  </sheetData>
  <phoneticPr fontId="14" type="noConversion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6:V7"/>
  <sheetViews>
    <sheetView workbookViewId="0">
      <selection activeCell="AD60" sqref="AD6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6:V7"/>
  <sheetViews>
    <sheetView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6:V7"/>
  <sheetViews>
    <sheetView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5:X19"/>
  <sheetViews>
    <sheetView topLeftCell="F1" zoomScale="85" zoomScaleNormal="85" workbookViewId="0">
      <pane xSplit="5" ySplit="7" topLeftCell="K8" activePane="bottomRight" state="frozen"/>
      <selection pane="topRight"/>
      <selection pane="bottomLeft"/>
      <selection pane="bottomRight" activeCell="M9" sqref="M9"/>
    </sheetView>
  </sheetViews>
  <sheetFormatPr defaultColWidth="9" defaultRowHeight="15" x14ac:dyDescent="0.25"/>
  <cols>
    <col min="1" max="9" width="9" style="20"/>
    <col min="10" max="10" width="30.375" style="20" customWidth="1"/>
    <col min="11" max="24" width="14.125" style="20"/>
    <col min="25" max="16384" width="9" style="20"/>
  </cols>
  <sheetData>
    <row r="5" spans="2:24" x14ac:dyDescent="0.25">
      <c r="L5" s="22">
        <f>L9/L8</f>
        <v>0.98457314161404996</v>
      </c>
      <c r="M5" s="27">
        <f>M9-L9</f>
        <v>-53.862895392492646</v>
      </c>
    </row>
    <row r="6" spans="2:24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4" x14ac:dyDescent="0.25">
      <c r="J8" s="77" t="s">
        <v>92</v>
      </c>
      <c r="K8" s="27">
        <v>5810.54</v>
      </c>
      <c r="L8" s="27">
        <v>6031.04</v>
      </c>
      <c r="M8" s="27">
        <v>5971.3701662024541</v>
      </c>
      <c r="N8" s="27">
        <v>5937.064252492265</v>
      </c>
      <c r="O8" s="27">
        <v>5902.1642593445995</v>
      </c>
      <c r="P8" s="27">
        <v>5866.5580269312859</v>
      </c>
      <c r="Q8" s="27">
        <v>5830.1045083927092</v>
      </c>
      <c r="R8" s="27">
        <v>5795.1600719525613</v>
      </c>
      <c r="S8" s="27">
        <v>5762.2910168070503</v>
      </c>
      <c r="T8" s="27">
        <v>5728.8088839360171</v>
      </c>
      <c r="U8" s="27">
        <v>5694.6827831433347</v>
      </c>
      <c r="V8" s="27">
        <v>5659.9881493815537</v>
      </c>
      <c r="W8" s="27"/>
      <c r="X8" s="27"/>
    </row>
    <row r="9" spans="2:24" x14ac:dyDescent="0.25">
      <c r="J9" s="77" t="s">
        <v>94</v>
      </c>
      <c r="K9" s="27">
        <v>5706</v>
      </c>
      <c r="L9" s="27">
        <v>5938</v>
      </c>
      <c r="M9" s="27">
        <v>5884.1371046075074</v>
      </c>
      <c r="N9" s="27">
        <v>5847.2384114087718</v>
      </c>
      <c r="O9" s="27">
        <v>5810.1936576070184</v>
      </c>
      <c r="P9" s="27">
        <v>5773.06963300609</v>
      </c>
      <c r="Q9" s="27">
        <v>5736.1210229522376</v>
      </c>
      <c r="R9" s="27">
        <v>5699.5353218888322</v>
      </c>
      <c r="S9" s="27">
        <v>5663.2843274611296</v>
      </c>
      <c r="T9" s="27">
        <v>5627.3308678468493</v>
      </c>
      <c r="U9" s="27">
        <v>5591.6557956717279</v>
      </c>
      <c r="V9" s="27">
        <v>5556.235895548185</v>
      </c>
      <c r="W9" s="27"/>
      <c r="X9" s="27"/>
    </row>
    <row r="10" spans="2:24" x14ac:dyDescent="0.25">
      <c r="J10" s="77" t="s">
        <v>96</v>
      </c>
      <c r="K10" s="27">
        <v>104.54</v>
      </c>
      <c r="L10" s="27">
        <v>93.039999999999992</v>
      </c>
      <c r="M10" s="27">
        <v>87.233061594946776</v>
      </c>
      <c r="N10" s="27">
        <v>89.825841083493515</v>
      </c>
      <c r="O10" s="27">
        <v>91.970601737581305</v>
      </c>
      <c r="P10" s="27">
        <v>93.488393925196121</v>
      </c>
      <c r="Q10" s="27">
        <v>93.983485440471298</v>
      </c>
      <c r="R10" s="27">
        <v>95.624750063729437</v>
      </c>
      <c r="S10" s="27">
        <v>99.006689345920265</v>
      </c>
      <c r="T10" s="27">
        <v>101.47801608916822</v>
      </c>
      <c r="U10" s="27">
        <v>103.0269874716071</v>
      </c>
      <c r="V10" s="27">
        <v>103.75225383336871</v>
      </c>
      <c r="W10" s="27"/>
      <c r="X10" s="27"/>
    </row>
    <row r="11" spans="2:24" x14ac:dyDescent="0.25">
      <c r="J11" s="77" t="s">
        <v>98</v>
      </c>
      <c r="K11" s="27">
        <v>5810.54</v>
      </c>
      <c r="L11" s="27">
        <v>6031.0399999999945</v>
      </c>
      <c r="M11" s="27">
        <v>5971.3701662024541</v>
      </c>
      <c r="N11" s="27">
        <v>5937.064252492265</v>
      </c>
      <c r="O11" s="27">
        <v>5902.1642593445995</v>
      </c>
      <c r="P11" s="27">
        <v>5866.5580269312859</v>
      </c>
      <c r="Q11" s="27">
        <v>5830.1045083927092</v>
      </c>
      <c r="R11" s="27">
        <v>5795.1600719525613</v>
      </c>
      <c r="S11" s="27">
        <v>5762.2910168070503</v>
      </c>
      <c r="T11" s="27">
        <v>5728.8088839360171</v>
      </c>
      <c r="U11" s="27">
        <v>5694.6827831433347</v>
      </c>
      <c r="V11" s="27">
        <v>5659.9881493815537</v>
      </c>
      <c r="W11" s="27"/>
      <c r="X11" s="27"/>
    </row>
    <row r="12" spans="2:24" x14ac:dyDescent="0.25">
      <c r="J12" s="77" t="s">
        <v>100</v>
      </c>
      <c r="K12" s="27">
        <v>31.557431760729401</v>
      </c>
      <c r="L12" s="27">
        <v>32.835310949611717</v>
      </c>
      <c r="M12" s="27">
        <v>32.640233356634937</v>
      </c>
      <c r="N12" s="27">
        <v>32.473429269202157</v>
      </c>
      <c r="O12" s="27">
        <v>32.312046467664842</v>
      </c>
      <c r="P12" s="27">
        <v>32.15430160981424</v>
      </c>
      <c r="Q12" s="27">
        <v>31.997552997766896</v>
      </c>
      <c r="R12" s="27">
        <v>31.842949535179908</v>
      </c>
      <c r="S12" s="27">
        <v>31.694190465834211</v>
      </c>
      <c r="T12" s="27">
        <v>31.548267432895528</v>
      </c>
      <c r="U12" s="27">
        <v>31.404828934323572</v>
      </c>
      <c r="V12" s="27">
        <v>31.263229632792573</v>
      </c>
      <c r="W12" s="27"/>
      <c r="X12" s="27"/>
    </row>
    <row r="13" spans="2:24" x14ac:dyDescent="0.25">
      <c r="J13" s="77" t="s">
        <v>106</v>
      </c>
      <c r="K13" s="27">
        <v>1075.4100000000001</v>
      </c>
      <c r="L13" s="27">
        <v>1116.6600000000001</v>
      </c>
      <c r="M13" s="27">
        <v>1106.9357022058723</v>
      </c>
      <c r="N13" s="27">
        <v>1119.0307999293261</v>
      </c>
      <c r="O13" s="27">
        <v>1130.9941987812358</v>
      </c>
      <c r="P13" s="27">
        <v>1142.8443828612305</v>
      </c>
      <c r="Q13" s="27">
        <v>1154.6379763798793</v>
      </c>
      <c r="R13" s="27">
        <v>1166.3228775164757</v>
      </c>
      <c r="S13" s="27">
        <v>1177.9901787432386</v>
      </c>
      <c r="T13" s="27">
        <v>1189.6491028578537</v>
      </c>
      <c r="U13" s="27">
        <v>1201.2425636903879</v>
      </c>
      <c r="V13" s="27">
        <v>1212.7587977422752</v>
      </c>
      <c r="W13" s="27"/>
      <c r="X13" s="27"/>
    </row>
    <row r="14" spans="2:24" x14ac:dyDescent="0.25">
      <c r="J14" s="77" t="s">
        <v>108</v>
      </c>
      <c r="K14" s="27">
        <v>290.95999999999998</v>
      </c>
      <c r="L14" s="27">
        <v>301.38</v>
      </c>
      <c r="M14" s="27">
        <v>283.71390679644321</v>
      </c>
      <c r="N14" s="27">
        <v>267.83803350764799</v>
      </c>
      <c r="O14" s="27">
        <v>252.83410686486496</v>
      </c>
      <c r="P14" s="27">
        <v>238.65770076145506</v>
      </c>
      <c r="Q14" s="27">
        <v>225.27373902792721</v>
      </c>
      <c r="R14" s="27">
        <v>214.88343820575548</v>
      </c>
      <c r="S14" s="27">
        <v>204.97603778716248</v>
      </c>
      <c r="T14" s="27">
        <v>195.5277540728236</v>
      </c>
      <c r="U14" s="27">
        <v>186.51665735562833</v>
      </c>
      <c r="V14" s="27">
        <v>177.92177508823363</v>
      </c>
      <c r="W14" s="27"/>
      <c r="X14" s="27"/>
    </row>
    <row r="15" spans="2:24" x14ac:dyDescent="0.25">
      <c r="J15" s="77" t="s">
        <v>131</v>
      </c>
      <c r="K15" s="27">
        <v>2.6600943670018801E-13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pans="2:24" x14ac:dyDescent="0.25">
      <c r="J16" s="77" t="s">
        <v>112</v>
      </c>
      <c r="K16" s="27">
        <v>5810.54</v>
      </c>
      <c r="L16" s="27">
        <v>6031.0399999999945</v>
      </c>
      <c r="M16" s="27">
        <v>5971.3701662024541</v>
      </c>
      <c r="N16" s="27">
        <v>5937.064252492265</v>
      </c>
      <c r="O16" s="27">
        <v>5902.1642593445995</v>
      </c>
      <c r="P16" s="27">
        <v>5866.5580269312859</v>
      </c>
      <c r="Q16" s="27">
        <v>5830.1045083927092</v>
      </c>
      <c r="R16" s="27">
        <v>5795.1600719525613</v>
      </c>
      <c r="S16" s="27">
        <v>5762.2910168070503</v>
      </c>
      <c r="T16" s="27">
        <v>5728.8088839360171</v>
      </c>
      <c r="U16" s="27">
        <v>5694.6827831433347</v>
      </c>
      <c r="V16" s="27">
        <v>5659.9881493815537</v>
      </c>
      <c r="W16" s="27"/>
      <c r="X16" s="27"/>
    </row>
    <row r="17" spans="10:24" x14ac:dyDescent="0.25">
      <c r="J17" s="77" t="s">
        <v>114</v>
      </c>
      <c r="K17" s="27">
        <v>314.31673626689144</v>
      </c>
      <c r="L17" s="27">
        <v>327.04460395391601</v>
      </c>
      <c r="M17" s="27">
        <v>325.1016019755495</v>
      </c>
      <c r="N17" s="27">
        <v>323.4402083375827</v>
      </c>
      <c r="O17" s="27">
        <v>321.83281151728954</v>
      </c>
      <c r="P17" s="27">
        <v>320.26164915976887</v>
      </c>
      <c r="Q17" s="27">
        <v>318.70040955932717</v>
      </c>
      <c r="R17" s="27">
        <v>317.16053596808098</v>
      </c>
      <c r="S17" s="27">
        <v>315.67887340690174</v>
      </c>
      <c r="T17" s="27">
        <v>314.22545819215259</v>
      </c>
      <c r="U17" s="27">
        <v>312.7967893109838</v>
      </c>
      <c r="V17" s="27">
        <v>311.38643910719185</v>
      </c>
      <c r="W17" s="27"/>
      <c r="X17" s="27"/>
    </row>
    <row r="18" spans="10:24" x14ac:dyDescent="0.25">
      <c r="J18" s="77" t="s">
        <v>116</v>
      </c>
      <c r="K18" s="27">
        <v>4444.17</v>
      </c>
      <c r="L18" s="27">
        <v>4613</v>
      </c>
      <c r="M18" s="27">
        <v>4580.7205572001403</v>
      </c>
      <c r="N18" s="27">
        <v>4550.1954190552897</v>
      </c>
      <c r="O18" s="27">
        <v>4518.3359536984981</v>
      </c>
      <c r="P18" s="27">
        <v>4485.0559433086</v>
      </c>
      <c r="Q18" s="27">
        <v>4450.1927929849016</v>
      </c>
      <c r="R18" s="27">
        <v>4413.9537562303303</v>
      </c>
      <c r="S18" s="27">
        <v>4379.3248002766486</v>
      </c>
      <c r="T18" s="27">
        <v>4343.6320270053393</v>
      </c>
      <c r="U18" s="27">
        <v>4306.9235620973186</v>
      </c>
      <c r="V18" s="27">
        <v>4269.3075765510439</v>
      </c>
      <c r="W18" s="27"/>
      <c r="X18" s="27"/>
    </row>
    <row r="19" spans="10:24" x14ac:dyDescent="0.25">
      <c r="J19" s="77" t="s">
        <v>118</v>
      </c>
      <c r="K19" s="20">
        <v>5120.4420065836666</v>
      </c>
      <c r="L19" s="20">
        <v>5298.4172846588772</v>
      </c>
      <c r="M19" s="20">
        <v>5223.3711016037969</v>
      </c>
      <c r="N19" s="20">
        <v>5171.5219559865191</v>
      </c>
      <c r="O19" s="20">
        <v>5119.4784437548933</v>
      </c>
      <c r="P19" s="20">
        <v>5067.1456779920409</v>
      </c>
      <c r="Q19" s="20">
        <v>5014.4048299472743</v>
      </c>
      <c r="R19" s="20">
        <v>4963.3357573165003</v>
      </c>
      <c r="S19" s="20">
        <v>4914.4164830263298</v>
      </c>
      <c r="T19" s="20">
        <v>4865.2774193629939</v>
      </c>
      <c r="U19" s="20">
        <v>4815.8964800948143</v>
      </c>
      <c r="V19" s="20">
        <v>4766.3439861971883</v>
      </c>
    </row>
  </sheetData>
  <phoneticPr fontId="1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B7"/>
  <sheetViews>
    <sheetView workbookViewId="0">
      <selection activeCell="CU20" sqref="CU20"/>
    </sheetView>
  </sheetViews>
  <sheetFormatPr defaultColWidth="9" defaultRowHeight="13.5" x14ac:dyDescent="0.15"/>
  <sheetData>
    <row r="1" spans="2:28" x14ac:dyDescent="0.15">
      <c r="L1" t="e">
        <f>L11/K11*100-100</f>
        <v>#DIV/0!</v>
      </c>
      <c r="M1" t="e">
        <f t="shared" ref="M1:AB1" si="0">M11/L11*100-100</f>
        <v>#DIV/0!</v>
      </c>
      <c r="N1" t="e">
        <f t="shared" si="0"/>
        <v>#DIV/0!</v>
      </c>
      <c r="O1" t="e">
        <f t="shared" si="0"/>
        <v>#DIV/0!</v>
      </c>
      <c r="P1" t="e">
        <f t="shared" si="0"/>
        <v>#DIV/0!</v>
      </c>
      <c r="Q1" t="e">
        <f t="shared" si="0"/>
        <v>#DIV/0!</v>
      </c>
      <c r="R1" t="e">
        <f t="shared" si="0"/>
        <v>#DIV/0!</v>
      </c>
      <c r="S1" t="e">
        <f t="shared" si="0"/>
        <v>#DIV/0!</v>
      </c>
      <c r="T1" t="e">
        <f t="shared" si="0"/>
        <v>#DIV/0!</v>
      </c>
      <c r="U1" t="e">
        <f t="shared" si="0"/>
        <v>#DIV/0!</v>
      </c>
      <c r="V1" t="e">
        <f t="shared" si="0"/>
        <v>#DIV/0!</v>
      </c>
      <c r="W1" t="e">
        <f t="shared" si="0"/>
        <v>#DIV/0!</v>
      </c>
      <c r="X1" t="e">
        <f t="shared" si="0"/>
        <v>#DIV/0!</v>
      </c>
      <c r="Y1" t="e">
        <f t="shared" si="0"/>
        <v>#DIV/0!</v>
      </c>
      <c r="Z1" t="e">
        <f t="shared" si="0"/>
        <v>#DIV/0!</v>
      </c>
      <c r="AA1" t="e">
        <f t="shared" si="0"/>
        <v>#DIV/0!</v>
      </c>
      <c r="AB1" t="e">
        <f t="shared" si="0"/>
        <v>#DIV/0!</v>
      </c>
    </row>
    <row r="6" spans="2:28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8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6:V7"/>
  <sheetViews>
    <sheetView topLeftCell="I1"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6:V7"/>
  <sheetViews>
    <sheetView topLeftCell="I1" workbookViewId="0">
      <selection activeCell="CU20" sqref="CU20"/>
    </sheetView>
  </sheetViews>
  <sheetFormatPr defaultColWidth="9" defaultRowHeight="13.5" x14ac:dyDescent="0.15"/>
  <sheetData>
    <row r="6" spans="2:22" ht="12.75" customHeight="1" x14ac:dyDescent="0.15">
      <c r="B6" s="32" t="s">
        <v>73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2:22" x14ac:dyDescent="0.15">
      <c r="B7" s="32" t="s">
        <v>74</v>
      </c>
      <c r="C7" s="32"/>
      <c r="D7" s="32"/>
      <c r="E7" s="32"/>
      <c r="F7" s="32"/>
      <c r="G7" s="32"/>
      <c r="H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</sheetData>
  <phoneticPr fontId="1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5:X18"/>
  <sheetViews>
    <sheetView topLeftCell="J1" zoomScale="85" zoomScaleNormal="85" workbookViewId="0">
      <pane xSplit="1" ySplit="7" topLeftCell="K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51.625" style="20" customWidth="1"/>
    <col min="11" max="24" width="14.125" style="20"/>
    <col min="25" max="16384" width="9" style="20"/>
  </cols>
  <sheetData>
    <row r="5" spans="2:24" x14ac:dyDescent="0.25">
      <c r="L5" s="22">
        <f>L9/L8</f>
        <v>0.93641797469405941</v>
      </c>
    </row>
    <row r="6" spans="2:24" s="23" customFormat="1" ht="12.75" customHeight="1" x14ac:dyDescent="0.25">
      <c r="B6" s="31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</row>
    <row r="7" spans="2:24" s="23" customFormat="1" x14ac:dyDescent="0.25">
      <c r="B7" s="31" t="s">
        <v>74</v>
      </c>
      <c r="C7" s="31"/>
      <c r="D7" s="31"/>
      <c r="E7" s="31"/>
      <c r="F7" s="31"/>
      <c r="G7" s="31"/>
      <c r="H7" s="26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</row>
    <row r="8" spans="2:24" x14ac:dyDescent="0.25">
      <c r="J8" s="77" t="s">
        <v>92</v>
      </c>
      <c r="K8" s="24">
        <v>554.53</v>
      </c>
      <c r="L8" s="24">
        <v>529.678</v>
      </c>
      <c r="M8" s="24">
        <v>535.20411876319713</v>
      </c>
      <c r="N8" s="24">
        <v>540.84605282265545</v>
      </c>
      <c r="O8" s="24">
        <v>546.14638656562579</v>
      </c>
      <c r="P8" s="24">
        <v>551.08215172781161</v>
      </c>
      <c r="Q8" s="24">
        <v>555.71489577732109</v>
      </c>
      <c r="R8" s="24">
        <v>560.03700090199709</v>
      </c>
      <c r="S8" s="24">
        <v>564.69813938695586</v>
      </c>
      <c r="T8" s="24">
        <v>569.21719233089993</v>
      </c>
      <c r="U8" s="24">
        <v>573.57319062768681</v>
      </c>
      <c r="V8" s="24">
        <v>577.76152717058437</v>
      </c>
      <c r="W8" s="24"/>
      <c r="X8" s="24"/>
    </row>
    <row r="9" spans="2:24" x14ac:dyDescent="0.25">
      <c r="J9" s="77" t="s">
        <v>94</v>
      </c>
      <c r="K9" s="24">
        <v>518</v>
      </c>
      <c r="L9" s="24">
        <v>496</v>
      </c>
      <c r="M9" s="24">
        <v>501.12515297029779</v>
      </c>
      <c r="N9" s="24">
        <v>506.32269480161028</v>
      </c>
      <c r="O9" s="24">
        <v>511.59570798965598</v>
      </c>
      <c r="P9" s="24">
        <v>516.9514169617961</v>
      </c>
      <c r="Q9" s="24">
        <v>522.36118602387194</v>
      </c>
      <c r="R9" s="24">
        <v>527.81797179790908</v>
      </c>
      <c r="S9" s="24">
        <v>533.32192432754948</v>
      </c>
      <c r="T9" s="24">
        <v>538.87283402792968</v>
      </c>
      <c r="U9" s="24">
        <v>544.47102711198932</v>
      </c>
      <c r="V9" s="24">
        <v>550.11664681386276</v>
      </c>
      <c r="W9" s="24"/>
      <c r="X9" s="24"/>
    </row>
    <row r="10" spans="2:24" x14ac:dyDescent="0.25">
      <c r="J10" s="77" t="s">
        <v>96</v>
      </c>
      <c r="K10" s="24">
        <v>36.53</v>
      </c>
      <c r="L10" s="24">
        <v>33.677999999999997</v>
      </c>
      <c r="M10" s="24">
        <v>34.078965792899339</v>
      </c>
      <c r="N10" s="24">
        <v>34.523358021045169</v>
      </c>
      <c r="O10" s="24">
        <v>34.550678575969755</v>
      </c>
      <c r="P10" s="24">
        <v>34.130734766015451</v>
      </c>
      <c r="Q10" s="24">
        <v>33.353709753449102</v>
      </c>
      <c r="R10" s="24">
        <v>32.21902910408803</v>
      </c>
      <c r="S10" s="24">
        <v>31.376215059406377</v>
      </c>
      <c r="T10" s="24">
        <v>30.344358302970289</v>
      </c>
      <c r="U10" s="24">
        <v>29.102163515697498</v>
      </c>
      <c r="V10" s="24">
        <v>27.644880356721615</v>
      </c>
      <c r="W10" s="24"/>
      <c r="X10" s="24"/>
    </row>
    <row r="11" spans="2:24" x14ac:dyDescent="0.25">
      <c r="J11" s="77" t="s">
        <v>98</v>
      </c>
      <c r="K11" s="24">
        <v>554.53</v>
      </c>
      <c r="L11" s="24">
        <v>529.67800000000011</v>
      </c>
      <c r="M11" s="24">
        <v>535.20411876319713</v>
      </c>
      <c r="N11" s="24">
        <v>540.84605282265545</v>
      </c>
      <c r="O11" s="24">
        <v>546.14638656562579</v>
      </c>
      <c r="P11" s="24">
        <v>551.08215172781149</v>
      </c>
      <c r="Q11" s="24">
        <v>555.71489577732109</v>
      </c>
      <c r="R11" s="24">
        <v>560.03700090199709</v>
      </c>
      <c r="S11" s="24">
        <v>564.69813938695586</v>
      </c>
      <c r="T11" s="24">
        <v>569.21719233090005</v>
      </c>
      <c r="U11" s="24">
        <v>573.57319062768681</v>
      </c>
      <c r="V11" s="24">
        <v>577.76152717058437</v>
      </c>
      <c r="W11" s="24"/>
      <c r="X11" s="24"/>
    </row>
    <row r="12" spans="2:24" x14ac:dyDescent="0.25">
      <c r="J12" s="77" t="s">
        <v>100</v>
      </c>
      <c r="K12" s="24">
        <v>3.5182339449541282</v>
      </c>
      <c r="L12" s="24">
        <v>3.362204585412381</v>
      </c>
      <c r="M12" s="24">
        <v>3.400937431071438</v>
      </c>
      <c r="N12" s="24">
        <v>3.4422338314673135</v>
      </c>
      <c r="O12" s="24">
        <v>3.4828242301519547</v>
      </c>
      <c r="P12" s="24">
        <v>3.522486330454357</v>
      </c>
      <c r="Q12" s="24">
        <v>3.5615901014696232</v>
      </c>
      <c r="R12" s="24">
        <v>3.6001118211839374</v>
      </c>
      <c r="S12" s="24">
        <v>3.6407577973611649</v>
      </c>
      <c r="T12" s="24">
        <v>3.6819374796089015</v>
      </c>
      <c r="U12" s="24">
        <v>3.7234808438100448</v>
      </c>
      <c r="V12" s="24">
        <v>3.7652433977264526</v>
      </c>
      <c r="W12" s="24"/>
      <c r="X12" s="24"/>
    </row>
    <row r="13" spans="2:24" x14ac:dyDescent="0.25">
      <c r="J13" s="77" t="s">
        <v>108</v>
      </c>
      <c r="K13" s="24">
        <v>51.8</v>
      </c>
      <c r="L13" s="24">
        <v>49.6</v>
      </c>
      <c r="M13" s="24">
        <v>50.11251529702978</v>
      </c>
      <c r="N13" s="24">
        <v>50.632269480161028</v>
      </c>
      <c r="O13" s="24">
        <v>51.159570798965596</v>
      </c>
      <c r="P13" s="24">
        <v>51.695141696179611</v>
      </c>
      <c r="Q13" s="24">
        <v>52.236118602387187</v>
      </c>
      <c r="R13" s="24">
        <v>52.781797179790914</v>
      </c>
      <c r="S13" s="24">
        <v>53.332192432754951</v>
      </c>
      <c r="T13" s="24">
        <v>53.887283402792974</v>
      </c>
      <c r="U13" s="24">
        <v>54.447102711198937</v>
      </c>
      <c r="V13" s="24">
        <v>55.011664681386279</v>
      </c>
      <c r="W13" s="24"/>
      <c r="X13" s="24"/>
    </row>
    <row r="14" spans="2:24" x14ac:dyDescent="0.25">
      <c r="J14" s="77" t="s">
        <v>131</v>
      </c>
      <c r="K14" s="24">
        <v>7.2641499999999297</v>
      </c>
      <c r="L14" s="24">
        <v>7.7252400000000598</v>
      </c>
      <c r="M14" s="24">
        <v>7.8050646708312357</v>
      </c>
      <c r="N14" s="24">
        <v>7.8860168040105281</v>
      </c>
      <c r="O14" s="24">
        <v>7.9681444096573397</v>
      </c>
      <c r="P14" s="24">
        <v>8.0515600088104371</v>
      </c>
      <c r="Q14" s="24">
        <v>8.1358175982239676</v>
      </c>
      <c r="R14" s="24">
        <v>8.2208074767179653</v>
      </c>
      <c r="S14" s="24">
        <v>8.3065319812342544</v>
      </c>
      <c r="T14" s="24">
        <v>8.3929878474716855</v>
      </c>
      <c r="U14" s="24">
        <v>8.4801801562230974</v>
      </c>
      <c r="V14" s="24">
        <v>8.5681111383716893</v>
      </c>
      <c r="W14" s="24"/>
      <c r="X14" s="24"/>
    </row>
    <row r="15" spans="2:24" x14ac:dyDescent="0.25">
      <c r="J15" s="77" t="s">
        <v>112</v>
      </c>
      <c r="K15" s="24">
        <v>554.53</v>
      </c>
      <c r="L15" s="24">
        <v>529.67800000000011</v>
      </c>
      <c r="M15" s="24">
        <v>535.20411876319713</v>
      </c>
      <c r="N15" s="24">
        <v>540.84605282265545</v>
      </c>
      <c r="O15" s="24">
        <v>546.14638656562579</v>
      </c>
      <c r="P15" s="24">
        <v>551.08215172781149</v>
      </c>
      <c r="Q15" s="24">
        <v>555.71489577732109</v>
      </c>
      <c r="R15" s="24">
        <v>560.03700090199709</v>
      </c>
      <c r="S15" s="24">
        <v>564.69813938695586</v>
      </c>
      <c r="T15" s="24">
        <v>569.21719233090005</v>
      </c>
      <c r="U15" s="24">
        <v>573.57319062768681</v>
      </c>
      <c r="V15" s="24">
        <v>577.76152717058437</v>
      </c>
      <c r="W15" s="24"/>
      <c r="X15" s="24"/>
    </row>
    <row r="16" spans="2:24" x14ac:dyDescent="0.25">
      <c r="J16" s="77" t="s">
        <v>114</v>
      </c>
      <c r="K16" s="24">
        <v>19.290677109860244</v>
      </c>
      <c r="L16" s="24">
        <v>18.435159244456504</v>
      </c>
      <c r="M16" s="24">
        <v>18.647533643329705</v>
      </c>
      <c r="N16" s="24">
        <v>18.873964158838454</v>
      </c>
      <c r="O16" s="24">
        <v>19.09652362675244</v>
      </c>
      <c r="P16" s="24">
        <v>19.313993181763088</v>
      </c>
      <c r="Q16" s="24">
        <v>19.52840138549135</v>
      </c>
      <c r="R16" s="24">
        <v>19.739618168784329</v>
      </c>
      <c r="S16" s="24">
        <v>19.962482371255717</v>
      </c>
      <c r="T16" s="24">
        <v>20.188272914510247</v>
      </c>
      <c r="U16" s="24">
        <v>20.416057546629713</v>
      </c>
      <c r="V16" s="24">
        <v>20.645044008442461</v>
      </c>
      <c r="W16" s="24"/>
      <c r="X16" s="24"/>
    </row>
    <row r="17" spans="10:24" x14ac:dyDescent="0.25">
      <c r="J17" s="77" t="s">
        <v>116</v>
      </c>
      <c r="K17" s="24">
        <v>495.46584999999999</v>
      </c>
      <c r="L17" s="24">
        <v>472.35275999999999</v>
      </c>
      <c r="M17" s="24">
        <v>477.2865387953363</v>
      </c>
      <c r="N17" s="24">
        <v>482.3277665384839</v>
      </c>
      <c r="O17" s="24">
        <v>487.01867135700292</v>
      </c>
      <c r="P17" s="24">
        <v>491.33545002282148</v>
      </c>
      <c r="Q17" s="24">
        <v>495.34295957670992</v>
      </c>
      <c r="R17" s="24">
        <v>499.03439624548821</v>
      </c>
      <c r="S17" s="24">
        <v>503.05941497296664</v>
      </c>
      <c r="T17" s="24">
        <v>506.93692108063544</v>
      </c>
      <c r="U17" s="24">
        <v>510.64590776026472</v>
      </c>
      <c r="V17" s="24">
        <v>514.1817513508264</v>
      </c>
      <c r="W17" s="24"/>
      <c r="X17" s="24"/>
    </row>
    <row r="18" spans="10:24" x14ac:dyDescent="0.25">
      <c r="J18" s="77" t="s">
        <v>118</v>
      </c>
      <c r="K18" s="24">
        <v>6406.1652816597316</v>
      </c>
      <c r="L18" s="24">
        <v>6051.1074737855088</v>
      </c>
      <c r="M18" s="24">
        <v>6075.9939492386247</v>
      </c>
      <c r="N18" s="24">
        <v>6101.633107991207</v>
      </c>
      <c r="O18" s="24">
        <v>6122.4340824703513</v>
      </c>
      <c r="P18" s="24">
        <v>6138.2170871840353</v>
      </c>
      <c r="Q18" s="24">
        <v>6149.8231365209349</v>
      </c>
      <c r="R18" s="24">
        <v>6157.2465845059442</v>
      </c>
      <c r="S18" s="24">
        <v>6168.2581908241309</v>
      </c>
      <c r="T18" s="24">
        <v>6177.1271005830877</v>
      </c>
      <c r="U18" s="24">
        <v>6183.6509181341316</v>
      </c>
      <c r="V18" s="24">
        <v>6187.8230899680248</v>
      </c>
      <c r="W18" s="24"/>
      <c r="X18" s="24"/>
    </row>
  </sheetData>
  <phoneticPr fontId="1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4:AE18"/>
  <sheetViews>
    <sheetView topLeftCell="J1" workbookViewId="0">
      <pane xSplit="1" ySplit="7" topLeftCell="K8" activePane="bottomRight" state="frozen"/>
      <selection pane="topRight"/>
      <selection pane="bottomLeft"/>
      <selection pane="bottomRight" activeCell="U26" sqref="U26"/>
    </sheetView>
  </sheetViews>
  <sheetFormatPr defaultColWidth="9" defaultRowHeight="15" x14ac:dyDescent="0.25"/>
  <cols>
    <col min="1" max="9" width="9" style="20"/>
    <col min="10" max="10" width="13.125" style="20" customWidth="1"/>
    <col min="11" max="24" width="14.125" style="20"/>
    <col min="25" max="46" width="9.25" style="20"/>
    <col min="47" max="16384" width="9" style="20"/>
  </cols>
  <sheetData>
    <row r="4" spans="2:31" x14ac:dyDescent="0.25">
      <c r="M4" s="21">
        <f>M9/L9-1</f>
        <v>3.7501368134733815E-2</v>
      </c>
      <c r="N4" s="21">
        <f t="shared" ref="N4:V4" si="0">N9/M9-1</f>
        <v>9.4675596634110626E-3</v>
      </c>
      <c r="O4" s="21">
        <f t="shared" si="0"/>
        <v>9.4850180521623972E-3</v>
      </c>
      <c r="P4" s="21">
        <f t="shared" si="0"/>
        <v>9.492255159583074E-3</v>
      </c>
      <c r="Q4" s="21">
        <f t="shared" si="0"/>
        <v>9.4826694893264118E-3</v>
      </c>
      <c r="R4" s="21">
        <f t="shared" si="0"/>
        <v>9.5203030145838419E-3</v>
      </c>
      <c r="S4" s="21">
        <f t="shared" si="0"/>
        <v>9.552878742754789E-3</v>
      </c>
      <c r="T4" s="21">
        <f t="shared" si="0"/>
        <v>9.5787016266102309E-3</v>
      </c>
      <c r="U4" s="21">
        <f t="shared" si="0"/>
        <v>9.6008964400742247E-3</v>
      </c>
      <c r="V4" s="21">
        <f t="shared" si="0"/>
        <v>9.618674236355762E-3</v>
      </c>
      <c r="AC4" s="30"/>
      <c r="AD4" s="30"/>
      <c r="AE4" s="30"/>
    </row>
    <row r="5" spans="2:31" x14ac:dyDescent="0.25">
      <c r="L5" s="22">
        <f>L9/L8</f>
        <v>1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</row>
    <row r="6" spans="2:31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31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31" x14ac:dyDescent="0.25">
      <c r="J8" s="77" t="s">
        <v>92</v>
      </c>
      <c r="K8" s="24">
        <v>2660.7696469695798</v>
      </c>
      <c r="L8" s="24">
        <v>2803.4</v>
      </c>
      <c r="M8" s="24">
        <v>2908.5313354289128</v>
      </c>
      <c r="N8" s="24">
        <v>2942.3417451865189</v>
      </c>
      <c r="O8" s="24">
        <v>2979.0519558204332</v>
      </c>
      <c r="P8" s="24">
        <v>3013.9624428350503</v>
      </c>
      <c r="Q8" s="24">
        <v>3047.0811778410593</v>
      </c>
      <c r="R8" s="24">
        <v>3078.1792319444398</v>
      </c>
      <c r="S8" s="24">
        <v>3110.9262881354271</v>
      </c>
      <c r="T8" s="24">
        <v>3142.6481896684509</v>
      </c>
      <c r="U8" s="24">
        <v>3173.2064301894779</v>
      </c>
      <c r="V8" s="24">
        <v>3202.6061735322101</v>
      </c>
      <c r="W8" s="24"/>
      <c r="X8" s="24"/>
    </row>
    <row r="9" spans="2:31" x14ac:dyDescent="0.25">
      <c r="J9" s="77" t="s">
        <v>94</v>
      </c>
      <c r="K9" s="24">
        <v>2640.1828585695798</v>
      </c>
      <c r="L9" s="24">
        <v>2803.4</v>
      </c>
      <c r="M9" s="24">
        <v>2908.5313354289128</v>
      </c>
      <c r="N9" s="24">
        <v>2936.0680293799869</v>
      </c>
      <c r="O9" s="24">
        <v>2963.9166876410327</v>
      </c>
      <c r="P9" s="24">
        <v>2992.0509411118674</v>
      </c>
      <c r="Q9" s="24">
        <v>3020.423571281659</v>
      </c>
      <c r="R9" s="24">
        <v>3049.1789189126516</v>
      </c>
      <c r="S9" s="24">
        <v>3078.3073553899881</v>
      </c>
      <c r="T9" s="24">
        <v>3107.7935430622683</v>
      </c>
      <c r="U9" s="24">
        <v>3137.6311470263404</v>
      </c>
      <c r="V9" s="24">
        <v>3167.8109989034301</v>
      </c>
      <c r="W9" s="24"/>
      <c r="X9" s="24"/>
    </row>
    <row r="10" spans="2:31" x14ac:dyDescent="0.25">
      <c r="J10" s="77" t="s">
        <v>96</v>
      </c>
      <c r="K10" s="24">
        <v>20.586788400000003</v>
      </c>
      <c r="L10" s="24"/>
      <c r="M10" s="24"/>
      <c r="N10" s="24">
        <v>6.27371580653179</v>
      </c>
      <c r="O10" s="24">
        <v>15.135268179400388</v>
      </c>
      <c r="P10" s="24">
        <v>21.911501723182763</v>
      </c>
      <c r="Q10" s="24">
        <v>26.657606559400392</v>
      </c>
      <c r="R10" s="24">
        <v>29.000313031788103</v>
      </c>
      <c r="S10" s="24">
        <v>32.618932745438805</v>
      </c>
      <c r="T10" s="24">
        <v>34.854646606182705</v>
      </c>
      <c r="U10" s="24">
        <v>35.57528316313747</v>
      </c>
      <c r="V10" s="24">
        <v>34.795174628779847</v>
      </c>
      <c r="W10" s="24"/>
      <c r="X10" s="24"/>
    </row>
    <row r="11" spans="2:31" x14ac:dyDescent="0.25">
      <c r="J11" s="77" t="s">
        <v>98</v>
      </c>
      <c r="K11" s="24">
        <v>2660.7696469695802</v>
      </c>
      <c r="L11" s="24">
        <v>2803.400000000001</v>
      </c>
      <c r="M11" s="24">
        <v>2908.5313354289128</v>
      </c>
      <c r="N11" s="24">
        <v>2942.3417451865189</v>
      </c>
      <c r="O11" s="24">
        <v>2979.0519558204332</v>
      </c>
      <c r="P11" s="24">
        <v>3013.9624428350503</v>
      </c>
      <c r="Q11" s="24">
        <v>3047.0811778410593</v>
      </c>
      <c r="R11" s="24">
        <v>3078.1792319444398</v>
      </c>
      <c r="S11" s="24">
        <v>3110.9262881354271</v>
      </c>
      <c r="T11" s="24">
        <v>3142.6481896684509</v>
      </c>
      <c r="U11" s="24">
        <v>3173.2064301894779</v>
      </c>
      <c r="V11" s="24">
        <v>3202.6061735322101</v>
      </c>
      <c r="W11" s="24"/>
      <c r="X11" s="24"/>
    </row>
    <row r="12" spans="2:31" x14ac:dyDescent="0.25">
      <c r="J12" s="77" t="s">
        <v>100</v>
      </c>
      <c r="K12" s="24">
        <v>17.768900186435932</v>
      </c>
      <c r="L12" s="24">
        <v>18.627209938762466</v>
      </c>
      <c r="M12" s="24">
        <v>19.045683672092963</v>
      </c>
      <c r="N12" s="24">
        <v>19.343410284239809</v>
      </c>
      <c r="O12" s="24">
        <v>19.638161059800264</v>
      </c>
      <c r="P12" s="24">
        <v>19.930153894786695</v>
      </c>
      <c r="Q12" s="24">
        <v>20.2190363159844</v>
      </c>
      <c r="R12" s="24">
        <v>20.503304237482237</v>
      </c>
      <c r="S12" s="24">
        <v>20.798190459637592</v>
      </c>
      <c r="T12" s="24">
        <v>21.095146543707404</v>
      </c>
      <c r="U12" s="24">
        <v>21.393126892393401</v>
      </c>
      <c r="V12" s="24">
        <v>21.691587825300747</v>
      </c>
      <c r="W12" s="24"/>
      <c r="X12" s="24"/>
    </row>
    <row r="13" spans="2:31" x14ac:dyDescent="0.25">
      <c r="J13" s="77" t="s">
        <v>108</v>
      </c>
      <c r="K13" s="24">
        <v>158.410971514175</v>
      </c>
      <c r="L13" s="24">
        <v>145.65023421320001</v>
      </c>
      <c r="M13" s="24">
        <v>192.66820451330778</v>
      </c>
      <c r="N13" s="24">
        <v>231.9320704149749</v>
      </c>
      <c r="O13" s="24">
        <v>232.96129053828761</v>
      </c>
      <c r="P13" s="24">
        <v>233.99675545763088</v>
      </c>
      <c r="Q13" s="24">
        <v>235.03459100445428</v>
      </c>
      <c r="R13" s="24">
        <v>236.08583057207684</v>
      </c>
      <c r="S13" s="24">
        <v>237.14942423499235</v>
      </c>
      <c r="T13" s="24">
        <v>238.22390277160844</v>
      </c>
      <c r="U13" s="24">
        <v>239.30851046271061</v>
      </c>
      <c r="V13" s="24">
        <v>240.40228936150476</v>
      </c>
      <c r="W13" s="24"/>
      <c r="X13" s="24"/>
    </row>
    <row r="14" spans="2:31" x14ac:dyDescent="0.25">
      <c r="J14" s="77" t="s">
        <v>245</v>
      </c>
      <c r="K14" s="24"/>
      <c r="L14" s="24">
        <v>40.831668699999994</v>
      </c>
      <c r="M14" s="24">
        <v>42.997598079176896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2:31" x14ac:dyDescent="0.25">
      <c r="J15" s="77" t="s">
        <v>112</v>
      </c>
      <c r="K15" s="24">
        <v>2660.7696469695802</v>
      </c>
      <c r="L15" s="24">
        <v>2762.5683313000009</v>
      </c>
      <c r="M15" s="24">
        <v>2865.5337373497359</v>
      </c>
      <c r="N15" s="24">
        <v>2942.3417451865189</v>
      </c>
      <c r="O15" s="24">
        <v>2979.0519558204332</v>
      </c>
      <c r="P15" s="24">
        <v>3013.9624428350503</v>
      </c>
      <c r="Q15" s="24">
        <v>3047.0811778410593</v>
      </c>
      <c r="R15" s="24">
        <v>3078.1792319444398</v>
      </c>
      <c r="S15" s="24">
        <v>3110.9262881354271</v>
      </c>
      <c r="T15" s="24">
        <v>3142.6481896684509</v>
      </c>
      <c r="U15" s="24">
        <v>3173.2064301894779</v>
      </c>
      <c r="V15" s="24">
        <v>3202.6061735322101</v>
      </c>
      <c r="W15" s="24"/>
      <c r="X15" s="24"/>
    </row>
    <row r="16" spans="2:31" x14ac:dyDescent="0.25">
      <c r="J16" s="77" t="s">
        <v>114</v>
      </c>
      <c r="K16" s="24">
        <v>64.220534448479256</v>
      </c>
      <c r="L16" s="24">
        <v>67.32264602760948</v>
      </c>
      <c r="M16" s="24">
        <v>68.83509792531612</v>
      </c>
      <c r="N16" s="24">
        <v>69.911144385760593</v>
      </c>
      <c r="O16" s="24">
        <v>70.976435548240417</v>
      </c>
      <c r="P16" s="24">
        <v>72.031758934674301</v>
      </c>
      <c r="Q16" s="24">
        <v>73.075840632890447</v>
      </c>
      <c r="R16" s="24">
        <v>74.103244560742155</v>
      </c>
      <c r="S16" s="24">
        <v>75.169025255642268</v>
      </c>
      <c r="T16" s="24">
        <v>76.24228686590493</v>
      </c>
      <c r="U16" s="24">
        <v>77.319250383453792</v>
      </c>
      <c r="V16" s="24">
        <v>78.397950833239264</v>
      </c>
      <c r="W16" s="24"/>
      <c r="X16" s="24"/>
    </row>
    <row r="17" spans="10:24" x14ac:dyDescent="0.25">
      <c r="J17" s="77" t="s">
        <v>116</v>
      </c>
      <c r="K17" s="24">
        <v>2502.3586754553999</v>
      </c>
      <c r="L17" s="24">
        <v>2616.9180970868001</v>
      </c>
      <c r="M17" s="24">
        <v>2672.8655328364248</v>
      </c>
      <c r="N17" s="24">
        <v>2710.4096747715439</v>
      </c>
      <c r="O17" s="24">
        <v>2746.0906652821454</v>
      </c>
      <c r="P17" s="24">
        <v>2779.9656873774193</v>
      </c>
      <c r="Q17" s="24">
        <v>2812.046586836605</v>
      </c>
      <c r="R17" s="24">
        <v>2842.0934013723631</v>
      </c>
      <c r="S17" s="24">
        <v>2873.7768639004348</v>
      </c>
      <c r="T17" s="24">
        <v>2904.4242868968422</v>
      </c>
      <c r="U17" s="24">
        <v>2933.8979197267672</v>
      </c>
      <c r="V17" s="24">
        <v>2962.2038841707054</v>
      </c>
      <c r="W17" s="24"/>
      <c r="X17" s="24"/>
    </row>
    <row r="18" spans="10:24" x14ac:dyDescent="0.25">
      <c r="J18" s="77" t="s">
        <v>118</v>
      </c>
      <c r="K18" s="20">
        <v>1352.7510681224333</v>
      </c>
      <c r="L18" s="20">
        <v>1393.5210942326589</v>
      </c>
      <c r="M18" s="20">
        <v>1434.060196714513</v>
      </c>
      <c r="N18" s="20">
        <v>1460.4478338149777</v>
      </c>
      <c r="O18" s="20">
        <v>1466.0135402899737</v>
      </c>
      <c r="P18" s="20">
        <v>1470.4649461631225</v>
      </c>
      <c r="Q18" s="20">
        <v>1473.8333424067916</v>
      </c>
      <c r="R18" s="20">
        <v>1476.0329858196378</v>
      </c>
      <c r="S18" s="20">
        <v>1478.8806415104782</v>
      </c>
      <c r="T18" s="20">
        <v>1481.0665099709599</v>
      </c>
      <c r="U18" s="20">
        <v>1482.5402373910686</v>
      </c>
      <c r="V18" s="20">
        <v>1483.3216868005575</v>
      </c>
    </row>
  </sheetData>
  <phoneticPr fontId="1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4:X19"/>
  <sheetViews>
    <sheetView topLeftCell="I1" workbookViewId="0">
      <pane xSplit="2" ySplit="7" topLeftCell="K8" activePane="bottomRight" state="frozen"/>
      <selection pane="topRight"/>
      <selection pane="bottomLeft"/>
      <selection pane="bottomRight" activeCell="L8" sqref="L8"/>
    </sheetView>
  </sheetViews>
  <sheetFormatPr defaultColWidth="9" defaultRowHeight="15" x14ac:dyDescent="0.25"/>
  <cols>
    <col min="1" max="9" width="9" style="20"/>
    <col min="10" max="10" width="38.25" style="20" customWidth="1"/>
    <col min="11" max="24" width="14.125" style="20"/>
    <col min="25" max="16384" width="9" style="20"/>
  </cols>
  <sheetData>
    <row r="4" spans="2:24" x14ac:dyDescent="0.25">
      <c r="M4" s="29">
        <f>M15-L15</f>
        <v>1.4119917126687938</v>
      </c>
      <c r="N4" s="29">
        <f t="shared" ref="N4:V4" si="0">N15-M15</f>
        <v>2.1811412923934768</v>
      </c>
      <c r="O4" s="29">
        <f t="shared" si="0"/>
        <v>3.2920086411395459</v>
      </c>
      <c r="P4" s="29">
        <f t="shared" si="0"/>
        <v>1.5282405805151029</v>
      </c>
      <c r="Q4" s="29">
        <f t="shared" si="0"/>
        <v>0.98484138206231364</v>
      </c>
      <c r="R4" s="29">
        <f t="shared" si="0"/>
        <v>0.69624631300075634</v>
      </c>
      <c r="S4" s="29">
        <f t="shared" si="0"/>
        <v>0.64901300395558792</v>
      </c>
      <c r="T4" s="29">
        <f t="shared" si="0"/>
        <v>0.53619195897772443</v>
      </c>
      <c r="U4" s="29">
        <f t="shared" si="0"/>
        <v>0.43648719157636151</v>
      </c>
      <c r="V4" s="29">
        <f t="shared" si="0"/>
        <v>0.36541027982912055</v>
      </c>
    </row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92</v>
      </c>
      <c r="K8" s="24">
        <v>3049.8</v>
      </c>
      <c r="L8" s="24">
        <v>2973.3</v>
      </c>
      <c r="M8" s="24">
        <v>2999.0378819283037</v>
      </c>
      <c r="N8" s="24">
        <v>3024.8245048634353</v>
      </c>
      <c r="O8" s="24">
        <v>3050.6137080691924</v>
      </c>
      <c r="P8" s="24">
        <v>3070.9177127907524</v>
      </c>
      <c r="Q8" s="24">
        <v>3087.2080606752106</v>
      </c>
      <c r="R8" s="24">
        <v>3100.3962797998274</v>
      </c>
      <c r="S8" s="24">
        <v>3113.550312823309</v>
      </c>
      <c r="T8" s="24">
        <v>3126.6574947495747</v>
      </c>
      <c r="U8" s="24">
        <v>3139.7142630203748</v>
      </c>
      <c r="V8" s="24">
        <v>3152.7141470027991</v>
      </c>
      <c r="W8" s="24"/>
      <c r="X8" s="24"/>
    </row>
    <row r="9" spans="2:24" x14ac:dyDescent="0.25">
      <c r="J9" s="77" t="s">
        <v>94</v>
      </c>
      <c r="K9" s="24">
        <v>3049.8</v>
      </c>
      <c r="L9" s="24">
        <v>2973.3</v>
      </c>
      <c r="M9" s="24">
        <v>2999.0378819283037</v>
      </c>
      <c r="N9" s="24">
        <v>3024.8245048634353</v>
      </c>
      <c r="O9" s="24">
        <v>3050.6137080691924</v>
      </c>
      <c r="P9" s="24">
        <v>3070.9177127907524</v>
      </c>
      <c r="Q9" s="24">
        <v>3087.2080606752106</v>
      </c>
      <c r="R9" s="24">
        <v>3100.3962797998274</v>
      </c>
      <c r="S9" s="24">
        <v>3113.550312823309</v>
      </c>
      <c r="T9" s="24">
        <v>3126.6574947495747</v>
      </c>
      <c r="U9" s="24">
        <v>3139.7142630203748</v>
      </c>
      <c r="V9" s="24">
        <v>3152.7141470027991</v>
      </c>
      <c r="W9" s="24"/>
      <c r="X9" s="24"/>
    </row>
    <row r="10" spans="2:24" x14ac:dyDescent="0.25">
      <c r="J10" s="77" t="s">
        <v>98</v>
      </c>
      <c r="K10" s="24">
        <v>3049.7999999999997</v>
      </c>
      <c r="L10" s="24">
        <v>2973.3</v>
      </c>
      <c r="M10" s="24">
        <v>2999.0378819283037</v>
      </c>
      <c r="N10" s="24">
        <v>3024.8245048634353</v>
      </c>
      <c r="O10" s="24">
        <v>3050.6137080691924</v>
      </c>
      <c r="P10" s="24">
        <v>3070.9177127907524</v>
      </c>
      <c r="Q10" s="24">
        <v>3087.2080606752106</v>
      </c>
      <c r="R10" s="24">
        <v>3100.3962797998274</v>
      </c>
      <c r="S10" s="24">
        <v>3113.550312823309</v>
      </c>
      <c r="T10" s="24">
        <v>3126.6574947495747</v>
      </c>
      <c r="U10" s="24">
        <v>3139.7142630203748</v>
      </c>
      <c r="V10" s="24">
        <v>3152.7141470027991</v>
      </c>
      <c r="W10" s="24"/>
      <c r="X10" s="24"/>
    </row>
    <row r="11" spans="2:24" x14ac:dyDescent="0.25">
      <c r="J11" s="77" t="s">
        <v>100</v>
      </c>
      <c r="K11" s="24">
        <v>16.94717269982106</v>
      </c>
      <c r="L11" s="24">
        <v>16.379930101289069</v>
      </c>
      <c r="M11" s="24">
        <v>16.470523186574624</v>
      </c>
      <c r="N11" s="24">
        <v>16.563015324577979</v>
      </c>
      <c r="O11" s="24">
        <v>16.655059825641004</v>
      </c>
      <c r="P11" s="24">
        <v>16.746528105023774</v>
      </c>
      <c r="Q11" s="24">
        <v>16.836956203025725</v>
      </c>
      <c r="R11" s="24">
        <v>16.926584745524394</v>
      </c>
      <c r="S11" s="24">
        <v>17.017379974847735</v>
      </c>
      <c r="T11" s="24">
        <v>17.108215141180501</v>
      </c>
      <c r="U11" s="24">
        <v>17.199076123777328</v>
      </c>
      <c r="V11" s="24">
        <v>17.289857530680131</v>
      </c>
      <c r="W11" s="24"/>
      <c r="X11" s="24"/>
    </row>
    <row r="12" spans="2:24" x14ac:dyDescent="0.25">
      <c r="J12" s="77" t="s">
        <v>106</v>
      </c>
      <c r="K12" s="24">
        <v>478.55</v>
      </c>
      <c r="L12" s="24">
        <v>481.98662477558298</v>
      </c>
      <c r="M12" s="24">
        <v>493.9749674350665</v>
      </c>
      <c r="N12" s="24">
        <v>506.23528606684425</v>
      </c>
      <c r="O12" s="24">
        <v>518.6739807622622</v>
      </c>
      <c r="P12" s="24">
        <v>528.9524486934879</v>
      </c>
      <c r="Q12" s="24">
        <v>537.21729789820051</v>
      </c>
      <c r="R12" s="24">
        <v>544.15620309808423</v>
      </c>
      <c r="S12" s="24">
        <v>550.99014102502406</v>
      </c>
      <c r="T12" s="24">
        <v>558.82872348700448</v>
      </c>
      <c r="U12" s="24">
        <v>567.62816572751876</v>
      </c>
      <c r="V12" s="24">
        <v>577.28177241599622</v>
      </c>
      <c r="W12" s="24"/>
      <c r="X12" s="24"/>
    </row>
    <row r="13" spans="2:24" x14ac:dyDescent="0.25">
      <c r="J13" s="77" t="s">
        <v>108</v>
      </c>
      <c r="K13" s="24">
        <v>152.49001895999999</v>
      </c>
      <c r="L13" s="24">
        <v>147.4994181818</v>
      </c>
      <c r="M13" s="24">
        <v>149.37132750155081</v>
      </c>
      <c r="N13" s="24">
        <v>151.16789603041863</v>
      </c>
      <c r="O13" s="24">
        <v>152.89733094934098</v>
      </c>
      <c r="P13" s="24">
        <v>154.29306359981501</v>
      </c>
      <c r="Q13" s="24">
        <v>155.43542134413048</v>
      </c>
      <c r="R13" s="24">
        <v>156.25552408704189</v>
      </c>
      <c r="S13" s="24">
        <v>156.76155000968365</v>
      </c>
      <c r="T13" s="24">
        <v>157.26405111697275</v>
      </c>
      <c r="U13" s="24">
        <v>157.76285729930265</v>
      </c>
      <c r="V13" s="24">
        <v>158.2576531690558</v>
      </c>
      <c r="W13" s="24"/>
      <c r="X13" s="24"/>
    </row>
    <row r="14" spans="2:24" x14ac:dyDescent="0.25">
      <c r="J14" s="77" t="s">
        <v>131</v>
      </c>
      <c r="K14" s="24">
        <v>14.2324017696001</v>
      </c>
      <c r="L14" s="24">
        <v>22.798953742617002</v>
      </c>
      <c r="M14" s="24">
        <v>22.99630913208874</v>
      </c>
      <c r="N14" s="24">
        <v>23.194038262508268</v>
      </c>
      <c r="O14" s="24">
        <v>23.391787178173356</v>
      </c>
      <c r="P14" s="24">
        <v>23.547476164968071</v>
      </c>
      <c r="Q14" s="24">
        <v>23.672388850492201</v>
      </c>
      <c r="R14" s="24">
        <v>23.773514736803588</v>
      </c>
      <c r="S14" s="24">
        <v>23.874378487663307</v>
      </c>
      <c r="T14" s="24">
        <v>23.974882989204691</v>
      </c>
      <c r="U14" s="24">
        <v>24.075000924103303</v>
      </c>
      <c r="V14" s="24">
        <v>24.174682676222051</v>
      </c>
      <c r="W14" s="24"/>
      <c r="X14" s="24"/>
    </row>
    <row r="15" spans="2:24" x14ac:dyDescent="0.25">
      <c r="J15" s="77" t="s">
        <v>245</v>
      </c>
      <c r="K15" s="24">
        <v>17.891142299999998</v>
      </c>
      <c r="L15" s="24">
        <v>19.815003300000001</v>
      </c>
      <c r="M15" s="24">
        <v>21.226995012668795</v>
      </c>
      <c r="N15" s="24">
        <v>23.408136305062271</v>
      </c>
      <c r="O15" s="24">
        <v>26.700144946201817</v>
      </c>
      <c r="P15" s="24">
        <v>28.22838552671692</v>
      </c>
      <c r="Q15" s="24">
        <v>29.213226908779234</v>
      </c>
      <c r="R15" s="24">
        <v>29.90947322177999</v>
      </c>
      <c r="S15" s="24">
        <v>30.558486225735578</v>
      </c>
      <c r="T15" s="24">
        <v>31.094678184713302</v>
      </c>
      <c r="U15" s="24">
        <v>31.531165376289664</v>
      </c>
      <c r="V15" s="24">
        <v>31.896575656118785</v>
      </c>
      <c r="W15" s="24"/>
      <c r="X15" s="24"/>
    </row>
    <row r="16" spans="2:24" x14ac:dyDescent="0.25">
      <c r="J16" s="77" t="s">
        <v>112</v>
      </c>
      <c r="K16" s="24">
        <v>3031.9088576999998</v>
      </c>
      <c r="L16" s="24">
        <v>2953.4849967</v>
      </c>
      <c r="M16" s="24">
        <v>2977.8108869156349</v>
      </c>
      <c r="N16" s="24">
        <v>3001.4163685583731</v>
      </c>
      <c r="O16" s="24">
        <v>3023.9135631229906</v>
      </c>
      <c r="P16" s="24">
        <v>3042.6893272640355</v>
      </c>
      <c r="Q16" s="24">
        <v>3057.9948337664314</v>
      </c>
      <c r="R16" s="24">
        <v>3070.4868065780474</v>
      </c>
      <c r="S16" s="24">
        <v>3082.9918265975734</v>
      </c>
      <c r="T16" s="24">
        <v>3095.5628165648614</v>
      </c>
      <c r="U16" s="24">
        <v>3108.1830976440851</v>
      </c>
      <c r="V16" s="24">
        <v>3120.8175713466803</v>
      </c>
      <c r="W16" s="24"/>
      <c r="X16" s="24"/>
    </row>
    <row r="17" spans="10:24" x14ac:dyDescent="0.25">
      <c r="J17" s="77" t="s">
        <v>114</v>
      </c>
      <c r="K17" s="24">
        <v>62.543586946065915</v>
      </c>
      <c r="L17" s="24">
        <v>60.450176593248038</v>
      </c>
      <c r="M17" s="24">
        <v>60.78451062091326</v>
      </c>
      <c r="N17" s="24">
        <v>61.125853107799095</v>
      </c>
      <c r="O17" s="24">
        <v>61.465543589339013</v>
      </c>
      <c r="P17" s="24">
        <v>61.803107523200609</v>
      </c>
      <c r="Q17" s="24">
        <v>62.136832664846921</v>
      </c>
      <c r="R17" s="24">
        <v>62.467607044733519</v>
      </c>
      <c r="S17" s="24">
        <v>62.802687085520063</v>
      </c>
      <c r="T17" s="24">
        <v>63.137914513948502</v>
      </c>
      <c r="U17" s="24">
        <v>63.473237217369693</v>
      </c>
      <c r="V17" s="24">
        <v>63.808266246475618</v>
      </c>
      <c r="W17" s="24"/>
      <c r="X17" s="24"/>
    </row>
    <row r="18" spans="10:24" x14ac:dyDescent="0.25">
      <c r="J18" s="77" t="s">
        <v>116</v>
      </c>
      <c r="K18" s="24">
        <v>2386.6364369704002</v>
      </c>
      <c r="L18" s="24">
        <v>2301.1999999999998</v>
      </c>
      <c r="M18" s="24">
        <v>2311.4682828469267</v>
      </c>
      <c r="N18" s="24">
        <v>2320.8191481986014</v>
      </c>
      <c r="O18" s="24">
        <v>2328.9504642332131</v>
      </c>
      <c r="P18" s="24">
        <v>2335.8963388057641</v>
      </c>
      <c r="Q18" s="24">
        <v>2341.669725673607</v>
      </c>
      <c r="R18" s="24">
        <v>2346.3015646561175</v>
      </c>
      <c r="S18" s="24">
        <v>2351.3657570752016</v>
      </c>
      <c r="T18" s="24">
        <v>2355.4951589716788</v>
      </c>
      <c r="U18" s="24">
        <v>2358.7170736931603</v>
      </c>
      <c r="V18" s="24">
        <v>2361.1034630854051</v>
      </c>
      <c r="W18" s="24"/>
      <c r="X18" s="24"/>
    </row>
    <row r="19" spans="10:24" x14ac:dyDescent="0.25">
      <c r="J19" s="77" t="s">
        <v>118</v>
      </c>
      <c r="K19" s="24">
        <v>1756.2862855743836</v>
      </c>
      <c r="L19" s="24">
        <v>1706.6053015061339</v>
      </c>
      <c r="M19" s="24">
        <v>1716.0564630922077</v>
      </c>
      <c r="N19" s="24">
        <v>1725.0343325112412</v>
      </c>
      <c r="O19" s="24">
        <v>1733.3213034610378</v>
      </c>
      <c r="P19" s="24">
        <v>1739.4368802871086</v>
      </c>
      <c r="Q19" s="24">
        <v>1743.5404267099691</v>
      </c>
      <c r="R19" s="24">
        <v>1746.0190879680958</v>
      </c>
      <c r="S19" s="24">
        <v>1748.480003586684</v>
      </c>
      <c r="T19" s="24">
        <v>1750.953004837083</v>
      </c>
      <c r="U19" s="24">
        <v>1753.4285546173892</v>
      </c>
      <c r="V19" s="24">
        <v>1755.8869069335569</v>
      </c>
      <c r="W19" s="24"/>
      <c r="X19" s="24"/>
    </row>
  </sheetData>
  <phoneticPr fontId="14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5:X19"/>
  <sheetViews>
    <sheetView topLeftCell="J1" workbookViewId="0">
      <pane xSplit="1" ySplit="7" topLeftCell="L8" activePane="bottomRight" state="frozen"/>
      <selection pane="topRight"/>
      <selection pane="bottomLeft"/>
      <selection pane="bottomRight" activeCell="L5" sqref="L5"/>
    </sheetView>
  </sheetViews>
  <sheetFormatPr defaultColWidth="9" defaultRowHeight="15" x14ac:dyDescent="0.25"/>
  <cols>
    <col min="1" max="9" width="9" style="20"/>
    <col min="10" max="10" width="51.625" style="20" customWidth="1"/>
    <col min="11" max="24" width="14.125" style="20"/>
    <col min="25" max="16384" width="9" style="20"/>
  </cols>
  <sheetData>
    <row r="5" spans="2:24" x14ac:dyDescent="0.25">
      <c r="L5" s="22">
        <f>L9/L8</f>
        <v>0.72001830405857292</v>
      </c>
    </row>
    <row r="6" spans="2:24" ht="12.75" customHeight="1" x14ac:dyDescent="0.25">
      <c r="B6" s="25" t="s">
        <v>73</v>
      </c>
      <c r="K6" s="75" t="s">
        <v>73</v>
      </c>
      <c r="L6" s="73" t="s">
        <v>73</v>
      </c>
      <c r="M6" s="73" t="s">
        <v>73</v>
      </c>
      <c r="N6" s="73" t="s">
        <v>73</v>
      </c>
      <c r="O6" s="73" t="s">
        <v>73</v>
      </c>
      <c r="P6" s="73" t="s">
        <v>73</v>
      </c>
      <c r="Q6" s="73" t="s">
        <v>73</v>
      </c>
      <c r="R6" s="73" t="s">
        <v>73</v>
      </c>
      <c r="S6" s="73" t="s">
        <v>73</v>
      </c>
      <c r="T6" s="73" t="s">
        <v>73</v>
      </c>
      <c r="U6" s="73" t="s">
        <v>73</v>
      </c>
      <c r="V6" s="73" t="s">
        <v>73</v>
      </c>
      <c r="W6" s="23"/>
      <c r="X6" s="23"/>
    </row>
    <row r="7" spans="2:24" x14ac:dyDescent="0.25">
      <c r="B7" s="25" t="s">
        <v>74</v>
      </c>
      <c r="C7" s="25"/>
      <c r="D7" s="25"/>
      <c r="E7" s="25"/>
      <c r="F7" s="25"/>
      <c r="G7" s="25"/>
      <c r="H7" s="27"/>
      <c r="K7" s="75" t="s">
        <v>75</v>
      </c>
      <c r="L7" s="73" t="s">
        <v>76</v>
      </c>
      <c r="M7" s="73" t="s">
        <v>77</v>
      </c>
      <c r="N7" s="73" t="s">
        <v>78</v>
      </c>
      <c r="O7" s="73" t="s">
        <v>79</v>
      </c>
      <c r="P7" s="73" t="s">
        <v>80</v>
      </c>
      <c r="Q7" s="73" t="s">
        <v>81</v>
      </c>
      <c r="R7" s="73" t="s">
        <v>82</v>
      </c>
      <c r="S7" s="73" t="s">
        <v>83</v>
      </c>
      <c r="T7" s="73" t="s">
        <v>84</v>
      </c>
      <c r="U7" s="73" t="s">
        <v>85</v>
      </c>
      <c r="V7" s="73" t="s">
        <v>86</v>
      </c>
      <c r="W7" s="23"/>
      <c r="X7" s="23"/>
    </row>
    <row r="8" spans="2:24" x14ac:dyDescent="0.25">
      <c r="J8" s="77" t="s">
        <v>92</v>
      </c>
      <c r="K8" s="24">
        <v>5637.3</v>
      </c>
      <c r="L8" s="24">
        <v>5681.8</v>
      </c>
      <c r="M8" s="24">
        <v>5749.8918640800921</v>
      </c>
      <c r="N8" s="24">
        <v>5817.7592107556256</v>
      </c>
      <c r="O8" s="24">
        <v>5881.8091074182385</v>
      </c>
      <c r="P8" s="24">
        <v>5942.3334975256303</v>
      </c>
      <c r="Q8" s="24">
        <v>5999.9143103901506</v>
      </c>
      <c r="R8" s="24">
        <v>6054.3856298555729</v>
      </c>
      <c r="S8" s="24">
        <v>6110.5773557825896</v>
      </c>
      <c r="T8" s="24">
        <v>6165.3292456552326</v>
      </c>
      <c r="U8" s="24">
        <v>6218.3818130787995</v>
      </c>
      <c r="V8" s="24">
        <v>6269.7759075390495</v>
      </c>
      <c r="W8" s="24"/>
      <c r="X8" s="24"/>
    </row>
    <row r="9" spans="2:24" x14ac:dyDescent="0.25">
      <c r="J9" s="77" t="s">
        <v>94</v>
      </c>
      <c r="K9" s="24">
        <v>4079</v>
      </c>
      <c r="L9" s="24">
        <v>4091</v>
      </c>
      <c r="M9" s="28">
        <v>4154.8659812406195</v>
      </c>
      <c r="N9" s="28">
        <v>4219.8068578901057</v>
      </c>
      <c r="O9" s="24">
        <v>4285.7996144242861</v>
      </c>
      <c r="P9" s="24">
        <v>4352.8234889659025</v>
      </c>
      <c r="Q9" s="24">
        <v>4420.8507795206724</v>
      </c>
      <c r="R9" s="24">
        <v>4489.8094503705706</v>
      </c>
      <c r="S9" s="24">
        <v>4559.7015565948523</v>
      </c>
      <c r="T9" s="24">
        <v>4630.5202749194596</v>
      </c>
      <c r="U9" s="24">
        <v>4702.2717086093935</v>
      </c>
      <c r="V9" s="24">
        <v>4774.9574430891917</v>
      </c>
      <c r="W9" s="24"/>
      <c r="X9" s="24"/>
    </row>
    <row r="10" spans="2:24" x14ac:dyDescent="0.25">
      <c r="J10" s="77" t="s">
        <v>96</v>
      </c>
      <c r="K10" s="24">
        <v>1558.3</v>
      </c>
      <c r="L10" s="24">
        <v>1590.8</v>
      </c>
      <c r="M10" s="24">
        <v>1595.0258828394726</v>
      </c>
      <c r="N10" s="24">
        <v>1597.95235286552</v>
      </c>
      <c r="O10" s="24">
        <v>1596.0094929939523</v>
      </c>
      <c r="P10" s="24">
        <v>1589.5100085597278</v>
      </c>
      <c r="Q10" s="24">
        <v>1579.063530869478</v>
      </c>
      <c r="R10" s="24">
        <v>1564.5761794850025</v>
      </c>
      <c r="S10" s="24">
        <v>1550.8757991877376</v>
      </c>
      <c r="T10" s="24">
        <v>1534.8089707357733</v>
      </c>
      <c r="U10" s="24">
        <v>1516.110104469406</v>
      </c>
      <c r="V10" s="24">
        <v>1494.8184644498579</v>
      </c>
      <c r="W10" s="24"/>
      <c r="X10" s="24"/>
    </row>
    <row r="11" spans="2:24" x14ac:dyDescent="0.25">
      <c r="J11" s="77" t="s">
        <v>98</v>
      </c>
      <c r="K11" s="24">
        <v>5637.2999999999993</v>
      </c>
      <c r="L11" s="24">
        <v>5681.7999999999965</v>
      </c>
      <c r="M11" s="24">
        <v>5749.8918640800857</v>
      </c>
      <c r="N11" s="24">
        <v>5817.7592107556247</v>
      </c>
      <c r="O11" s="24">
        <v>5881.8091074182366</v>
      </c>
      <c r="P11" s="24">
        <v>5942.3334975256284</v>
      </c>
      <c r="Q11" s="24">
        <v>5999.9143103901506</v>
      </c>
      <c r="R11" s="24">
        <v>6054.3856298555711</v>
      </c>
      <c r="S11" s="24">
        <v>6110.5773557825887</v>
      </c>
      <c r="T11" s="24">
        <v>6165.3292456552317</v>
      </c>
      <c r="U11" s="24">
        <v>6218.3818130787977</v>
      </c>
      <c r="V11" s="24">
        <v>6269.7759075390477</v>
      </c>
      <c r="W11" s="24"/>
      <c r="X11" s="24"/>
    </row>
    <row r="12" spans="2:24" x14ac:dyDescent="0.25">
      <c r="J12" s="77" t="s">
        <v>100</v>
      </c>
      <c r="K12" s="24">
        <v>20.407940837485157</v>
      </c>
      <c r="L12" s="24">
        <v>20.924391196949223</v>
      </c>
      <c r="M12" s="24">
        <v>21.232988629965078</v>
      </c>
      <c r="N12" s="24">
        <v>21.550293462961694</v>
      </c>
      <c r="O12" s="24">
        <v>21.853629430224409</v>
      </c>
      <c r="P12" s="24">
        <v>22.144384111934109</v>
      </c>
      <c r="Q12" s="24">
        <v>22.424961100110323</v>
      </c>
      <c r="R12" s="24">
        <v>22.694566854373488</v>
      </c>
      <c r="S12" s="24">
        <v>22.974304620729725</v>
      </c>
      <c r="T12" s="24">
        <v>23.253095319659959</v>
      </c>
      <c r="U12" s="24">
        <v>23.529680824095248</v>
      </c>
      <c r="V12" s="24">
        <v>23.803780880236456</v>
      </c>
      <c r="W12" s="24"/>
      <c r="X12" s="24"/>
    </row>
    <row r="13" spans="2:24" x14ac:dyDescent="0.25">
      <c r="J13" s="77" t="s">
        <v>106</v>
      </c>
      <c r="K13" s="24">
        <v>2038.03789516898</v>
      </c>
      <c r="L13" s="24">
        <v>2060.45631201584</v>
      </c>
      <c r="M13" s="24">
        <v>2077.721516338936</v>
      </c>
      <c r="N13" s="24">
        <v>2094.9594001715595</v>
      </c>
      <c r="O13" s="24">
        <v>2111.7627309868881</v>
      </c>
      <c r="P13" s="24">
        <v>2128.1895913549456</v>
      </c>
      <c r="Q13" s="24">
        <v>2144.4085354743288</v>
      </c>
      <c r="R13" s="24">
        <v>2160.3955466996931</v>
      </c>
      <c r="S13" s="24">
        <v>2176.3191012219213</v>
      </c>
      <c r="T13" s="24">
        <v>2192.1950727864787</v>
      </c>
      <c r="U13" s="24">
        <v>2207.9173186222101</v>
      </c>
      <c r="V13" s="24">
        <v>2223.4638870011199</v>
      </c>
      <c r="W13" s="24"/>
      <c r="X13" s="24"/>
    </row>
    <row r="14" spans="2:24" x14ac:dyDescent="0.25">
      <c r="J14" s="77" t="s">
        <v>108</v>
      </c>
      <c r="K14" s="24">
        <v>228.42400000000001</v>
      </c>
      <c r="L14" s="24">
        <v>229.096</v>
      </c>
      <c r="M14" s="24">
        <v>232.67249494947481</v>
      </c>
      <c r="N14" s="24">
        <v>236.30918404184595</v>
      </c>
      <c r="O14" s="24">
        <v>240.00477840776009</v>
      </c>
      <c r="P14" s="24">
        <v>243.75811538209061</v>
      </c>
      <c r="Q14" s="24">
        <v>247.56764365315766</v>
      </c>
      <c r="R14" s="24">
        <v>251.42932922075201</v>
      </c>
      <c r="S14" s="24">
        <v>255.34328716931176</v>
      </c>
      <c r="T14" s="24">
        <v>259.30913539548982</v>
      </c>
      <c r="U14" s="24">
        <v>263.32721568212605</v>
      </c>
      <c r="V14" s="24">
        <v>267.39761681299478</v>
      </c>
      <c r="W14" s="24"/>
      <c r="X14" s="24"/>
    </row>
    <row r="15" spans="2:24" x14ac:dyDescent="0.25">
      <c r="J15" s="77" t="s">
        <v>131</v>
      </c>
      <c r="K15" s="24">
        <v>496.82861256965998</v>
      </c>
      <c r="L15" s="24">
        <v>452.60089311595999</v>
      </c>
      <c r="M15" s="24">
        <v>459.66659835898929</v>
      </c>
      <c r="N15" s="24">
        <v>466.85122284476051</v>
      </c>
      <c r="O15" s="24">
        <v>474.15222028953053</v>
      </c>
      <c r="P15" s="24">
        <v>481.56729373798504</v>
      </c>
      <c r="Q15" s="24">
        <v>489.09337842665468</v>
      </c>
      <c r="R15" s="24">
        <v>496.72250480523053</v>
      </c>
      <c r="S15" s="24">
        <v>504.4549002339437</v>
      </c>
      <c r="T15" s="24">
        <v>512.28980983136353</v>
      </c>
      <c r="U15" s="24">
        <v>520.22790882193181</v>
      </c>
      <c r="V15" s="24">
        <v>528.26937260642126</v>
      </c>
      <c r="W15" s="24"/>
      <c r="X15" s="24"/>
    </row>
    <row r="16" spans="2:24" x14ac:dyDescent="0.25">
      <c r="J16" s="77" t="s">
        <v>112</v>
      </c>
      <c r="K16" s="24">
        <v>5637.2999999999993</v>
      </c>
      <c r="L16" s="24">
        <v>5681.7999999999965</v>
      </c>
      <c r="M16" s="24">
        <v>5749.8918640800857</v>
      </c>
      <c r="N16" s="24">
        <v>5817.7592107556247</v>
      </c>
      <c r="O16" s="24">
        <v>5881.8091074182366</v>
      </c>
      <c r="P16" s="24">
        <v>5942.3334975256284</v>
      </c>
      <c r="Q16" s="24">
        <v>5999.9143103901506</v>
      </c>
      <c r="R16" s="24">
        <v>6054.3856298555711</v>
      </c>
      <c r="S16" s="24">
        <v>6110.5773557825887</v>
      </c>
      <c r="T16" s="24">
        <v>6165.3292456552317</v>
      </c>
      <c r="U16" s="24">
        <v>6218.3818130787977</v>
      </c>
      <c r="V16" s="24">
        <v>6269.7759075390477</v>
      </c>
      <c r="W16" s="24"/>
      <c r="X16" s="24"/>
    </row>
    <row r="17" spans="10:24" x14ac:dyDescent="0.25">
      <c r="J17" s="77" t="s">
        <v>114</v>
      </c>
      <c r="K17" s="24">
        <v>30.363784296448401</v>
      </c>
      <c r="L17" s="24">
        <v>31.132180649586914</v>
      </c>
      <c r="M17" s="24">
        <v>31.591324762417745</v>
      </c>
      <c r="N17" s="24">
        <v>32.063424107572303</v>
      </c>
      <c r="O17" s="24">
        <v>32.514739992534203</v>
      </c>
      <c r="P17" s="24">
        <v>32.947336916884353</v>
      </c>
      <c r="Q17" s="24">
        <v>33.364791044930492</v>
      </c>
      <c r="R17" s="24">
        <v>33.765921714247774</v>
      </c>
      <c r="S17" s="24">
        <v>34.182127213119557</v>
      </c>
      <c r="T17" s="24">
        <v>34.596923625632904</v>
      </c>
      <c r="U17" s="24">
        <v>35.008439057938155</v>
      </c>
      <c r="V17" s="24">
        <v>35.416256536761338</v>
      </c>
      <c r="W17" s="24"/>
      <c r="X17" s="24"/>
    </row>
    <row r="18" spans="10:24" x14ac:dyDescent="0.25">
      <c r="J18" s="77" t="s">
        <v>116</v>
      </c>
      <c r="K18" s="24">
        <v>2874.0094922613598</v>
      </c>
      <c r="L18" s="24">
        <v>2939.6467948681998</v>
      </c>
      <c r="M18" s="24">
        <v>2979.83125443271</v>
      </c>
      <c r="N18" s="24">
        <v>3019.6394036974666</v>
      </c>
      <c r="O18" s="24">
        <v>3055.8893777340668</v>
      </c>
      <c r="P18" s="24">
        <v>3088.8184970506154</v>
      </c>
      <c r="Q18" s="24">
        <v>3118.8447528360198</v>
      </c>
      <c r="R18" s="24">
        <v>3145.8382491299026</v>
      </c>
      <c r="S18" s="24">
        <v>3174.460067157419</v>
      </c>
      <c r="T18" s="24">
        <v>3201.5352276419071</v>
      </c>
      <c r="U18" s="24">
        <v>3226.909369952537</v>
      </c>
      <c r="V18" s="24">
        <v>3250.6450311185176</v>
      </c>
      <c r="W18" s="24"/>
      <c r="X18" s="24"/>
    </row>
    <row r="19" spans="10:24" x14ac:dyDescent="0.25">
      <c r="J19" s="77" t="s">
        <v>118</v>
      </c>
      <c r="K19" s="20">
        <v>4487.119051388162</v>
      </c>
      <c r="L19" s="20">
        <v>4525.8209148719707</v>
      </c>
      <c r="M19" s="20">
        <v>4590.9933536731041</v>
      </c>
      <c r="N19" s="20">
        <v>4655.5381184733733</v>
      </c>
      <c r="O19" s="20">
        <v>4715.4130111401082</v>
      </c>
      <c r="P19" s="20">
        <v>4770.9813307527629</v>
      </c>
      <c r="Q19" s="20">
        <v>4822.9275570621548</v>
      </c>
      <c r="R19" s="20">
        <v>4871.0936804009889</v>
      </c>
      <c r="S19" s="20">
        <v>4920.8899333750851</v>
      </c>
      <c r="T19" s="20">
        <v>4968.7904240624321</v>
      </c>
      <c r="U19" s="20">
        <v>5014.5213851516182</v>
      </c>
      <c r="V19" s="20">
        <v>5058.1440108652132</v>
      </c>
    </row>
  </sheetData>
  <phoneticPr fontId="1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J3:X17"/>
  <sheetViews>
    <sheetView topLeftCell="J1" zoomScale="96" zoomScaleNormal="96" workbookViewId="0">
      <pane xSplit="1" ySplit="7" topLeftCell="K8" activePane="bottomRight" state="frozen"/>
      <selection pane="topRight"/>
      <selection pane="bottomLeft"/>
      <selection pane="bottomRight" activeCell="N10" sqref="N10"/>
    </sheetView>
  </sheetViews>
  <sheetFormatPr defaultColWidth="9" defaultRowHeight="15" x14ac:dyDescent="0.25"/>
  <cols>
    <col min="1" max="9" width="9" style="20"/>
    <col min="10" max="10" width="42.375" style="20" customWidth="1"/>
    <col min="11" max="12" width="14.125" style="20"/>
    <col min="13" max="13" width="16.875" style="20"/>
    <col min="14" max="24" width="14.125" style="20"/>
    <col min="25" max="30" width="9" style="20"/>
    <col min="31" max="31" width="9.125" style="20"/>
    <col min="32" max="16384" width="9" style="20"/>
  </cols>
  <sheetData>
    <row r="3" spans="10:24" x14ac:dyDescent="0.25">
      <c r="M3" s="21">
        <f>M10/L10-1</f>
        <v>0.10086380437674203</v>
      </c>
    </row>
    <row r="4" spans="10:24" x14ac:dyDescent="0.25">
      <c r="M4" s="21">
        <f>M13/L13-1</f>
        <v>1.8756090403167835E-2</v>
      </c>
    </row>
    <row r="5" spans="10:24" x14ac:dyDescent="0.25">
      <c r="L5" s="22">
        <f>L9/L8</f>
        <v>0.96846205897791016</v>
      </c>
      <c r="M5" s="21">
        <f>M9/L9-1</f>
        <v>8.1341806600168098E-3</v>
      </c>
    </row>
    <row r="6" spans="10:24" x14ac:dyDescent="0.25">
      <c r="K6" s="75" t="s">
        <v>73</v>
      </c>
      <c r="L6" s="75" t="s">
        <v>73</v>
      </c>
      <c r="M6" s="75" t="s">
        <v>73</v>
      </c>
      <c r="N6" s="75" t="s">
        <v>73</v>
      </c>
      <c r="O6" s="75" t="s">
        <v>73</v>
      </c>
      <c r="P6" s="75" t="s">
        <v>73</v>
      </c>
      <c r="Q6" s="75" t="s">
        <v>73</v>
      </c>
      <c r="R6" s="75" t="s">
        <v>73</v>
      </c>
      <c r="S6" s="75" t="s">
        <v>73</v>
      </c>
      <c r="T6" s="75" t="s">
        <v>73</v>
      </c>
      <c r="U6" s="75" t="s">
        <v>73</v>
      </c>
      <c r="V6" s="75" t="s">
        <v>73</v>
      </c>
      <c r="W6" s="23"/>
      <c r="X6" s="23"/>
    </row>
    <row r="7" spans="10:24" x14ac:dyDescent="0.25">
      <c r="K7" s="75" t="s">
        <v>75</v>
      </c>
      <c r="L7" s="75" t="s">
        <v>76</v>
      </c>
      <c r="M7" s="75" t="s">
        <v>77</v>
      </c>
      <c r="N7" s="75" t="s">
        <v>78</v>
      </c>
      <c r="O7" s="75" t="s">
        <v>79</v>
      </c>
      <c r="P7" s="75" t="s">
        <v>80</v>
      </c>
      <c r="Q7" s="75" t="s">
        <v>81</v>
      </c>
      <c r="R7" s="75" t="s">
        <v>82</v>
      </c>
      <c r="S7" s="75" t="s">
        <v>83</v>
      </c>
      <c r="T7" s="75" t="s">
        <v>84</v>
      </c>
      <c r="U7" s="75" t="s">
        <v>85</v>
      </c>
      <c r="V7" s="75" t="s">
        <v>86</v>
      </c>
      <c r="W7" s="23"/>
      <c r="X7" s="23"/>
    </row>
    <row r="8" spans="10:24" x14ac:dyDescent="0.25">
      <c r="J8" s="77" t="s">
        <v>92</v>
      </c>
      <c r="K8" s="24">
        <v>7635</v>
      </c>
      <c r="L8" s="24">
        <v>7906.35</v>
      </c>
      <c r="M8" s="24">
        <v>7993.7838109350887</v>
      </c>
      <c r="N8" s="24">
        <v>8080.800393428337</v>
      </c>
      <c r="O8" s="24">
        <v>8165.2322017429206</v>
      </c>
      <c r="P8" s="24">
        <v>8247.0351324677595</v>
      </c>
      <c r="Q8" s="24">
        <v>8326.5835628303194</v>
      </c>
      <c r="R8" s="24">
        <v>8404.6506720099696</v>
      </c>
      <c r="S8" s="24">
        <v>8484.8280847880324</v>
      </c>
      <c r="T8" s="24">
        <v>8564.4089349435217</v>
      </c>
      <c r="U8" s="24">
        <v>8643.2345698404806</v>
      </c>
      <c r="V8" s="24">
        <v>8721.3065849118539</v>
      </c>
      <c r="W8" s="24"/>
      <c r="X8" s="24"/>
    </row>
    <row r="9" spans="10:24" x14ac:dyDescent="0.25">
      <c r="J9" s="77" t="s">
        <v>94</v>
      </c>
      <c r="K9" s="24">
        <v>7366</v>
      </c>
      <c r="L9" s="24">
        <v>7657</v>
      </c>
      <c r="M9" s="24">
        <v>7719.2834213137485</v>
      </c>
      <c r="N9" s="24">
        <v>7782.1066225604209</v>
      </c>
      <c r="O9" s="24">
        <v>7845.4692572159502</v>
      </c>
      <c r="P9" s="24">
        <v>7909.4819686668116</v>
      </c>
      <c r="Q9" s="24">
        <v>7973.9304608468265</v>
      </c>
      <c r="R9" s="24">
        <v>8038.7963962374715</v>
      </c>
      <c r="S9" s="24">
        <v>8104.0604171235618</v>
      </c>
      <c r="T9" s="24">
        <v>8169.6878694621337</v>
      </c>
      <c r="U9" s="24">
        <v>8235.6675570833777</v>
      </c>
      <c r="V9" s="24">
        <v>8301.9805687109074</v>
      </c>
      <c r="W9" s="24"/>
      <c r="X9" s="24"/>
    </row>
    <row r="10" spans="10:24" x14ac:dyDescent="0.25">
      <c r="J10" s="77" t="s">
        <v>96</v>
      </c>
      <c r="K10" s="24">
        <v>269</v>
      </c>
      <c r="L10" s="24">
        <v>249.35000000000002</v>
      </c>
      <c r="M10" s="24">
        <v>274.50038962134067</v>
      </c>
      <c r="N10" s="24">
        <v>298.69377086791565</v>
      </c>
      <c r="O10" s="24">
        <v>319.76294452697016</v>
      </c>
      <c r="P10" s="24">
        <v>337.55316380094769</v>
      </c>
      <c r="Q10" s="24">
        <v>352.65310198349329</v>
      </c>
      <c r="R10" s="24">
        <v>365.85427577249811</v>
      </c>
      <c r="S10" s="24">
        <v>380.76766766447105</v>
      </c>
      <c r="T10" s="24">
        <v>394.72106548138845</v>
      </c>
      <c r="U10" s="24">
        <v>407.56701275710378</v>
      </c>
      <c r="V10" s="24">
        <v>419.32601620094692</v>
      </c>
      <c r="W10" s="24"/>
      <c r="X10" s="24"/>
    </row>
    <row r="11" spans="10:24" x14ac:dyDescent="0.25">
      <c r="J11" s="77" t="s">
        <v>98</v>
      </c>
      <c r="K11" s="24">
        <v>7635.0000000000045</v>
      </c>
      <c r="L11" s="24">
        <v>7906.35</v>
      </c>
      <c r="M11" s="24">
        <v>7993.7838109350887</v>
      </c>
      <c r="N11" s="24">
        <v>8080.800393428337</v>
      </c>
      <c r="O11" s="24">
        <v>8165.2322017429206</v>
      </c>
      <c r="P11" s="24">
        <v>8247.0351324677595</v>
      </c>
      <c r="Q11" s="24">
        <v>8326.5835628303194</v>
      </c>
      <c r="R11" s="24">
        <v>8404.6506720099696</v>
      </c>
      <c r="S11" s="24">
        <v>8484.8280847880324</v>
      </c>
      <c r="T11" s="24">
        <v>8564.4089349435217</v>
      </c>
      <c r="U11" s="24">
        <v>8643.2345698404824</v>
      </c>
      <c r="V11" s="24">
        <v>8721.3065849118557</v>
      </c>
      <c r="W11" s="24"/>
      <c r="X11" s="24"/>
    </row>
    <row r="12" spans="10:24" x14ac:dyDescent="0.25">
      <c r="J12" s="77" t="s">
        <v>100</v>
      </c>
      <c r="K12" s="24">
        <v>23.583450715866093</v>
      </c>
      <c r="L12" s="24">
        <v>25.476850144851198</v>
      </c>
      <c r="M12" s="24">
        <v>25.67274063973008</v>
      </c>
      <c r="N12" s="24">
        <v>25.872749621139953</v>
      </c>
      <c r="O12" s="24">
        <v>26.065079376525617</v>
      </c>
      <c r="P12" s="24">
        <v>26.248356144603115</v>
      </c>
      <c r="Q12" s="24">
        <v>26.423118960191747</v>
      </c>
      <c r="R12" s="24">
        <v>26.595540761931083</v>
      </c>
      <c r="S12" s="24">
        <v>26.775138217172746</v>
      </c>
      <c r="T12" s="24">
        <v>26.955995589427669</v>
      </c>
      <c r="U12" s="24">
        <v>27.13773937864099</v>
      </c>
      <c r="V12" s="24">
        <v>27.319668499545433</v>
      </c>
      <c r="W12" s="24"/>
      <c r="X12" s="24"/>
    </row>
    <row r="13" spans="10:24" x14ac:dyDescent="0.25">
      <c r="J13" s="77" t="s">
        <v>106</v>
      </c>
      <c r="K13" s="24">
        <v>2647.99</v>
      </c>
      <c r="L13" s="24">
        <v>2687.7098500000002</v>
      </c>
      <c r="M13" s="24">
        <v>2738.1207789240848</v>
      </c>
      <c r="N13" s="24">
        <v>2789.2867230795018</v>
      </c>
      <c r="O13" s="24">
        <v>2840.6615291749472</v>
      </c>
      <c r="P13" s="24">
        <v>2892.2911206103181</v>
      </c>
      <c r="Q13" s="24">
        <v>2944.3981591860202</v>
      </c>
      <c r="R13" s="24">
        <v>2996.905106577819</v>
      </c>
      <c r="S13" s="24">
        <v>3050.0481852997791</v>
      </c>
      <c r="T13" s="24">
        <v>3103.8571950008777</v>
      </c>
      <c r="U13" s="24">
        <v>3158.1883932445135</v>
      </c>
      <c r="V13" s="24">
        <v>3213.0135543919414</v>
      </c>
      <c r="W13" s="24"/>
      <c r="X13" s="24"/>
    </row>
    <row r="14" spans="10:24" x14ac:dyDescent="0.25">
      <c r="J14" s="77" t="s">
        <v>108</v>
      </c>
      <c r="K14" s="24">
        <v>1665.79980258602</v>
      </c>
      <c r="L14" s="24">
        <v>1639.4229499999999</v>
      </c>
      <c r="M14" s="24">
        <v>1652.7583124534774</v>
      </c>
      <c r="N14" s="24">
        <v>1666.2092459674209</v>
      </c>
      <c r="O14" s="24">
        <v>1679.7756763483455</v>
      </c>
      <c r="P14" s="24">
        <v>1693.4812932014563</v>
      </c>
      <c r="Q14" s="24">
        <v>1707.2802140807578</v>
      </c>
      <c r="R14" s="24">
        <v>1721.1685127816384</v>
      </c>
      <c r="S14" s="24">
        <v>1735.1420446674858</v>
      </c>
      <c r="T14" s="24">
        <v>1749.1933900395486</v>
      </c>
      <c r="U14" s="24">
        <v>1763.3201517112345</v>
      </c>
      <c r="V14" s="24">
        <v>1777.5182806319333</v>
      </c>
      <c r="W14" s="24"/>
      <c r="X14" s="24"/>
    </row>
    <row r="15" spans="10:24" x14ac:dyDescent="0.25">
      <c r="J15" s="77" t="s">
        <v>112</v>
      </c>
      <c r="K15" s="24">
        <v>7635.0000000000045</v>
      </c>
      <c r="L15" s="24">
        <v>7906.35</v>
      </c>
      <c r="M15" s="24">
        <v>7993.7838109350887</v>
      </c>
      <c r="N15" s="24">
        <v>8080.800393428337</v>
      </c>
      <c r="O15" s="24">
        <v>8165.2322017429206</v>
      </c>
      <c r="P15" s="24">
        <v>8247.0351324677595</v>
      </c>
      <c r="Q15" s="24">
        <v>8326.5835628303194</v>
      </c>
      <c r="R15" s="24">
        <v>8404.6506720099696</v>
      </c>
      <c r="S15" s="24">
        <v>8484.8280847880324</v>
      </c>
      <c r="T15" s="24">
        <v>8564.4089349435217</v>
      </c>
      <c r="U15" s="24">
        <v>8643.2345698404824</v>
      </c>
      <c r="V15" s="24">
        <v>8721.3065849118557</v>
      </c>
      <c r="W15" s="24"/>
      <c r="X15" s="24"/>
    </row>
    <row r="16" spans="10:24" x14ac:dyDescent="0.25">
      <c r="J16" s="77" t="s">
        <v>114</v>
      </c>
      <c r="K16" s="24">
        <v>49.41441649634983</v>
      </c>
      <c r="L16" s="24">
        <v>53.381657300295302</v>
      </c>
      <c r="M16" s="24">
        <v>53.792106755646159</v>
      </c>
      <c r="N16" s="24">
        <v>54.211185677957943</v>
      </c>
      <c r="O16" s="24">
        <v>54.614174314004927</v>
      </c>
      <c r="P16" s="24">
        <v>54.998194221057524</v>
      </c>
      <c r="Q16" s="24">
        <v>55.36437483905172</v>
      </c>
      <c r="R16" s="24">
        <v>55.725650329515318</v>
      </c>
      <c r="S16" s="24">
        <v>56.101960970477855</v>
      </c>
      <c r="T16" s="24">
        <v>56.480911516210661</v>
      </c>
      <c r="U16" s="24">
        <v>56.861719371855386</v>
      </c>
      <c r="V16" s="24">
        <v>57.24291555308848</v>
      </c>
      <c r="W16" s="24"/>
      <c r="X16" s="24"/>
    </row>
    <row r="17" spans="10:24" x14ac:dyDescent="0.25">
      <c r="J17" s="77" t="s">
        <v>116</v>
      </c>
      <c r="K17" s="24">
        <v>3321.21019741399</v>
      </c>
      <c r="L17" s="24">
        <v>3579.2172</v>
      </c>
      <c r="M17" s="24">
        <v>3602.9047195575276</v>
      </c>
      <c r="N17" s="24">
        <v>3625.3044243814143</v>
      </c>
      <c r="O17" s="24">
        <v>3644.794996219628</v>
      </c>
      <c r="P17" s="24">
        <v>3661.2627186559848</v>
      </c>
      <c r="Q17" s="24">
        <v>3674.9051895635416</v>
      </c>
      <c r="R17" s="24">
        <v>3686.577052650513</v>
      </c>
      <c r="S17" s="24">
        <v>3699.6378548207672</v>
      </c>
      <c r="T17" s="24">
        <v>3711.3583499030947</v>
      </c>
      <c r="U17" s="24">
        <v>3721.7260248847333</v>
      </c>
      <c r="V17" s="24">
        <v>3730.7747498879803</v>
      </c>
      <c r="W17" s="24"/>
      <c r="X17" s="24"/>
    </row>
  </sheetData>
  <phoneticPr fontId="14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J6:V36"/>
  <sheetViews>
    <sheetView workbookViewId="0">
      <selection activeCell="J6" sqref="J6:L36"/>
    </sheetView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20832.07</v>
      </c>
      <c r="L8">
        <v>21106.959999999999</v>
      </c>
      <c r="M8">
        <v>21304.815112930191</v>
      </c>
      <c r="N8">
        <v>21345.04727465317</v>
      </c>
      <c r="O8">
        <v>21349.459408066421</v>
      </c>
      <c r="P8">
        <v>21361.983389438745</v>
      </c>
      <c r="Q8">
        <v>21382.975123475517</v>
      </c>
      <c r="R8">
        <v>21410.922773792794</v>
      </c>
      <c r="S8">
        <v>21452.909948599197</v>
      </c>
      <c r="T8">
        <v>21502.318764166557</v>
      </c>
      <c r="U8">
        <v>21558.870023675547</v>
      </c>
      <c r="V8">
        <v>21623.09761458818</v>
      </c>
    </row>
    <row r="9" spans="10:22" x14ac:dyDescent="0.15">
      <c r="J9" s="69" t="s">
        <v>247</v>
      </c>
      <c r="K9">
        <v>15116.16</v>
      </c>
      <c r="L9">
        <v>14391.92</v>
      </c>
      <c r="M9">
        <v>14354.245430767736</v>
      </c>
      <c r="N9">
        <v>14324.398687952329</v>
      </c>
      <c r="O9">
        <v>14301.69201091437</v>
      </c>
      <c r="P9">
        <v>14284.366019710802</v>
      </c>
      <c r="Q9">
        <v>14271.118576368752</v>
      </c>
      <c r="R9">
        <v>14261.720496681117</v>
      </c>
      <c r="S9">
        <v>14260.205809824214</v>
      </c>
      <c r="T9">
        <v>14262.791746754059</v>
      </c>
      <c r="U9">
        <v>14269.351679016829</v>
      </c>
      <c r="V9">
        <v>14280.200597774179</v>
      </c>
    </row>
    <row r="10" spans="10:22" x14ac:dyDescent="0.15">
      <c r="J10" s="69" t="s">
        <v>248</v>
      </c>
      <c r="K10">
        <v>30855</v>
      </c>
      <c r="L10">
        <v>30387.81</v>
      </c>
      <c r="M10">
        <v>30545.286291972003</v>
      </c>
      <c r="N10">
        <v>30933.839408659958</v>
      </c>
      <c r="O10">
        <v>31114.972090102423</v>
      </c>
      <c r="P10">
        <v>31261.371594637272</v>
      </c>
      <c r="Q10">
        <v>31392.521946328303</v>
      </c>
      <c r="R10">
        <v>31513.954988297159</v>
      </c>
      <c r="S10">
        <v>31631.801636112083</v>
      </c>
      <c r="T10">
        <v>31747.262761500133</v>
      </c>
      <c r="U10">
        <v>31860.016061736089</v>
      </c>
      <c r="V10">
        <v>31970.251688031145</v>
      </c>
    </row>
    <row r="11" spans="10:22" x14ac:dyDescent="0.15">
      <c r="J11" s="69" t="s">
        <v>249</v>
      </c>
      <c r="K11">
        <v>9500</v>
      </c>
      <c r="L11">
        <v>9849.34</v>
      </c>
      <c r="M11">
        <v>9864.2819154134795</v>
      </c>
      <c r="N11">
        <v>9879.332444743106</v>
      </c>
      <c r="O11">
        <v>9894.6094181060853</v>
      </c>
      <c r="P11">
        <v>9910.7854000238203</v>
      </c>
      <c r="Q11">
        <v>9927.2328696004734</v>
      </c>
      <c r="R11">
        <v>9943.8243297370918</v>
      </c>
      <c r="S11">
        <v>9960.6921507639836</v>
      </c>
      <c r="T11">
        <v>9978.043298941313</v>
      </c>
      <c r="U11">
        <v>9995.9594982835697</v>
      </c>
      <c r="V11">
        <v>10014.559112772242</v>
      </c>
    </row>
    <row r="12" spans="10:22" x14ac:dyDescent="0.15">
      <c r="J12" s="69" t="s">
        <v>250</v>
      </c>
      <c r="K12">
        <v>1180.7572540000001</v>
      </c>
      <c r="L12">
        <v>774.13295199999993</v>
      </c>
      <c r="M12">
        <v>775.05256631169414</v>
      </c>
      <c r="N12">
        <v>775.26675826072903</v>
      </c>
      <c r="O12">
        <v>775.76025696104466</v>
      </c>
      <c r="P12">
        <v>776.29521247290995</v>
      </c>
      <c r="Q12">
        <v>776.72638588861275</v>
      </c>
      <c r="R12">
        <v>777.05353904891501</v>
      </c>
      <c r="S12">
        <v>777.55250571839508</v>
      </c>
      <c r="T12">
        <v>777.97466545007137</v>
      </c>
      <c r="U12">
        <v>778.31518151093758</v>
      </c>
      <c r="V12">
        <v>778.57805789994961</v>
      </c>
    </row>
    <row r="13" spans="10:22" x14ac:dyDescent="0.15">
      <c r="J13" s="69" t="s">
        <v>251</v>
      </c>
      <c r="K13">
        <v>1624</v>
      </c>
      <c r="L13">
        <v>1280</v>
      </c>
      <c r="M13">
        <v>1285.447495637929</v>
      </c>
      <c r="N13">
        <v>1290.0101046982691</v>
      </c>
      <c r="O13">
        <v>1295.0204991870987</v>
      </c>
      <c r="P13">
        <v>1300.175741307718</v>
      </c>
      <c r="Q13">
        <v>1305.2790796955287</v>
      </c>
      <c r="R13">
        <v>1310.3007694918235</v>
      </c>
      <c r="S13">
        <v>1315.3344692000567</v>
      </c>
      <c r="T13">
        <v>1320.3343246255924</v>
      </c>
      <c r="U13">
        <v>1325.278986942219</v>
      </c>
      <c r="V13">
        <v>1330.1636050496866</v>
      </c>
    </row>
    <row r="14" spans="10:22" x14ac:dyDescent="0.15">
      <c r="J14" s="69" t="s">
        <v>252</v>
      </c>
      <c r="K14">
        <v>12562</v>
      </c>
      <c r="L14">
        <v>13267.199999999999</v>
      </c>
      <c r="M14">
        <v>12895.575999555051</v>
      </c>
      <c r="N14">
        <v>12799.238134855623</v>
      </c>
      <c r="O14">
        <v>12768.402646023971</v>
      </c>
      <c r="P14">
        <v>12774.579586788195</v>
      </c>
      <c r="Q14">
        <v>12795.354378353399</v>
      </c>
      <c r="R14">
        <v>12818.41633100107</v>
      </c>
      <c r="S14">
        <v>12851.508163781204</v>
      </c>
      <c r="T14">
        <v>12891.172779168486</v>
      </c>
      <c r="U14">
        <v>12935.858032681905</v>
      </c>
      <c r="V14">
        <v>12984.514612866413</v>
      </c>
    </row>
    <row r="15" spans="10:22" x14ac:dyDescent="0.15">
      <c r="J15" s="69" t="s">
        <v>253</v>
      </c>
      <c r="K15">
        <v>1817</v>
      </c>
      <c r="L15">
        <v>1871</v>
      </c>
      <c r="M15">
        <v>1876.9204906071091</v>
      </c>
      <c r="N15">
        <v>1883.3666065178425</v>
      </c>
      <c r="O15">
        <v>1889.0786918190113</v>
      </c>
      <c r="P15">
        <v>1893.9641531065843</v>
      </c>
      <c r="Q15">
        <v>1898.2203465284217</v>
      </c>
      <c r="R15">
        <v>1901.6317975968316</v>
      </c>
      <c r="S15">
        <v>1905.6286147560872</v>
      </c>
      <c r="T15">
        <v>1908.9666403837855</v>
      </c>
      <c r="U15">
        <v>1911.6465424425649</v>
      </c>
      <c r="V15">
        <v>1913.6889319340803</v>
      </c>
    </row>
    <row r="16" spans="10:22" x14ac:dyDescent="0.15">
      <c r="J16" s="69" t="s">
        <v>254</v>
      </c>
      <c r="K16">
        <v>7729.4</v>
      </c>
      <c r="L16">
        <v>8100</v>
      </c>
      <c r="M16">
        <v>8045.9736534572257</v>
      </c>
      <c r="N16">
        <v>8042.7683143985478</v>
      </c>
      <c r="O16">
        <v>8065.2494741257433</v>
      </c>
      <c r="P16">
        <v>8100.0850719522205</v>
      </c>
      <c r="Q16">
        <v>8135.0825067253309</v>
      </c>
      <c r="R16">
        <v>8170.5225323095337</v>
      </c>
      <c r="S16">
        <v>8206.8130747268933</v>
      </c>
      <c r="T16">
        <v>8243.9165644406057</v>
      </c>
      <c r="U16">
        <v>8281.8197387157979</v>
      </c>
      <c r="V16">
        <v>8320.5023361577714</v>
      </c>
    </row>
    <row r="17" spans="10:22" x14ac:dyDescent="0.15">
      <c r="J17" s="69" t="s">
        <v>255</v>
      </c>
      <c r="K17">
        <v>2325.4499999999998</v>
      </c>
      <c r="L17">
        <v>1987.8266999999998</v>
      </c>
      <c r="M17">
        <v>2138.6900044268559</v>
      </c>
      <c r="N17">
        <v>2138.6301678454229</v>
      </c>
      <c r="O17">
        <v>2141.9821524832382</v>
      </c>
      <c r="P17">
        <v>2146.9187380142571</v>
      </c>
      <c r="Q17">
        <v>2151.9108796478095</v>
      </c>
      <c r="R17">
        <v>2157.0479126058181</v>
      </c>
      <c r="S17">
        <v>2162.4339245771694</v>
      </c>
      <c r="T17">
        <v>2168.0562378940149</v>
      </c>
      <c r="U17">
        <v>2173.9098631565371</v>
      </c>
      <c r="V17">
        <v>2179.9877287287986</v>
      </c>
    </row>
    <row r="18" spans="10:22" x14ac:dyDescent="0.15">
      <c r="J18" s="69" t="s">
        <v>256</v>
      </c>
      <c r="K18">
        <v>933.5</v>
      </c>
      <c r="L18">
        <v>980.76</v>
      </c>
      <c r="M18">
        <v>986.40387667611765</v>
      </c>
      <c r="N18">
        <v>992.5058100377795</v>
      </c>
      <c r="O18">
        <v>998.27923750292916</v>
      </c>
      <c r="P18">
        <v>1003.673295455485</v>
      </c>
      <c r="Q18">
        <v>1008.74814836856</v>
      </c>
      <c r="R18">
        <v>1013.2482679746372</v>
      </c>
      <c r="S18">
        <v>1017.9445295798669</v>
      </c>
      <c r="T18">
        <v>1022.1738382274491</v>
      </c>
      <c r="U18">
        <v>1025.9389023618028</v>
      </c>
      <c r="V18">
        <v>1029.2534099842178</v>
      </c>
    </row>
    <row r="19" spans="10:22" x14ac:dyDescent="0.15">
      <c r="J19" s="69" t="s">
        <v>257</v>
      </c>
      <c r="K19">
        <v>1449.7</v>
      </c>
      <c r="L19">
        <v>1445.1200000000001</v>
      </c>
      <c r="M19">
        <v>1442.7808789678365</v>
      </c>
      <c r="N19">
        <v>1442.691482304203</v>
      </c>
      <c r="O19">
        <v>1444.468954140968</v>
      </c>
      <c r="P19">
        <v>1447.1129562254816</v>
      </c>
      <c r="Q19">
        <v>1449.7866166995118</v>
      </c>
      <c r="R19">
        <v>1452.5378186988926</v>
      </c>
      <c r="S19">
        <v>1455.4234680183297</v>
      </c>
      <c r="T19">
        <v>1458.4365210054534</v>
      </c>
      <c r="U19">
        <v>1461.5741977976136</v>
      </c>
      <c r="V19">
        <v>1464.8325566884532</v>
      </c>
    </row>
    <row r="20" spans="10:22" x14ac:dyDescent="0.15">
      <c r="J20" s="69" t="s">
        <v>258</v>
      </c>
      <c r="K20">
        <v>1961.49</v>
      </c>
      <c r="L20">
        <v>1910.94</v>
      </c>
      <c r="M20">
        <v>1918.5975902467139</v>
      </c>
      <c r="N20">
        <v>1931.621255030873</v>
      </c>
      <c r="O20">
        <v>1944.8566423669238</v>
      </c>
      <c r="P20">
        <v>1958.4288239981522</v>
      </c>
      <c r="Q20">
        <v>1972.1377093917056</v>
      </c>
      <c r="R20">
        <v>1985.6859217966603</v>
      </c>
      <c r="S20">
        <v>1999.1092433828076</v>
      </c>
      <c r="T20">
        <v>2012.4587340356441</v>
      </c>
      <c r="U20">
        <v>2025.7605710353698</v>
      </c>
      <c r="V20">
        <v>2039.0483805432984</v>
      </c>
    </row>
    <row r="21" spans="10:22" x14ac:dyDescent="0.15">
      <c r="J21" s="69" t="s">
        <v>259</v>
      </c>
      <c r="K21">
        <v>312.64999999999998</v>
      </c>
      <c r="L21">
        <v>359.09</v>
      </c>
      <c r="M21">
        <v>363.12178066097823</v>
      </c>
      <c r="N21">
        <v>366.94218234852872</v>
      </c>
      <c r="O21">
        <v>370.36005608612902</v>
      </c>
      <c r="P21">
        <v>373.3885439118917</v>
      </c>
      <c r="Q21">
        <v>376.10593747425054</v>
      </c>
      <c r="R21">
        <v>378.46717773229773</v>
      </c>
      <c r="S21">
        <v>380.86047801311906</v>
      </c>
      <c r="T21">
        <v>383.00406049912027</v>
      </c>
      <c r="U21">
        <v>384.89651764042469</v>
      </c>
      <c r="V21">
        <v>386.55347693036617</v>
      </c>
    </row>
    <row r="22" spans="10:22" x14ac:dyDescent="0.15">
      <c r="J22" s="69" t="s">
        <v>260</v>
      </c>
      <c r="K22">
        <v>407.3</v>
      </c>
      <c r="L22">
        <v>398</v>
      </c>
      <c r="M22">
        <v>402.96182192036389</v>
      </c>
      <c r="N22">
        <v>402.93654562680479</v>
      </c>
      <c r="O22">
        <v>403.43911359873925</v>
      </c>
      <c r="P22">
        <v>404.18668705555632</v>
      </c>
      <c r="Q22">
        <v>404.94264621861174</v>
      </c>
      <c r="R22">
        <v>405.7205297161795</v>
      </c>
      <c r="S22">
        <v>406.53642727145331</v>
      </c>
      <c r="T22">
        <v>407.38834734003041</v>
      </c>
      <c r="U22">
        <v>408.27550393481084</v>
      </c>
      <c r="V22">
        <v>409.19678256535451</v>
      </c>
    </row>
    <row r="23" spans="10:22" x14ac:dyDescent="0.15">
      <c r="J23" s="69" t="s">
        <v>261</v>
      </c>
      <c r="K23">
        <v>877.2</v>
      </c>
      <c r="L23">
        <v>768.1</v>
      </c>
      <c r="M23">
        <v>799.44594853743718</v>
      </c>
      <c r="N23">
        <v>804.15007924417159</v>
      </c>
      <c r="O23">
        <v>808.72993684291714</v>
      </c>
      <c r="P23">
        <v>813.18797126696165</v>
      </c>
      <c r="Q23">
        <v>817.58307352566794</v>
      </c>
      <c r="R23">
        <v>821.88133547129996</v>
      </c>
      <c r="S23">
        <v>826.135760530531</v>
      </c>
      <c r="T23">
        <v>830.32541527483363</v>
      </c>
      <c r="U23">
        <v>834.43033220623875</v>
      </c>
      <c r="V23">
        <v>838.44665236373316</v>
      </c>
    </row>
    <row r="24" spans="10:22" x14ac:dyDescent="0.15">
      <c r="J24" s="69" t="s">
        <v>262</v>
      </c>
      <c r="K24">
        <v>1456</v>
      </c>
      <c r="L24">
        <v>1562</v>
      </c>
      <c r="M24">
        <v>1572.3112454730149</v>
      </c>
      <c r="N24">
        <v>1582.0668314619368</v>
      </c>
      <c r="O24">
        <v>1591.1978344071711</v>
      </c>
      <c r="P24">
        <v>1599.7384152531799</v>
      </c>
      <c r="Q24">
        <v>1607.8327555108353</v>
      </c>
      <c r="R24">
        <v>1615.4051239677972</v>
      </c>
      <c r="S24">
        <v>1622.9806604406006</v>
      </c>
      <c r="T24">
        <v>1630.1735900395656</v>
      </c>
      <c r="U24">
        <v>1636.9569630411663</v>
      </c>
      <c r="V24">
        <v>1643.3496135903943</v>
      </c>
    </row>
    <row r="25" spans="10:22" x14ac:dyDescent="0.15">
      <c r="J25" s="69" t="s">
        <v>263</v>
      </c>
      <c r="K25">
        <v>882</v>
      </c>
      <c r="L25">
        <v>960</v>
      </c>
      <c r="M25">
        <v>963.42414437726791</v>
      </c>
      <c r="N25">
        <v>966.84373702253311</v>
      </c>
      <c r="O25">
        <v>970.25796050038662</v>
      </c>
      <c r="P25">
        <v>973.66812101995356</v>
      </c>
      <c r="Q25">
        <v>977.11868260719666</v>
      </c>
      <c r="R25">
        <v>980.46899104193437</v>
      </c>
      <c r="S25">
        <v>983.73378088333675</v>
      </c>
      <c r="T25">
        <v>986.93327619131492</v>
      </c>
      <c r="U25">
        <v>990.07817432130355</v>
      </c>
      <c r="V25">
        <v>993.18177812798763</v>
      </c>
    </row>
    <row r="26" spans="10:22" x14ac:dyDescent="0.15">
      <c r="J26" s="69" t="s">
        <v>264</v>
      </c>
      <c r="K26">
        <v>114</v>
      </c>
      <c r="L26">
        <v>156</v>
      </c>
      <c r="M26">
        <v>156.06087903751762</v>
      </c>
      <c r="N26">
        <v>156.11810038481198</v>
      </c>
      <c r="O26">
        <v>156.1713357810583</v>
      </c>
      <c r="P26">
        <v>156.22060659794835</v>
      </c>
      <c r="Q26">
        <v>156.27590582438262</v>
      </c>
      <c r="R26">
        <v>156.30375009380305</v>
      </c>
      <c r="S26">
        <v>156.30764095141035</v>
      </c>
      <c r="T26">
        <v>156.29218435917645</v>
      </c>
      <c r="U26">
        <v>156.25993444587468</v>
      </c>
      <c r="V26">
        <v>156.21395104892056</v>
      </c>
    </row>
    <row r="27" spans="10:22" x14ac:dyDescent="0.15">
      <c r="J27" s="69" t="s">
        <v>265</v>
      </c>
      <c r="K27">
        <v>34609.86</v>
      </c>
      <c r="L27">
        <v>32330.81</v>
      </c>
      <c r="M27">
        <v>32392.363700896989</v>
      </c>
      <c r="N27">
        <v>32441.268639232872</v>
      </c>
      <c r="O27">
        <v>32476.281532402169</v>
      </c>
      <c r="P27">
        <v>32498.393571918361</v>
      </c>
      <c r="Q27">
        <v>32508.640463343021</v>
      </c>
      <c r="R27">
        <v>32506.960122532739</v>
      </c>
      <c r="S27">
        <v>32505.978106874445</v>
      </c>
      <c r="T27">
        <v>32495.240843313382</v>
      </c>
      <c r="U27">
        <v>32475.184184522797</v>
      </c>
      <c r="V27">
        <v>32446.757696458615</v>
      </c>
    </row>
    <row r="28" spans="10:22" x14ac:dyDescent="0.15">
      <c r="J28" s="69" t="s">
        <v>266</v>
      </c>
      <c r="K28">
        <v>86113.98</v>
      </c>
      <c r="L28">
        <v>86200.093980000005</v>
      </c>
      <c r="M28">
        <v>86399.433957022396</v>
      </c>
      <c r="N28">
        <v>86600.544384870329</v>
      </c>
      <c r="O28">
        <v>86806.087170790124</v>
      </c>
      <c r="P28">
        <v>87023.013445269375</v>
      </c>
      <c r="Q28">
        <v>87244.861870026682</v>
      </c>
      <c r="R28">
        <v>87460.332750314265</v>
      </c>
      <c r="S28">
        <v>87671.847072697157</v>
      </c>
      <c r="T28">
        <v>87882.968552389269</v>
      </c>
      <c r="U28">
        <v>88095.314092568311</v>
      </c>
      <c r="V28">
        <v>88311.053884120483</v>
      </c>
    </row>
    <row r="29" spans="10:22" x14ac:dyDescent="0.15">
      <c r="J29" s="69" t="s">
        <v>267</v>
      </c>
      <c r="K29">
        <v>5810.54</v>
      </c>
      <c r="L29">
        <v>6031.04</v>
      </c>
      <c r="M29">
        <v>5971.3701662024541</v>
      </c>
      <c r="N29">
        <v>5937.064252492265</v>
      </c>
      <c r="O29">
        <v>5902.1642593445995</v>
      </c>
      <c r="P29">
        <v>5866.5580269312859</v>
      </c>
      <c r="Q29">
        <v>5830.1045083927092</v>
      </c>
      <c r="R29">
        <v>5795.1600719525613</v>
      </c>
      <c r="S29">
        <v>5762.2910168070503</v>
      </c>
      <c r="T29">
        <v>5728.8088839360171</v>
      </c>
      <c r="U29">
        <v>5694.6827831433347</v>
      </c>
      <c r="V29">
        <v>5659.9881493815537</v>
      </c>
    </row>
    <row r="30" spans="10:22" x14ac:dyDescent="0.15">
      <c r="J30" s="69" t="s">
        <v>268</v>
      </c>
      <c r="K30">
        <v>1066.4100000000001</v>
      </c>
      <c r="L30">
        <v>1080.8800000000001</v>
      </c>
      <c r="M30">
        <v>1042.7232354101855</v>
      </c>
      <c r="N30">
        <v>1020.2261936993597</v>
      </c>
      <c r="O30">
        <v>1023.7498567300104</v>
      </c>
      <c r="P30">
        <v>1037.4243861974132</v>
      </c>
      <c r="Q30">
        <v>1050.487539283816</v>
      </c>
      <c r="R30">
        <v>1063.0585630393462</v>
      </c>
      <c r="S30">
        <v>1076.3111843435236</v>
      </c>
      <c r="T30">
        <v>1089.3643615854451</v>
      </c>
      <c r="U30">
        <v>1102.1856741005681</v>
      </c>
      <c r="V30">
        <v>1114.7648960740714</v>
      </c>
    </row>
    <row r="31" spans="10:22" x14ac:dyDescent="0.15">
      <c r="J31" s="69" t="s">
        <v>269</v>
      </c>
      <c r="K31">
        <v>554.53</v>
      </c>
      <c r="L31">
        <v>529.678</v>
      </c>
      <c r="M31">
        <v>535.20411876319713</v>
      </c>
      <c r="N31">
        <v>540.84605282265545</v>
      </c>
      <c r="O31">
        <v>546.14638656562579</v>
      </c>
      <c r="P31">
        <v>551.08215172781161</v>
      </c>
      <c r="Q31">
        <v>555.71489577732109</v>
      </c>
      <c r="R31">
        <v>560.03700090199709</v>
      </c>
      <c r="S31">
        <v>564.69813938695586</v>
      </c>
      <c r="T31">
        <v>569.21719233089993</v>
      </c>
      <c r="U31">
        <v>573.57319062768681</v>
      </c>
      <c r="V31">
        <v>577.76152717058437</v>
      </c>
    </row>
    <row r="32" spans="10:22" x14ac:dyDescent="0.15">
      <c r="J32" s="69" t="s">
        <v>270</v>
      </c>
      <c r="K32">
        <v>2660.7696469695798</v>
      </c>
      <c r="L32">
        <v>2803.4</v>
      </c>
      <c r="M32">
        <v>2908.5313354289128</v>
      </c>
      <c r="N32">
        <v>2942.3417451865189</v>
      </c>
      <c r="O32">
        <v>2979.0519558204332</v>
      </c>
      <c r="P32">
        <v>3013.9624428350503</v>
      </c>
      <c r="Q32">
        <v>3047.0811778410593</v>
      </c>
      <c r="R32">
        <v>3078.1792319444398</v>
      </c>
      <c r="S32">
        <v>3110.9262881354271</v>
      </c>
      <c r="T32">
        <v>3142.6481896684509</v>
      </c>
      <c r="U32">
        <v>3173.2064301894779</v>
      </c>
      <c r="V32">
        <v>3202.6061735322101</v>
      </c>
    </row>
    <row r="33" spans="10:22" x14ac:dyDescent="0.15">
      <c r="J33" s="69" t="s">
        <v>271</v>
      </c>
      <c r="K33">
        <v>3049.8</v>
      </c>
      <c r="L33">
        <v>2973.3</v>
      </c>
      <c r="M33">
        <v>2999.0378819283037</v>
      </c>
      <c r="N33">
        <v>3024.8245048634353</v>
      </c>
      <c r="O33">
        <v>3050.6137080691924</v>
      </c>
      <c r="P33">
        <v>3070.9177127907524</v>
      </c>
      <c r="Q33">
        <v>3087.2080606752106</v>
      </c>
      <c r="R33">
        <v>3100.3962797998274</v>
      </c>
      <c r="S33">
        <v>3113.550312823309</v>
      </c>
      <c r="T33">
        <v>3126.6574947495747</v>
      </c>
      <c r="U33">
        <v>3139.7142630203748</v>
      </c>
      <c r="V33">
        <v>3152.7141470027991</v>
      </c>
    </row>
    <row r="34" spans="10:22" x14ac:dyDescent="0.15">
      <c r="J34" s="69" t="s">
        <v>272</v>
      </c>
      <c r="K34">
        <v>5637.3</v>
      </c>
      <c r="L34">
        <v>5681.8</v>
      </c>
      <c r="M34">
        <v>5749.8918640800921</v>
      </c>
      <c r="N34">
        <v>5817.7592107556256</v>
      </c>
      <c r="O34">
        <v>5881.8091074182385</v>
      </c>
      <c r="P34">
        <v>5942.3334975256303</v>
      </c>
      <c r="Q34">
        <v>5999.9143103901506</v>
      </c>
      <c r="R34">
        <v>6054.3856298555729</v>
      </c>
      <c r="S34">
        <v>6110.5773557825896</v>
      </c>
      <c r="T34">
        <v>6165.3292456552326</v>
      </c>
      <c r="U34">
        <v>6218.3818130787995</v>
      </c>
      <c r="V34">
        <v>6269.7759075390495</v>
      </c>
    </row>
    <row r="35" spans="10:22" x14ac:dyDescent="0.15">
      <c r="J35" s="69" t="s">
        <v>273</v>
      </c>
      <c r="K35">
        <v>7635</v>
      </c>
      <c r="L35">
        <v>7906.35</v>
      </c>
      <c r="M35">
        <v>7993.7838109350887</v>
      </c>
      <c r="N35">
        <v>8080.800393428337</v>
      </c>
      <c r="O35">
        <v>8165.2322017429206</v>
      </c>
      <c r="P35">
        <v>8247.0351324677595</v>
      </c>
      <c r="Q35">
        <v>8326.5835628303194</v>
      </c>
      <c r="R35">
        <v>8404.6506720099696</v>
      </c>
      <c r="S35">
        <v>8484.8280847880324</v>
      </c>
      <c r="T35">
        <v>8564.4089349435217</v>
      </c>
      <c r="U35">
        <v>8643.2345698404806</v>
      </c>
      <c r="V35">
        <v>8721.3065849118539</v>
      </c>
    </row>
    <row r="36" spans="10:22" x14ac:dyDescent="0.15">
      <c r="J36" s="69" t="s">
        <v>274</v>
      </c>
      <c r="K36">
        <v>4007.0127459999999</v>
      </c>
      <c r="L36">
        <v>4007.277047999999</v>
      </c>
      <c r="M36">
        <v>4017.213761655034</v>
      </c>
      <c r="N36">
        <v>4021.0419889192881</v>
      </c>
      <c r="O36">
        <v>4028.6841652106341</v>
      </c>
      <c r="P36">
        <v>4037.9999483547026</v>
      </c>
      <c r="Q36">
        <v>4047.2951402963336</v>
      </c>
      <c r="R36">
        <v>4056.6476642374678</v>
      </c>
      <c r="S36">
        <v>4066.3112094959688</v>
      </c>
      <c r="T36">
        <v>4076.1742386704541</v>
      </c>
      <c r="U36">
        <v>4086.2079726903844</v>
      </c>
      <c r="V36">
        <v>4096.4006540251667</v>
      </c>
    </row>
  </sheetData>
  <phoneticPr fontId="1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J6:BA36"/>
  <sheetViews>
    <sheetView topLeftCell="E1" workbookViewId="0">
      <pane xSplit="6" ySplit="7" topLeftCell="K8" activePane="bottomRight" state="frozen"/>
      <selection pane="topRight"/>
      <selection pane="bottomLeft"/>
      <selection pane="bottomRight" activeCell="K14" sqref="K14:L14"/>
    </sheetView>
  </sheetViews>
  <sheetFormatPr defaultColWidth="9" defaultRowHeight="13.5" x14ac:dyDescent="0.15"/>
  <cols>
    <col min="13" max="24" width="9" customWidth="1"/>
    <col min="47" max="53" width="9" style="4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20753.5</v>
      </c>
      <c r="L8">
        <v>20904.099999999999</v>
      </c>
      <c r="M8">
        <v>20964.453309519711</v>
      </c>
      <c r="N8">
        <v>21025.988686363813</v>
      </c>
      <c r="O8">
        <v>21088.612221701173</v>
      </c>
      <c r="P8">
        <v>21151.070137476654</v>
      </c>
      <c r="Q8">
        <v>21213.843945443372</v>
      </c>
      <c r="R8">
        <v>21277.604004810088</v>
      </c>
      <c r="S8">
        <v>21342.391747491871</v>
      </c>
      <c r="T8">
        <v>21408.290523129712</v>
      </c>
      <c r="U8">
        <v>21475.318460505227</v>
      </c>
      <c r="V8">
        <v>21543.51500250155</v>
      </c>
    </row>
    <row r="9" spans="10:22" x14ac:dyDescent="0.15">
      <c r="J9" s="69" t="s">
        <v>247</v>
      </c>
      <c r="K9">
        <v>14009.9</v>
      </c>
      <c r="L9">
        <v>14007.2</v>
      </c>
      <c r="M9">
        <v>14025.256083304463</v>
      </c>
      <c r="N9">
        <v>14044.315714224856</v>
      </c>
      <c r="O9">
        <v>14064.569026042231</v>
      </c>
      <c r="P9">
        <v>14086.921657111527</v>
      </c>
      <c r="Q9">
        <v>14112.242921428524</v>
      </c>
      <c r="R9">
        <v>14138.730455054809</v>
      </c>
      <c r="S9">
        <v>14166.530386158847</v>
      </c>
      <c r="T9">
        <v>14195.897481205075</v>
      </c>
      <c r="U9">
        <v>14226.910910334884</v>
      </c>
      <c r="V9">
        <v>14259.704393926142</v>
      </c>
    </row>
    <row r="10" spans="10:22" x14ac:dyDescent="0.15">
      <c r="J10" s="69" t="s">
        <v>248</v>
      </c>
      <c r="K10">
        <v>29492</v>
      </c>
      <c r="L10">
        <v>30123.5</v>
      </c>
      <c r="M10">
        <v>30279.241137220408</v>
      </c>
      <c r="N10">
        <v>30434.367559104125</v>
      </c>
      <c r="O10">
        <v>30591.740623015361</v>
      </c>
      <c r="P10">
        <v>30748.438626149455</v>
      </c>
      <c r="Q10">
        <v>30906.597328921369</v>
      </c>
      <c r="R10">
        <v>31068.244871662566</v>
      </c>
      <c r="S10">
        <v>31233.724800319644</v>
      </c>
      <c r="T10">
        <v>31403.625949001114</v>
      </c>
      <c r="U10">
        <v>31578.1556287575</v>
      </c>
      <c r="V10">
        <v>31757.645689489298</v>
      </c>
    </row>
    <row r="11" spans="10:22" x14ac:dyDescent="0.15">
      <c r="J11" s="69" t="s">
        <v>249</v>
      </c>
      <c r="K11">
        <v>9500</v>
      </c>
      <c r="L11">
        <v>9849.34</v>
      </c>
      <c r="M11">
        <v>9864.2819154134795</v>
      </c>
      <c r="N11">
        <v>9879.332444743106</v>
      </c>
      <c r="O11">
        <v>9894.6094181060853</v>
      </c>
      <c r="P11">
        <v>9910.7854000238203</v>
      </c>
      <c r="Q11">
        <v>9927.2328696004734</v>
      </c>
      <c r="R11">
        <v>9943.8243297370918</v>
      </c>
      <c r="S11">
        <v>9960.6921507639836</v>
      </c>
      <c r="T11">
        <v>9978.043298941313</v>
      </c>
      <c r="U11">
        <v>9995.9594982835697</v>
      </c>
      <c r="V11">
        <v>10014.559112772242</v>
      </c>
    </row>
    <row r="12" spans="10:22" x14ac:dyDescent="0.15">
      <c r="J12" s="69" t="s">
        <v>250</v>
      </c>
      <c r="K12">
        <v>315.39999999999998</v>
      </c>
      <c r="L12">
        <v>320</v>
      </c>
      <c r="M12">
        <v>320.10975872174021</v>
      </c>
      <c r="N12">
        <v>320.22546553808382</v>
      </c>
      <c r="O12">
        <v>320.35154349021445</v>
      </c>
      <c r="P12">
        <v>320.49911221200892</v>
      </c>
      <c r="Q12">
        <v>320.65901484396159</v>
      </c>
      <c r="R12">
        <v>320.7936301082301</v>
      </c>
      <c r="S12">
        <v>320.90860572926232</v>
      </c>
      <c r="T12">
        <v>321.01190290523158</v>
      </c>
      <c r="U12">
        <v>321.10735778313875</v>
      </c>
      <c r="V12">
        <v>321.19990271125107</v>
      </c>
    </row>
    <row r="13" spans="10:22" x14ac:dyDescent="0.15">
      <c r="J13" s="69" t="s">
        <v>251</v>
      </c>
      <c r="K13">
        <v>200</v>
      </c>
      <c r="L13">
        <v>230</v>
      </c>
      <c r="M13">
        <v>229.66453314142228</v>
      </c>
      <c r="N13">
        <v>229.32978288007325</v>
      </c>
      <c r="O13">
        <v>228.9991780519216</v>
      </c>
      <c r="P13">
        <v>228.68045826685619</v>
      </c>
      <c r="Q13">
        <v>228.37091777877876</v>
      </c>
      <c r="R13">
        <v>228.06471709609241</v>
      </c>
      <c r="S13">
        <v>227.76484598883394</v>
      </c>
      <c r="T13">
        <v>227.4759590249908</v>
      </c>
      <c r="U13">
        <v>227.19980816792895</v>
      </c>
      <c r="V13">
        <v>226.93895437888949</v>
      </c>
    </row>
    <row r="14" spans="10:22" x14ac:dyDescent="0.15">
      <c r="J14" s="69" t="s">
        <v>252</v>
      </c>
      <c r="K14">
        <v>2065</v>
      </c>
      <c r="L14">
        <v>2091</v>
      </c>
      <c r="M14">
        <v>2207.8585285007121</v>
      </c>
      <c r="N14">
        <v>2331.3001440596499</v>
      </c>
      <c r="O14">
        <v>2461.7158493655916</v>
      </c>
      <c r="P14">
        <v>2599.6902319795768</v>
      </c>
      <c r="Q14">
        <v>2745.502831925533</v>
      </c>
      <c r="R14">
        <v>2843.7876417055522</v>
      </c>
      <c r="S14">
        <v>2945.6840518775052</v>
      </c>
      <c r="T14">
        <v>3051.3899188680521</v>
      </c>
      <c r="U14">
        <v>3161.0772042720982</v>
      </c>
      <c r="V14">
        <v>3274.9390939510604</v>
      </c>
    </row>
    <row r="15" spans="10:22" x14ac:dyDescent="0.15">
      <c r="J15" s="69" t="s">
        <v>253</v>
      </c>
      <c r="K15">
        <v>1790</v>
      </c>
      <c r="L15">
        <v>1871</v>
      </c>
      <c r="M15">
        <v>1876.9204906071091</v>
      </c>
      <c r="N15">
        <v>1883.3666065178425</v>
      </c>
      <c r="O15">
        <v>1889.0786918190113</v>
      </c>
      <c r="P15">
        <v>1893.9641531065843</v>
      </c>
      <c r="Q15">
        <v>1898.2203465284217</v>
      </c>
      <c r="R15">
        <v>1901.6317975968316</v>
      </c>
      <c r="S15">
        <v>1905.6286147560872</v>
      </c>
      <c r="T15">
        <v>1908.9666403837855</v>
      </c>
      <c r="U15">
        <v>1911.6465424425649</v>
      </c>
      <c r="V15">
        <v>1913.6889319340803</v>
      </c>
    </row>
    <row r="16" spans="10:22" x14ac:dyDescent="0.15">
      <c r="J16" s="69" t="s">
        <v>254</v>
      </c>
      <c r="K16">
        <v>7729.4</v>
      </c>
      <c r="L16">
        <v>8100</v>
      </c>
      <c r="M16">
        <v>7927.4339310995456</v>
      </c>
      <c r="N16">
        <v>7924.3061720495989</v>
      </c>
      <c r="O16">
        <v>7946.2432119392361</v>
      </c>
      <c r="P16">
        <v>7980.2356708858406</v>
      </c>
      <c r="Q16">
        <v>8014.386049779504</v>
      </c>
      <c r="R16">
        <v>8048.9683072948901</v>
      </c>
      <c r="S16">
        <v>8084.3804962694257</v>
      </c>
      <c r="T16">
        <v>8120.5859564757257</v>
      </c>
      <c r="U16">
        <v>8157.5717461817994</v>
      </c>
      <c r="V16">
        <v>8195.3180943869938</v>
      </c>
    </row>
    <row r="17" spans="10:22" x14ac:dyDescent="0.15">
      <c r="J17" s="69" t="s">
        <v>255</v>
      </c>
      <c r="K17">
        <v>1686.89</v>
      </c>
      <c r="L17">
        <v>1737.4966999999999</v>
      </c>
      <c r="M17">
        <v>1820.82269947703</v>
      </c>
      <c r="N17">
        <v>1843.7989350926382</v>
      </c>
      <c r="O17">
        <v>1866.9751462298257</v>
      </c>
      <c r="P17">
        <v>1890.4576530238242</v>
      </c>
      <c r="Q17">
        <v>1914.2438094874119</v>
      </c>
      <c r="R17">
        <v>1938.7440514635909</v>
      </c>
      <c r="S17">
        <v>1963.9841702343681</v>
      </c>
      <c r="T17">
        <v>1990.0067129566232</v>
      </c>
      <c r="U17">
        <v>2016.8315782662562</v>
      </c>
      <c r="V17">
        <v>2044.4876660120419</v>
      </c>
    </row>
    <row r="18" spans="10:22" x14ac:dyDescent="0.15">
      <c r="J18" s="69" t="s">
        <v>256</v>
      </c>
      <c r="K18">
        <v>760.5</v>
      </c>
      <c r="L18">
        <v>772.2</v>
      </c>
      <c r="M18">
        <v>797.71972159118491</v>
      </c>
      <c r="N18">
        <v>803.97757452078963</v>
      </c>
      <c r="O18">
        <v>809.898527411499</v>
      </c>
      <c r="P18">
        <v>815.43041695538409</v>
      </c>
      <c r="Q18">
        <v>820.6349449774259</v>
      </c>
      <c r="R18">
        <v>825.25005382758093</v>
      </c>
      <c r="S18">
        <v>830.06631659261268</v>
      </c>
      <c r="T18">
        <v>834.40369459099622</v>
      </c>
      <c r="U18">
        <v>838.26496547463944</v>
      </c>
      <c r="V18">
        <v>841.66416700729553</v>
      </c>
    </row>
    <row r="19" spans="10:22" x14ac:dyDescent="0.15">
      <c r="J19" s="69" t="s">
        <v>257</v>
      </c>
      <c r="K19">
        <v>1150.7</v>
      </c>
      <c r="L19">
        <v>1168.4000000000001</v>
      </c>
      <c r="M19">
        <v>1248.4026728603226</v>
      </c>
      <c r="N19">
        <v>1248.3069634202432</v>
      </c>
      <c r="O19">
        <v>1250.2099520480028</v>
      </c>
      <c r="P19">
        <v>1253.0406612578656</v>
      </c>
      <c r="Q19">
        <v>1255.9031231947199</v>
      </c>
      <c r="R19">
        <v>1258.8486022786642</v>
      </c>
      <c r="S19">
        <v>1261.9380227268589</v>
      </c>
      <c r="T19">
        <v>1265.1638434969757</v>
      </c>
      <c r="U19">
        <v>1268.5230884253983</v>
      </c>
      <c r="V19">
        <v>1272.0115374608058</v>
      </c>
    </row>
    <row r="20" spans="10:22" x14ac:dyDescent="0.15">
      <c r="J20" s="69" t="s">
        <v>258</v>
      </c>
      <c r="K20">
        <v>1900</v>
      </c>
      <c r="L20">
        <v>1905.75</v>
      </c>
      <c r="M20">
        <v>1918.5975902467139</v>
      </c>
      <c r="N20">
        <v>1931.621255030873</v>
      </c>
      <c r="O20">
        <v>1944.8566423669238</v>
      </c>
      <c r="P20">
        <v>1958.4288239981522</v>
      </c>
      <c r="Q20">
        <v>1972.1377093917056</v>
      </c>
      <c r="R20">
        <v>1985.6859217966603</v>
      </c>
      <c r="S20">
        <v>1999.1092433828076</v>
      </c>
      <c r="T20">
        <v>2012.4587340356441</v>
      </c>
      <c r="U20">
        <v>2025.7605710353698</v>
      </c>
      <c r="V20">
        <v>2039.0483805432984</v>
      </c>
    </row>
    <row r="21" spans="10:22" x14ac:dyDescent="0.15">
      <c r="J21" s="69" t="s">
        <v>259</v>
      </c>
      <c r="K21">
        <v>288.2</v>
      </c>
      <c r="L21">
        <v>320</v>
      </c>
      <c r="M21">
        <v>324.95587392745944</v>
      </c>
      <c r="N21">
        <v>328.78717086567798</v>
      </c>
      <c r="O21">
        <v>332.21479190059625</v>
      </c>
      <c r="P21">
        <v>335.25191654957956</v>
      </c>
      <c r="Q21">
        <v>337.9770597378801</v>
      </c>
      <c r="R21">
        <v>340.34503392251474</v>
      </c>
      <c r="S21">
        <v>342.74515956061953</v>
      </c>
      <c r="T21">
        <v>344.89485524371952</v>
      </c>
      <c r="U21">
        <v>346.7927094078031</v>
      </c>
      <c r="V21">
        <v>348.45439411362673</v>
      </c>
    </row>
    <row r="22" spans="10:22" x14ac:dyDescent="0.15">
      <c r="J22" s="69" t="s">
        <v>260</v>
      </c>
      <c r="K22">
        <v>404</v>
      </c>
      <c r="L22">
        <v>398</v>
      </c>
      <c r="M22">
        <v>402.96182192036389</v>
      </c>
      <c r="N22">
        <v>402.93654562680479</v>
      </c>
      <c r="O22">
        <v>403.43911359873925</v>
      </c>
      <c r="P22">
        <v>404.18668705555632</v>
      </c>
      <c r="Q22">
        <v>404.94264621861174</v>
      </c>
      <c r="R22">
        <v>405.7205297161795</v>
      </c>
      <c r="S22">
        <v>406.53642727145331</v>
      </c>
      <c r="T22">
        <v>407.38834734003041</v>
      </c>
      <c r="U22">
        <v>408.27550393481084</v>
      </c>
      <c r="V22">
        <v>409.19678256535451</v>
      </c>
    </row>
    <row r="23" spans="10:22" x14ac:dyDescent="0.15">
      <c r="J23" s="69" t="s">
        <v>261</v>
      </c>
      <c r="K23">
        <v>616.4</v>
      </c>
      <c r="L23">
        <v>664.1</v>
      </c>
      <c r="M23">
        <v>663.63567400159468</v>
      </c>
      <c r="N23">
        <v>663.18561959097565</v>
      </c>
      <c r="O23">
        <v>662.76020538950377</v>
      </c>
      <c r="P23">
        <v>662.38671411251607</v>
      </c>
      <c r="Q23">
        <v>662.03949829001579</v>
      </c>
      <c r="R23">
        <v>661.68917395412086</v>
      </c>
      <c r="S23">
        <v>661.34530884802405</v>
      </c>
      <c r="T23">
        <v>661.0224476564531</v>
      </c>
      <c r="U23">
        <v>660.72646026115581</v>
      </c>
      <c r="V23">
        <v>660.46562641980427</v>
      </c>
    </row>
    <row r="24" spans="10:22" x14ac:dyDescent="0.15">
      <c r="J24" s="69" t="s">
        <v>262</v>
      </c>
      <c r="K24">
        <v>996</v>
      </c>
      <c r="L24">
        <v>1116</v>
      </c>
      <c r="M24">
        <v>1119.582511054716</v>
      </c>
      <c r="N24">
        <v>1123.1602598598249</v>
      </c>
      <c r="O24">
        <v>1126.7323911735291</v>
      </c>
      <c r="P24">
        <v>1130.3002716171263</v>
      </c>
      <c r="Q24">
        <v>1133.9104216777773</v>
      </c>
      <c r="R24">
        <v>1137.4156818776237</v>
      </c>
      <c r="S24">
        <v>1140.8314682491912</v>
      </c>
      <c r="T24">
        <v>1144.1789402151633</v>
      </c>
      <c r="U24">
        <v>1147.4692898836638</v>
      </c>
      <c r="V24">
        <v>1150.716435366407</v>
      </c>
    </row>
    <row r="25" spans="10:22" x14ac:dyDescent="0.15">
      <c r="J25" s="69" t="s">
        <v>263</v>
      </c>
      <c r="K25">
        <v>882</v>
      </c>
      <c r="L25">
        <v>960</v>
      </c>
      <c r="M25">
        <v>963.42414437726791</v>
      </c>
      <c r="N25">
        <v>966.84373702253311</v>
      </c>
      <c r="O25">
        <v>970.25796050038662</v>
      </c>
      <c r="P25">
        <v>973.66812101995356</v>
      </c>
      <c r="Q25">
        <v>977.11868260719666</v>
      </c>
      <c r="R25">
        <v>980.46899104193437</v>
      </c>
      <c r="S25">
        <v>983.73378088333675</v>
      </c>
      <c r="T25">
        <v>986.93327619131492</v>
      </c>
      <c r="U25">
        <v>990.07817432130355</v>
      </c>
      <c r="V25">
        <v>993.18177812798763</v>
      </c>
    </row>
    <row r="26" spans="10:22" x14ac:dyDescent="0.15">
      <c r="J26" s="69" t="s">
        <v>264</v>
      </c>
      <c r="K26">
        <v>114</v>
      </c>
      <c r="L26">
        <v>156</v>
      </c>
      <c r="M26">
        <v>156.06087903751762</v>
      </c>
      <c r="N26">
        <v>156.11810038481198</v>
      </c>
      <c r="O26">
        <v>156.1713357810583</v>
      </c>
      <c r="P26">
        <v>156.22060659794835</v>
      </c>
      <c r="Q26">
        <v>156.27590582438262</v>
      </c>
      <c r="R26">
        <v>156.30375009380305</v>
      </c>
      <c r="S26">
        <v>156.30764095141035</v>
      </c>
      <c r="T26">
        <v>156.29218435917645</v>
      </c>
      <c r="U26">
        <v>156.25993444587468</v>
      </c>
      <c r="V26">
        <v>156.21395104892056</v>
      </c>
    </row>
    <row r="27" spans="10:22" x14ac:dyDescent="0.15">
      <c r="J27" s="69" t="s">
        <v>265</v>
      </c>
      <c r="K27">
        <v>34500</v>
      </c>
      <c r="L27">
        <v>32000</v>
      </c>
      <c r="M27">
        <v>32019.487093351458</v>
      </c>
      <c r="N27">
        <v>32038.736493408873</v>
      </c>
      <c r="O27">
        <v>32058.129479650059</v>
      </c>
      <c r="P27">
        <v>32078.500089931917</v>
      </c>
      <c r="Q27">
        <v>32099.840470250761</v>
      </c>
      <c r="R27">
        <v>32119.578780300231</v>
      </c>
      <c r="S27">
        <v>32138.137482794893</v>
      </c>
      <c r="T27">
        <v>32156.120650805362</v>
      </c>
      <c r="U27">
        <v>32173.811560581278</v>
      </c>
      <c r="V27">
        <v>32191.580099174927</v>
      </c>
    </row>
    <row r="28" spans="10:22" x14ac:dyDescent="0.15">
      <c r="J28" s="69" t="s">
        <v>266</v>
      </c>
      <c r="K28">
        <v>86113.98</v>
      </c>
      <c r="L28">
        <v>86200.093980000005</v>
      </c>
      <c r="M28">
        <v>86399.433957022396</v>
      </c>
      <c r="N28">
        <v>86600.544384870329</v>
      </c>
      <c r="O28">
        <v>86806.087170790124</v>
      </c>
      <c r="P28">
        <v>87023.013445269375</v>
      </c>
      <c r="Q28">
        <v>87244.861870026682</v>
      </c>
      <c r="R28">
        <v>87460.332750314265</v>
      </c>
      <c r="S28">
        <v>87671.847072697157</v>
      </c>
      <c r="T28">
        <v>87882.968552389269</v>
      </c>
      <c r="U28">
        <v>88095.314092568311</v>
      </c>
      <c r="V28">
        <v>88311.053884120483</v>
      </c>
    </row>
    <row r="29" spans="10:22" x14ac:dyDescent="0.15">
      <c r="J29" s="69" t="s">
        <v>267</v>
      </c>
      <c r="K29">
        <v>5706</v>
      </c>
      <c r="L29">
        <v>5938</v>
      </c>
      <c r="M29">
        <v>5884.1371046075074</v>
      </c>
      <c r="N29">
        <v>5847.2384114087718</v>
      </c>
      <c r="O29">
        <v>5810.1936576070184</v>
      </c>
      <c r="P29">
        <v>5773.06963300609</v>
      </c>
      <c r="Q29">
        <v>5736.1210229522376</v>
      </c>
      <c r="R29">
        <v>5699.5353218888322</v>
      </c>
      <c r="S29">
        <v>5663.2843274611296</v>
      </c>
      <c r="T29">
        <v>5627.3308678468493</v>
      </c>
      <c r="U29">
        <v>5591.6557956717279</v>
      </c>
      <c r="V29">
        <v>5556.235895548185</v>
      </c>
    </row>
    <row r="30" spans="10:22" x14ac:dyDescent="0.15">
      <c r="J30" s="69" t="s">
        <v>268</v>
      </c>
      <c r="K30">
        <v>779</v>
      </c>
      <c r="L30">
        <v>801</v>
      </c>
      <c r="M30">
        <v>771.38725482278289</v>
      </c>
      <c r="N30">
        <v>744.72348751246113</v>
      </c>
      <c r="O30">
        <v>742.08660135377829</v>
      </c>
      <c r="P30">
        <v>751.47335051616494</v>
      </c>
      <c r="Q30">
        <v>760.97104409918711</v>
      </c>
      <c r="R30">
        <v>770.57103616511472</v>
      </c>
      <c r="S30">
        <v>780.27249796730996</v>
      </c>
      <c r="T30">
        <v>790.07309189904333</v>
      </c>
      <c r="U30">
        <v>799.97270302953234</v>
      </c>
      <c r="V30">
        <v>809.97044764818486</v>
      </c>
    </row>
    <row r="31" spans="10:22" x14ac:dyDescent="0.15">
      <c r="J31" s="69" t="s">
        <v>269</v>
      </c>
      <c r="K31">
        <v>518</v>
      </c>
      <c r="L31">
        <v>496</v>
      </c>
      <c r="M31">
        <v>501.12515297029779</v>
      </c>
      <c r="N31">
        <v>506.32269480161028</v>
      </c>
      <c r="O31">
        <v>511.59570798965598</v>
      </c>
      <c r="P31">
        <v>516.9514169617961</v>
      </c>
      <c r="Q31">
        <v>522.36118602387194</v>
      </c>
      <c r="R31">
        <v>527.81797179790908</v>
      </c>
      <c r="S31">
        <v>533.32192432754948</v>
      </c>
      <c r="T31">
        <v>538.87283402792968</v>
      </c>
      <c r="U31">
        <v>544.47102711198932</v>
      </c>
      <c r="V31">
        <v>550.11664681386276</v>
      </c>
    </row>
    <row r="32" spans="10:22" x14ac:dyDescent="0.15">
      <c r="J32" s="69" t="s">
        <v>270</v>
      </c>
      <c r="K32">
        <v>2640.1828585695798</v>
      </c>
      <c r="L32">
        <v>2803.4</v>
      </c>
      <c r="M32">
        <v>2908.5313354289128</v>
      </c>
      <c r="N32">
        <v>2936.0680293799869</v>
      </c>
      <c r="O32">
        <v>2963.9166876410327</v>
      </c>
      <c r="P32">
        <v>2992.0509411118674</v>
      </c>
      <c r="Q32">
        <v>3020.423571281659</v>
      </c>
      <c r="R32">
        <v>3049.1789189126516</v>
      </c>
      <c r="S32">
        <v>3078.3073553899881</v>
      </c>
      <c r="T32">
        <v>3107.7935430622683</v>
      </c>
      <c r="U32">
        <v>3137.6311470263404</v>
      </c>
      <c r="V32">
        <v>3167.8109989034301</v>
      </c>
    </row>
    <row r="33" spans="10:22" x14ac:dyDescent="0.15">
      <c r="J33" s="69" t="s">
        <v>271</v>
      </c>
      <c r="K33">
        <v>3049.8</v>
      </c>
      <c r="L33">
        <v>2973.3</v>
      </c>
      <c r="M33">
        <v>2999.0378819283037</v>
      </c>
      <c r="N33">
        <v>3024.8245048634353</v>
      </c>
      <c r="O33">
        <v>3050.6137080691924</v>
      </c>
      <c r="P33">
        <v>3070.9177127907524</v>
      </c>
      <c r="Q33">
        <v>3087.2080606752106</v>
      </c>
      <c r="R33">
        <v>3100.3962797998274</v>
      </c>
      <c r="S33">
        <v>3113.550312823309</v>
      </c>
      <c r="T33">
        <v>3126.6574947495747</v>
      </c>
      <c r="U33">
        <v>3139.7142630203748</v>
      </c>
      <c r="V33">
        <v>3152.7141470027991</v>
      </c>
    </row>
    <row r="34" spans="10:22" x14ac:dyDescent="0.15">
      <c r="J34" s="69" t="s">
        <v>272</v>
      </c>
      <c r="K34">
        <v>4079</v>
      </c>
      <c r="L34">
        <v>4091</v>
      </c>
      <c r="M34">
        <v>4154.8659812406195</v>
      </c>
      <c r="N34">
        <v>4219.8068578901057</v>
      </c>
      <c r="O34">
        <v>4285.7996144242861</v>
      </c>
      <c r="P34">
        <v>4352.8234889659025</v>
      </c>
      <c r="Q34">
        <v>4420.8507795206724</v>
      </c>
      <c r="R34">
        <v>4489.8094503705706</v>
      </c>
      <c r="S34">
        <v>4559.7015565948523</v>
      </c>
      <c r="T34">
        <v>4630.5202749194596</v>
      </c>
      <c r="U34">
        <v>4702.2717086093935</v>
      </c>
      <c r="V34">
        <v>4774.9574430891917</v>
      </c>
    </row>
    <row r="35" spans="10:22" x14ac:dyDescent="0.15">
      <c r="J35" s="69" t="s">
        <v>273</v>
      </c>
      <c r="K35">
        <v>7366</v>
      </c>
      <c r="L35">
        <v>7657</v>
      </c>
      <c r="M35">
        <v>7719.2834213137485</v>
      </c>
      <c r="N35">
        <v>7782.1066225604209</v>
      </c>
      <c r="O35">
        <v>7845.4692572159502</v>
      </c>
      <c r="P35">
        <v>7909.4819686668116</v>
      </c>
      <c r="Q35">
        <v>7973.9304608468265</v>
      </c>
      <c r="R35">
        <v>8038.7963962374715</v>
      </c>
      <c r="S35">
        <v>8104.0604171235618</v>
      </c>
      <c r="T35">
        <v>8169.6878694621337</v>
      </c>
      <c r="U35">
        <v>8235.6675570833777</v>
      </c>
      <c r="V35">
        <v>8301.9805687109074</v>
      </c>
    </row>
    <row r="36" spans="10:22" x14ac:dyDescent="0.15">
      <c r="J36" s="69" t="s">
        <v>274</v>
      </c>
      <c r="K36">
        <v>3814.2</v>
      </c>
      <c r="L36">
        <v>3812.2</v>
      </c>
      <c r="M36">
        <v>3819.1546599751318</v>
      </c>
      <c r="N36">
        <v>3826.3426028300914</v>
      </c>
      <c r="O36">
        <v>3833.8014717196174</v>
      </c>
      <c r="P36">
        <v>3841.585122644517</v>
      </c>
      <c r="Q36">
        <v>3849.388882051936</v>
      </c>
      <c r="R36">
        <v>3857.1970884989182</v>
      </c>
      <c r="S36">
        <v>3865.0118529911465</v>
      </c>
      <c r="T36">
        <v>3872.8361058606388</v>
      </c>
      <c r="U36">
        <v>3880.6713302625258</v>
      </c>
      <c r="V36">
        <v>3888.5193991267001</v>
      </c>
    </row>
  </sheetData>
  <phoneticPr fontId="1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J6:BJ22"/>
  <sheetViews>
    <sheetView topLeftCell="J4" workbookViewId="0">
      <pane xSplit="1" ySplit="4" topLeftCell="AZ8" activePane="bottomRight" state="frozen"/>
      <selection pane="topRight"/>
      <selection pane="bottomLeft"/>
      <selection pane="bottomRight" activeCell="BD13" sqref="BD13:BJ13"/>
    </sheetView>
  </sheetViews>
  <sheetFormatPr defaultColWidth="9" defaultRowHeight="13.5" x14ac:dyDescent="0.15"/>
  <cols>
    <col min="56" max="61" width="9" style="4"/>
    <col min="62" max="62" width="12.625" style="7" customWidth="1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2900.6900000000005</v>
      </c>
      <c r="L8">
        <v>2901.2200000000003</v>
      </c>
      <c r="M8">
        <v>2899.6812149031271</v>
      </c>
      <c r="N8">
        <v>2898.2505014009034</v>
      </c>
      <c r="O8">
        <v>2896.8979048230854</v>
      </c>
      <c r="P8">
        <v>2895.4794344445663</v>
      </c>
      <c r="Q8">
        <v>2894.0518414017288</v>
      </c>
      <c r="R8">
        <v>2892.6961383917169</v>
      </c>
      <c r="S8">
        <v>2891.4086810084445</v>
      </c>
      <c r="T8">
        <v>2890.1860119521461</v>
      </c>
      <c r="U8">
        <v>2889.0248511947575</v>
      </c>
      <c r="V8">
        <v>2887.9220866842011</v>
      </c>
    </row>
    <row r="9" spans="10:22" x14ac:dyDescent="0.15">
      <c r="J9" s="69" t="s">
        <v>247</v>
      </c>
      <c r="K9">
        <v>2358.7400000000002</v>
      </c>
      <c r="L9">
        <v>2358.1799999999998</v>
      </c>
      <c r="M9">
        <v>2356.431466353944</v>
      </c>
      <c r="N9">
        <v>2354.7787191365774</v>
      </c>
      <c r="O9">
        <v>2353.2058823478587</v>
      </c>
      <c r="P9">
        <v>2351.7623428265151</v>
      </c>
      <c r="Q9">
        <v>2350.5588836553625</v>
      </c>
      <c r="R9">
        <v>2349.4157448330066</v>
      </c>
      <c r="S9">
        <v>2348.3298961825667</v>
      </c>
      <c r="T9">
        <v>2347.298460386311</v>
      </c>
      <c r="U9">
        <v>2346.3187052153826</v>
      </c>
      <c r="V9">
        <v>2345.3880361598253</v>
      </c>
    </row>
    <row r="10" spans="10:22" x14ac:dyDescent="0.15">
      <c r="J10" s="69" t="s">
        <v>248</v>
      </c>
      <c r="K10">
        <v>4474.1000000000004</v>
      </c>
      <c r="L10">
        <v>4493.3330000000005</v>
      </c>
      <c r="M10">
        <v>4490.2708137827231</v>
      </c>
      <c r="N10">
        <v>4487.0039675147555</v>
      </c>
      <c r="O10">
        <v>4483.7527037065884</v>
      </c>
      <c r="P10">
        <v>4480.1736061541151</v>
      </c>
      <c r="Q10">
        <v>4476.5214386370499</v>
      </c>
      <c r="R10">
        <v>4473.0538498667238</v>
      </c>
      <c r="S10">
        <v>4469.761418204087</v>
      </c>
      <c r="T10">
        <v>4466.6352119646717</v>
      </c>
      <c r="U10">
        <v>4463.6667630687698</v>
      </c>
      <c r="V10">
        <v>4460.8480421913955</v>
      </c>
    </row>
    <row r="11" spans="10:22" x14ac:dyDescent="0.15">
      <c r="J11" s="69" t="s">
        <v>249</v>
      </c>
      <c r="K11">
        <v>470</v>
      </c>
      <c r="L11">
        <v>453.18000000000006</v>
      </c>
      <c r="M11">
        <v>453.28764078941953</v>
      </c>
      <c r="N11">
        <v>453.39361294055118</v>
      </c>
      <c r="O11">
        <v>453.49482747058283</v>
      </c>
      <c r="P11">
        <v>453.60373549224386</v>
      </c>
      <c r="Q11">
        <v>453.7065133730398</v>
      </c>
      <c r="R11">
        <v>453.80414629705803</v>
      </c>
      <c r="S11">
        <v>453.89689208122314</v>
      </c>
      <c r="T11">
        <v>453.98499559925187</v>
      </c>
      <c r="U11">
        <v>454.06868943347621</v>
      </c>
      <c r="V11">
        <v>454.14819449368417</v>
      </c>
    </row>
    <row r="12" spans="10:22" x14ac:dyDescent="0.15">
      <c r="J12" s="69" t="s">
        <v>250</v>
      </c>
      <c r="K12">
        <v>69.2</v>
      </c>
      <c r="L12">
        <v>69</v>
      </c>
      <c r="M12">
        <v>69.045051869653349</v>
      </c>
      <c r="N12">
        <v>69.090509686095089</v>
      </c>
      <c r="O12">
        <v>69.136253287576181</v>
      </c>
      <c r="P12">
        <v>69.182391872889568</v>
      </c>
      <c r="Q12">
        <v>69.228561249126017</v>
      </c>
      <c r="R12">
        <v>69.272467301559303</v>
      </c>
      <c r="S12">
        <v>69.314218851216225</v>
      </c>
      <c r="T12">
        <v>69.35391969375496</v>
      </c>
      <c r="U12">
        <v>69.391668811325573</v>
      </c>
      <c r="V12">
        <v>69.427560577523224</v>
      </c>
    </row>
    <row r="13" spans="10:22" x14ac:dyDescent="0.15">
      <c r="J13" s="69" t="s">
        <v>251</v>
      </c>
      <c r="K13">
        <v>50</v>
      </c>
      <c r="L13">
        <v>56</v>
      </c>
      <c r="M13">
        <v>55.968776088648596</v>
      </c>
      <c r="N13">
        <v>55.937178323473908</v>
      </c>
      <c r="O13">
        <v>55.905160359037744</v>
      </c>
      <c r="P13">
        <v>55.872707888513069</v>
      </c>
      <c r="Q13">
        <v>55.840274256370961</v>
      </c>
      <c r="R13">
        <v>55.809462129678792</v>
      </c>
      <c r="S13">
        <v>55.780190454590432</v>
      </c>
      <c r="T13">
        <v>55.752382227260583</v>
      </c>
      <c r="U13">
        <v>55.725964291689699</v>
      </c>
      <c r="V13">
        <v>55.700867147635051</v>
      </c>
    </row>
    <row r="14" spans="10:22" x14ac:dyDescent="0.15">
      <c r="J14" s="69" t="s">
        <v>252</v>
      </c>
      <c r="K14">
        <v>1033.3330000000001</v>
      </c>
      <c r="L14">
        <v>1026</v>
      </c>
      <c r="M14">
        <v>1045.4270743141219</v>
      </c>
      <c r="N14">
        <v>1065.2318695181093</v>
      </c>
      <c r="O14">
        <v>1085.4085052300641</v>
      </c>
      <c r="P14">
        <v>1105.9983390207992</v>
      </c>
      <c r="Q14">
        <v>1126.978755024119</v>
      </c>
      <c r="R14">
        <v>1148.358727181419</v>
      </c>
      <c r="S14">
        <v>1170.1458288607723</v>
      </c>
      <c r="T14">
        <v>1192.3477769965061</v>
      </c>
      <c r="U14">
        <v>1214.9724348990389</v>
      </c>
      <c r="V14">
        <v>1238.0278151099153</v>
      </c>
    </row>
    <row r="15" spans="10:22" x14ac:dyDescent="0.15">
      <c r="J15" s="69" t="s">
        <v>255</v>
      </c>
      <c r="K15">
        <v>799.32299999999998</v>
      </c>
      <c r="L15">
        <v>815.30946000000006</v>
      </c>
      <c r="M15">
        <v>846.06782803745693</v>
      </c>
      <c r="N15">
        <v>848.39452646228017</v>
      </c>
      <c r="O15">
        <v>850.68369978740634</v>
      </c>
      <c r="P15">
        <v>852.94515847296725</v>
      </c>
      <c r="Q15">
        <v>855.18361898917681</v>
      </c>
      <c r="R15">
        <v>857.52938102745691</v>
      </c>
      <c r="S15">
        <v>859.97821209640597</v>
      </c>
      <c r="T15">
        <v>862.52611465963128</v>
      </c>
      <c r="U15">
        <v>865.16931179444066</v>
      </c>
      <c r="V15">
        <v>867.90423387120734</v>
      </c>
    </row>
    <row r="16" spans="10:22" x14ac:dyDescent="0.15">
      <c r="J16" s="69" t="s">
        <v>258</v>
      </c>
      <c r="K16">
        <v>485</v>
      </c>
      <c r="L16">
        <v>495</v>
      </c>
      <c r="M16">
        <v>495.92136973886528</v>
      </c>
      <c r="N16">
        <v>496.85601826116391</v>
      </c>
      <c r="O16">
        <v>497.80214200344619</v>
      </c>
      <c r="P16">
        <v>498.76942887264079</v>
      </c>
      <c r="Q16">
        <v>499.73011929615313</v>
      </c>
      <c r="R16">
        <v>500.6446510398581</v>
      </c>
      <c r="S16">
        <v>501.51515286104456</v>
      </c>
      <c r="T16">
        <v>502.34366402606992</v>
      </c>
      <c r="U16">
        <v>503.13213720577625</v>
      </c>
      <c r="V16">
        <v>503.88244136990994</v>
      </c>
    </row>
    <row r="17" spans="10:22" x14ac:dyDescent="0.15">
      <c r="J17" s="69" t="s">
        <v>261</v>
      </c>
      <c r="K17">
        <v>283.83000000000004</v>
      </c>
      <c r="L17">
        <v>297.92</v>
      </c>
      <c r="M17">
        <v>297.57697311624696</v>
      </c>
      <c r="N17">
        <v>297.23468734107894</v>
      </c>
      <c r="O17">
        <v>296.89295624269937</v>
      </c>
      <c r="P17">
        <v>296.55448594177949</v>
      </c>
      <c r="Q17">
        <v>296.21673283182633</v>
      </c>
      <c r="R17">
        <v>295.8883528525289</v>
      </c>
      <c r="S17">
        <v>295.56899491195139</v>
      </c>
      <c r="T17">
        <v>295.25839479071726</v>
      </c>
      <c r="U17">
        <v>294.95620061646963</v>
      </c>
      <c r="V17">
        <v>294.6621125036072</v>
      </c>
    </row>
    <row r="18" spans="10:22" x14ac:dyDescent="0.15">
      <c r="J18" s="69" t="s">
        <v>263</v>
      </c>
      <c r="K18">
        <v>109.5</v>
      </c>
      <c r="L18">
        <v>118.9</v>
      </c>
      <c r="M18">
        <v>119.23689651211993</v>
      </c>
      <c r="N18">
        <v>119.57242434897609</v>
      </c>
      <c r="O18">
        <v>119.90551903527127</v>
      </c>
      <c r="P18">
        <v>120.23420531671476</v>
      </c>
      <c r="Q18">
        <v>120.5632262209033</v>
      </c>
      <c r="R18">
        <v>120.89001735405576</v>
      </c>
      <c r="S18">
        <v>121.2145032710977</v>
      </c>
      <c r="T18">
        <v>121.53649097991294</v>
      </c>
      <c r="U18">
        <v>121.85596895836656</v>
      </c>
      <c r="V18">
        <v>122.17286574881594</v>
      </c>
    </row>
    <row r="19" spans="10:22" x14ac:dyDescent="0.15">
      <c r="J19" s="69" t="s">
        <v>264</v>
      </c>
      <c r="K19">
        <v>16.7</v>
      </c>
      <c r="L19">
        <v>21.700000000000003</v>
      </c>
      <c r="M19">
        <v>21.730443250118601</v>
      </c>
      <c r="N19">
        <v>21.760428650597845</v>
      </c>
      <c r="O19">
        <v>21.789736268801899</v>
      </c>
      <c r="P19">
        <v>21.817975563119713</v>
      </c>
      <c r="Q19">
        <v>21.846256342341835</v>
      </c>
      <c r="R19">
        <v>21.87305816350808</v>
      </c>
      <c r="S19">
        <v>21.898451572906065</v>
      </c>
      <c r="T19">
        <v>21.922505124735938</v>
      </c>
      <c r="U19">
        <v>21.94528291119515</v>
      </c>
      <c r="V19">
        <v>21.966846743321966</v>
      </c>
    </row>
    <row r="20" spans="10:22" x14ac:dyDescent="0.15">
      <c r="J20" s="69" t="s">
        <v>265</v>
      </c>
      <c r="K20">
        <v>1200</v>
      </c>
      <c r="L20">
        <v>1066.6670000000001</v>
      </c>
      <c r="M20">
        <v>1066.2013555715678</v>
      </c>
      <c r="N20">
        <v>1065.7209049920802</v>
      </c>
      <c r="O20">
        <v>1065.2261287218121</v>
      </c>
      <c r="P20">
        <v>1064.7192483370525</v>
      </c>
      <c r="Q20">
        <v>1064.2137994798497</v>
      </c>
      <c r="R20">
        <v>1063.7058287127734</v>
      </c>
      <c r="S20">
        <v>1063.1959120496829</v>
      </c>
      <c r="T20">
        <v>1062.6848453963273</v>
      </c>
      <c r="U20">
        <v>1062.1730213768892</v>
      </c>
      <c r="V20">
        <v>1061.6609358277137</v>
      </c>
    </row>
    <row r="21" spans="10:22" x14ac:dyDescent="0.15">
      <c r="J21" s="69" t="s">
        <v>266</v>
      </c>
      <c r="K21">
        <v>2338.6349999999998</v>
      </c>
      <c r="L21">
        <v>2339.1494997000004</v>
      </c>
      <c r="M21">
        <v>2339.4334771354547</v>
      </c>
      <c r="N21">
        <v>2339.7035285443758</v>
      </c>
      <c r="O21">
        <v>2339.9564607037928</v>
      </c>
      <c r="P21">
        <v>2340.2288296562997</v>
      </c>
      <c r="Q21">
        <v>2340.4620569682797</v>
      </c>
      <c r="R21">
        <v>2340.5543296959495</v>
      </c>
      <c r="S21">
        <v>2340.512860634044</v>
      </c>
      <c r="T21">
        <v>2340.3446353212612</v>
      </c>
      <c r="U21">
        <v>2340.0561511216865</v>
      </c>
      <c r="V21">
        <v>2339.6536532275627</v>
      </c>
    </row>
    <row r="22" spans="10:22" x14ac:dyDescent="0.15">
      <c r="J22" s="69" t="s">
        <v>274</v>
      </c>
      <c r="K22">
        <v>1045.8370000000002</v>
      </c>
      <c r="L22">
        <v>1037.1670000000001</v>
      </c>
      <c r="M22">
        <v>1036.4679511604568</v>
      </c>
      <c r="N22">
        <v>1035.8290908467482</v>
      </c>
      <c r="O22">
        <v>1035.2601306926031</v>
      </c>
      <c r="P22">
        <v>1034.7750503312207</v>
      </c>
      <c r="Q22">
        <v>1034.2913541216499</v>
      </c>
      <c r="R22">
        <v>1033.8048271280149</v>
      </c>
      <c r="S22">
        <v>1033.3160478848727</v>
      </c>
      <c r="T22">
        <v>1032.8258077531689</v>
      </c>
      <c r="U22">
        <v>1032.3345052968339</v>
      </c>
      <c r="V22">
        <v>1031.8426385780879</v>
      </c>
    </row>
  </sheetData>
  <phoneticPr fontId="1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J6:BJ22"/>
  <sheetViews>
    <sheetView topLeftCell="J4" workbookViewId="0">
      <pane xSplit="1" ySplit="4" topLeftCell="BA8" activePane="bottomRight" state="frozen"/>
      <selection pane="topRight"/>
      <selection pane="bottomLeft"/>
      <selection pane="bottomRight" activeCell="BJ4" sqref="BJ1:BJ1048576"/>
    </sheetView>
  </sheetViews>
  <sheetFormatPr defaultColWidth="9" defaultRowHeight="13.5" x14ac:dyDescent="0.15"/>
  <cols>
    <col min="56" max="61" width="9" style="4"/>
    <col min="62" max="62" width="12.625" style="7" customWidth="1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7.1546769906470518</v>
      </c>
      <c r="L8">
        <v>7.2052791584230071</v>
      </c>
      <c r="M8">
        <v>7.2299165859237702</v>
      </c>
      <c r="N8">
        <v>7.2547175187930302</v>
      </c>
      <c r="O8">
        <v>7.2797222803711659</v>
      </c>
      <c r="P8">
        <v>7.3048593907675325</v>
      </c>
      <c r="Q8">
        <v>7.3301534001438231</v>
      </c>
      <c r="R8">
        <v>7.3556305214415012</v>
      </c>
      <c r="S8">
        <v>7.3813127447788602</v>
      </c>
      <c r="T8">
        <v>7.4072362244496857</v>
      </c>
      <c r="U8">
        <v>7.4334142372032899</v>
      </c>
      <c r="V8">
        <v>7.4598671140871984</v>
      </c>
    </row>
    <row r="9" spans="10:22" x14ac:dyDescent="0.15">
      <c r="J9" s="69" t="s">
        <v>247</v>
      </c>
      <c r="K9">
        <v>5.9395694311369622</v>
      </c>
      <c r="L9">
        <v>5.9398349574672</v>
      </c>
      <c r="M9">
        <v>5.951904939126214</v>
      </c>
      <c r="N9">
        <v>5.9641764213728177</v>
      </c>
      <c r="O9">
        <v>5.9767694495177874</v>
      </c>
      <c r="P9">
        <v>5.9899426913098983</v>
      </c>
      <c r="Q9">
        <v>6.0037819173806541</v>
      </c>
      <c r="R9">
        <v>6.0179772295089355</v>
      </c>
      <c r="S9">
        <v>6.0325980643468746</v>
      </c>
      <c r="T9">
        <v>6.0477598911170229</v>
      </c>
      <c r="U9">
        <v>6.0635031714623402</v>
      </c>
      <c r="V9">
        <v>6.0798913331518412</v>
      </c>
    </row>
    <row r="10" spans="10:22" x14ac:dyDescent="0.15">
      <c r="J10" s="69" t="s">
        <v>248</v>
      </c>
      <c r="K10">
        <v>6.5917167698531545</v>
      </c>
      <c r="L10">
        <v>6.7040435240388359</v>
      </c>
      <c r="M10">
        <v>6.7432995453814017</v>
      </c>
      <c r="N10">
        <v>6.7827815128857569</v>
      </c>
      <c r="O10">
        <v>6.8227983665838776</v>
      </c>
      <c r="P10">
        <v>6.863224805376376</v>
      </c>
      <c r="Q10">
        <v>6.9041548784208251</v>
      </c>
      <c r="R10">
        <v>6.9456451709357925</v>
      </c>
      <c r="S10">
        <v>6.9877834358481472</v>
      </c>
      <c r="T10">
        <v>7.0307120368551583</v>
      </c>
      <c r="U10">
        <v>7.0744877037029372</v>
      </c>
      <c r="V10">
        <v>7.1191946887947175</v>
      </c>
    </row>
    <row r="11" spans="10:22" x14ac:dyDescent="0.15">
      <c r="J11" s="69" t="s">
        <v>249</v>
      </c>
      <c r="K11">
        <v>20.212765957446809</v>
      </c>
      <c r="L11">
        <v>21.733836444679817</v>
      </c>
      <c r="M11">
        <v>21.761638808934695</v>
      </c>
      <c r="N11">
        <v>21.789747722005252</v>
      </c>
      <c r="O11">
        <v>21.81857172063981</v>
      </c>
      <c r="P11">
        <v>21.848994231206646</v>
      </c>
      <c r="Q11">
        <v>21.88029613195846</v>
      </c>
      <c r="R11">
        <v>21.912149571299668</v>
      </c>
      <c r="S11">
        <v>21.944834442667997</v>
      </c>
      <c r="T11">
        <v>21.978795325097646</v>
      </c>
      <c r="U11">
        <v>22.014201223068561</v>
      </c>
      <c r="V11">
        <v>22.05130227135917</v>
      </c>
    </row>
    <row r="12" spans="10:22" x14ac:dyDescent="0.15">
      <c r="J12" s="69" t="s">
        <v>250</v>
      </c>
      <c r="K12">
        <v>4.5578034682080917</v>
      </c>
      <c r="L12">
        <v>4.63768115942029</v>
      </c>
      <c r="M12">
        <v>4.6362447424336679</v>
      </c>
      <c r="N12">
        <v>4.6348690578922049</v>
      </c>
      <c r="O12">
        <v>4.6336260392603847</v>
      </c>
      <c r="P12">
        <v>4.6326688559838951</v>
      </c>
      <c r="Q12">
        <v>4.6318890506771853</v>
      </c>
      <c r="R12">
        <v>4.6308965539186024</v>
      </c>
      <c r="S12">
        <v>4.6297658842278278</v>
      </c>
      <c r="T12">
        <v>4.628605049616791</v>
      </c>
      <c r="U12">
        <v>4.6274626808042703</v>
      </c>
      <c r="V12">
        <v>4.6264034057857657</v>
      </c>
    </row>
    <row r="13" spans="10:22" x14ac:dyDescent="0.15">
      <c r="J13" s="69" t="s">
        <v>251</v>
      </c>
      <c r="K13">
        <v>4</v>
      </c>
      <c r="L13">
        <v>4.1071428571428568</v>
      </c>
      <c r="M13">
        <v>4.1034403321176454</v>
      </c>
      <c r="N13">
        <v>4.099773884801686</v>
      </c>
      <c r="O13">
        <v>4.0962082316056021</v>
      </c>
      <c r="P13">
        <v>4.092883035544995</v>
      </c>
      <c r="Q13">
        <v>4.0897169797249635</v>
      </c>
      <c r="R13">
        <v>4.0864883550778819</v>
      </c>
      <c r="S13">
        <v>4.0832568718863174</v>
      </c>
      <c r="T13">
        <v>4.0801119151777616</v>
      </c>
      <c r="U13">
        <v>4.077090653446275</v>
      </c>
      <c r="V13">
        <v>4.0742445495038373</v>
      </c>
    </row>
    <row r="14" spans="10:22" x14ac:dyDescent="0.15">
      <c r="J14" s="69" t="s">
        <v>252</v>
      </c>
      <c r="K14">
        <v>1.9983877414154003</v>
      </c>
      <c r="L14">
        <v>2.0380116959064329</v>
      </c>
      <c r="M14">
        <v>2.1119201738191364</v>
      </c>
      <c r="N14">
        <v>2.1885377360276368</v>
      </c>
      <c r="O14">
        <v>2.2680086230241989</v>
      </c>
      <c r="P14">
        <v>2.350537193646443</v>
      </c>
      <c r="Q14">
        <v>2.4361620125365748</v>
      </c>
      <c r="R14">
        <v>2.4763931116589903</v>
      </c>
      <c r="S14">
        <v>2.5173649123249513</v>
      </c>
      <c r="T14">
        <v>2.5591442175993531</v>
      </c>
      <c r="U14">
        <v>2.6017686603192565</v>
      </c>
      <c r="V14">
        <v>2.6452871688188222</v>
      </c>
    </row>
    <row r="15" spans="10:22" x14ac:dyDescent="0.15">
      <c r="J15" s="69" t="s">
        <v>255</v>
      </c>
      <c r="K15">
        <v>2.1103984246668746</v>
      </c>
      <c r="L15">
        <v>2.1310886053008629</v>
      </c>
      <c r="M15">
        <v>2.152100149819689</v>
      </c>
      <c r="N15">
        <v>2.1732800926723255</v>
      </c>
      <c r="O15">
        <v>2.1946760549148876</v>
      </c>
      <c r="P15">
        <v>2.2163882803535948</v>
      </c>
      <c r="Q15">
        <v>2.2384009316619511</v>
      </c>
      <c r="R15">
        <v>2.2608485427527469</v>
      </c>
      <c r="S15">
        <v>2.2837603820760521</v>
      </c>
      <c r="T15">
        <v>2.3071843033319825</v>
      </c>
      <c r="U15">
        <v>2.3311409116941078</v>
      </c>
      <c r="V15">
        <v>2.3556604360515587</v>
      </c>
    </row>
    <row r="16" spans="10:22" x14ac:dyDescent="0.15">
      <c r="J16" s="69" t="s">
        <v>258</v>
      </c>
      <c r="K16">
        <v>3.9175257731958761</v>
      </c>
      <c r="L16">
        <v>3.85</v>
      </c>
      <c r="M16">
        <v>3.8687536115997174</v>
      </c>
      <c r="N16">
        <v>3.887688151168875</v>
      </c>
      <c r="O16">
        <v>3.9068868497425226</v>
      </c>
      <c r="P16">
        <v>3.926521375668016</v>
      </c>
      <c r="Q16">
        <v>3.9464055361909578</v>
      </c>
      <c r="R16">
        <v>3.9662581387263693</v>
      </c>
      <c r="S16">
        <v>3.9861392661383923</v>
      </c>
      <c r="T16">
        <v>4.006139378581282</v>
      </c>
      <c r="U16">
        <v>4.0262992984025052</v>
      </c>
      <c r="V16">
        <v>4.0466748057338897</v>
      </c>
    </row>
    <row r="17" spans="10:22" x14ac:dyDescent="0.15">
      <c r="J17" s="69" t="s">
        <v>261</v>
      </c>
      <c r="K17">
        <v>2.1717225099531405</v>
      </c>
      <c r="L17">
        <v>2.2291219119226637</v>
      </c>
      <c r="M17">
        <v>2.2301311390191092</v>
      </c>
      <c r="N17">
        <v>2.2311851470752653</v>
      </c>
      <c r="O17">
        <v>2.2323204085977744</v>
      </c>
      <c r="P17">
        <v>2.2336088156243838</v>
      </c>
      <c r="Q17">
        <v>2.234983459445171</v>
      </c>
      <c r="R17">
        <v>2.2362798926523051</v>
      </c>
      <c r="S17">
        <v>2.2375327596354806</v>
      </c>
      <c r="T17">
        <v>2.2387930684409292</v>
      </c>
      <c r="U17">
        <v>2.2400833034878143</v>
      </c>
      <c r="V17">
        <v>2.2414338267249034</v>
      </c>
    </row>
    <row r="18" spans="10:22" x14ac:dyDescent="0.15">
      <c r="J18" s="69" t="s">
        <v>263</v>
      </c>
      <c r="K18">
        <v>8.0547945205479454</v>
      </c>
      <c r="L18">
        <v>8.0740117746005051</v>
      </c>
      <c r="M18">
        <v>8.0799163057664778</v>
      </c>
      <c r="N18">
        <v>8.0858420516821479</v>
      </c>
      <c r="O18">
        <v>8.0918540556500727</v>
      </c>
      <c r="P18">
        <v>8.098095865940703</v>
      </c>
      <c r="Q18">
        <v>8.1046162518649432</v>
      </c>
      <c r="R18">
        <v>8.1104214599489488</v>
      </c>
      <c r="S18">
        <v>8.1156442037567409</v>
      </c>
      <c r="T18">
        <v>8.1204687434527916</v>
      </c>
      <c r="U18">
        <v>8.1249870874981482</v>
      </c>
      <c r="V18">
        <v>8.1293155566142001</v>
      </c>
    </row>
    <row r="19" spans="10:22" x14ac:dyDescent="0.15">
      <c r="J19" s="69" t="s">
        <v>264</v>
      </c>
      <c r="K19">
        <v>6.8263473053892216</v>
      </c>
      <c r="L19">
        <v>7.1889400921658977</v>
      </c>
      <c r="M19">
        <v>7.1816703065486642</v>
      </c>
      <c r="N19">
        <v>7.1744037257521001</v>
      </c>
      <c r="O19">
        <v>7.1671971544080222</v>
      </c>
      <c r="P19">
        <v>7.1601788234659951</v>
      </c>
      <c r="Q19">
        <v>7.1534410003920907</v>
      </c>
      <c r="R19">
        <v>7.14594863349161</v>
      </c>
      <c r="S19">
        <v>7.1378398801859815</v>
      </c>
      <c r="T19">
        <v>7.1293031279908989</v>
      </c>
      <c r="U19">
        <v>7.120433811594217</v>
      </c>
      <c r="V19">
        <v>7.1113507038241801</v>
      </c>
    </row>
    <row r="20" spans="10:22" x14ac:dyDescent="0.15">
      <c r="J20" s="69" t="s">
        <v>265</v>
      </c>
      <c r="K20">
        <v>28.75</v>
      </c>
      <c r="L20">
        <v>29.999990625002926</v>
      </c>
      <c r="M20">
        <v>30.031369708948169</v>
      </c>
      <c r="N20">
        <v>30.062970842865248</v>
      </c>
      <c r="O20">
        <v>30.095140003857495</v>
      </c>
      <c r="P20">
        <v>30.128599760015796</v>
      </c>
      <c r="Q20">
        <v>30.162962072036574</v>
      </c>
      <c r="R20">
        <v>30.195922512871086</v>
      </c>
      <c r="S20">
        <v>30.227860282906246</v>
      </c>
      <c r="T20">
        <v>30.259319863371886</v>
      </c>
      <c r="U20">
        <v>30.290556164639298</v>
      </c>
      <c r="V20">
        <v>30.321903173424268</v>
      </c>
    </row>
    <row r="21" spans="10:22" x14ac:dyDescent="0.15">
      <c r="J21" s="69" t="s">
        <v>266</v>
      </c>
      <c r="K21">
        <v>36.822325843921774</v>
      </c>
      <c r="L21">
        <v>36.851040940758722</v>
      </c>
      <c r="M21">
        <v>36.931776347329674</v>
      </c>
      <c r="N21">
        <v>37.013469154678766</v>
      </c>
      <c r="O21">
        <v>37.097308701496658</v>
      </c>
      <c r="P21">
        <v>37.185685580178976</v>
      </c>
      <c r="Q21">
        <v>37.276768324558795</v>
      </c>
      <c r="R21">
        <v>37.367358510184992</v>
      </c>
      <c r="S21">
        <v>37.458391512083757</v>
      </c>
      <c r="T21">
        <v>37.551293611218718</v>
      </c>
      <c r="U21">
        <v>37.646666747864387</v>
      </c>
      <c r="V21">
        <v>37.745353361295585</v>
      </c>
    </row>
    <row r="22" spans="10:22" x14ac:dyDescent="0.15">
      <c r="J22" s="69" t="s">
        <v>274</v>
      </c>
      <c r="K22">
        <v>3.6470310382975542</v>
      </c>
      <c r="L22">
        <v>3.6755893698893227</v>
      </c>
      <c r="M22">
        <v>3.6847783433140457</v>
      </c>
      <c r="N22">
        <v>3.6939902891723309</v>
      </c>
      <c r="O22">
        <v>3.7032252648952615</v>
      </c>
      <c r="P22">
        <v>3.7124833280574996</v>
      </c>
      <c r="Q22">
        <v>3.721764536377643</v>
      </c>
      <c r="R22">
        <v>3.7310689477185868</v>
      </c>
      <c r="S22">
        <v>3.7403966200878829</v>
      </c>
      <c r="T22">
        <v>3.7497476116381026</v>
      </c>
      <c r="U22">
        <v>3.7591219806671976</v>
      </c>
      <c r="V22">
        <v>3.7685197856188655</v>
      </c>
    </row>
  </sheetData>
  <phoneticPr fontId="1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J6:BL31"/>
  <sheetViews>
    <sheetView topLeftCell="I1" workbookViewId="0">
      <pane xSplit="2" ySplit="7" topLeftCell="AR8" activePane="bottomRight" state="frozen"/>
      <selection pane="topRight"/>
      <selection pane="bottomLeft"/>
      <selection pane="bottomRight" activeCell="BA8" sqref="BA8"/>
    </sheetView>
  </sheetViews>
  <sheetFormatPr defaultColWidth="9" defaultRowHeight="13.5" x14ac:dyDescent="0.15"/>
  <cols>
    <col min="47" max="55" width="9" style="4"/>
    <col min="56" max="61" width="9" style="9"/>
    <col min="62" max="62" width="12.625" style="10" customWidth="1"/>
    <col min="63" max="64" width="9" style="9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78.569999999999993</v>
      </c>
      <c r="L8">
        <v>202.85999999999999</v>
      </c>
      <c r="M8">
        <v>340.36180341047896</v>
      </c>
      <c r="N8">
        <v>319.05858828935743</v>
      </c>
      <c r="O8">
        <v>260.84718636524985</v>
      </c>
      <c r="P8">
        <v>210.91325196209155</v>
      </c>
      <c r="Q8">
        <v>169.13117803214305</v>
      </c>
      <c r="R8">
        <v>133.31876898270639</v>
      </c>
      <c r="S8">
        <v>110.5182011073266</v>
      </c>
      <c r="T8">
        <v>94.028241036845316</v>
      </c>
      <c r="U8">
        <v>83.551563170320151</v>
      </c>
      <c r="V8">
        <v>79.582612086629524</v>
      </c>
    </row>
    <row r="9" spans="10:22" x14ac:dyDescent="0.15">
      <c r="J9" s="69" t="s">
        <v>247</v>
      </c>
      <c r="K9">
        <v>1106.26</v>
      </c>
      <c r="L9">
        <v>384.72</v>
      </c>
      <c r="M9">
        <v>328.9893474632745</v>
      </c>
      <c r="N9">
        <v>280.08297372747256</v>
      </c>
      <c r="O9">
        <v>237.12298487213999</v>
      </c>
      <c r="P9">
        <v>197.44436259927556</v>
      </c>
      <c r="Q9">
        <v>158.87565494022857</v>
      </c>
      <c r="R9">
        <v>122.99004162630813</v>
      </c>
      <c r="S9">
        <v>93.675423665367148</v>
      </c>
      <c r="T9">
        <v>66.894265548984748</v>
      </c>
      <c r="U9">
        <v>42.440768681945237</v>
      </c>
      <c r="V9">
        <v>20.496203848037112</v>
      </c>
    </row>
    <row r="10" spans="10:22" x14ac:dyDescent="0.15">
      <c r="J10" s="69" t="s">
        <v>248</v>
      </c>
      <c r="K10">
        <v>1363</v>
      </c>
      <c r="L10">
        <v>264.31</v>
      </c>
      <c r="M10">
        <v>266.04515475159644</v>
      </c>
      <c r="N10">
        <v>499.47184955583526</v>
      </c>
      <c r="O10">
        <v>523.23146708706361</v>
      </c>
      <c r="P10">
        <v>512.93296848781722</v>
      </c>
      <c r="Q10">
        <v>485.92461740693523</v>
      </c>
      <c r="R10">
        <v>445.71011663459262</v>
      </c>
      <c r="S10">
        <v>398.07683579243826</v>
      </c>
      <c r="T10">
        <v>343.63681249901947</v>
      </c>
      <c r="U10">
        <v>281.86043297858981</v>
      </c>
      <c r="V10">
        <v>212.60599854184647</v>
      </c>
    </row>
    <row r="11" spans="10:22" x14ac:dyDescent="0.15">
      <c r="J11" s="69" t="s">
        <v>250</v>
      </c>
      <c r="K11">
        <v>865.35725400000001</v>
      </c>
      <c r="L11">
        <v>454.13295199999999</v>
      </c>
      <c r="M11">
        <v>454.94280758995393</v>
      </c>
      <c r="N11">
        <v>455.04129272264521</v>
      </c>
      <c r="O11">
        <v>455.40871347083021</v>
      </c>
      <c r="P11">
        <v>455.79610026090103</v>
      </c>
      <c r="Q11">
        <v>456.06737104465117</v>
      </c>
      <c r="R11">
        <v>456.25990894068491</v>
      </c>
      <c r="S11">
        <v>456.64389998913276</v>
      </c>
      <c r="T11">
        <v>456.96276254483979</v>
      </c>
      <c r="U11">
        <v>457.20782372779883</v>
      </c>
      <c r="V11">
        <v>457.37815518869854</v>
      </c>
    </row>
    <row r="12" spans="10:22" x14ac:dyDescent="0.15">
      <c r="J12" s="69" t="s">
        <v>251</v>
      </c>
      <c r="K12">
        <v>1424</v>
      </c>
      <c r="L12">
        <v>1050</v>
      </c>
      <c r="M12">
        <v>1055.7829624965068</v>
      </c>
      <c r="N12">
        <v>1060.6803218181958</v>
      </c>
      <c r="O12">
        <v>1066.021321135177</v>
      </c>
      <c r="P12">
        <v>1071.4952830408618</v>
      </c>
      <c r="Q12">
        <v>1076.90816191675</v>
      </c>
      <c r="R12">
        <v>1082.2360523957311</v>
      </c>
      <c r="S12">
        <v>1087.5696232112227</v>
      </c>
      <c r="T12">
        <v>1092.8583656006017</v>
      </c>
      <c r="U12">
        <v>1098.0791787742901</v>
      </c>
      <c r="V12">
        <v>1103.224650670797</v>
      </c>
    </row>
    <row r="13" spans="10:22" x14ac:dyDescent="0.15">
      <c r="J13" s="69" t="s">
        <v>252</v>
      </c>
      <c r="K13">
        <v>10497</v>
      </c>
      <c r="L13">
        <v>11176.199999999999</v>
      </c>
      <c r="M13">
        <v>10687.717471054339</v>
      </c>
      <c r="N13">
        <v>10467.937990795974</v>
      </c>
      <c r="O13">
        <v>10306.68679665838</v>
      </c>
      <c r="P13">
        <v>10174.889354808618</v>
      </c>
      <c r="Q13">
        <v>10049.851546427866</v>
      </c>
      <c r="R13">
        <v>9974.6286892955177</v>
      </c>
      <c r="S13">
        <v>9905.8241119036975</v>
      </c>
      <c r="T13">
        <v>9839.7828603004345</v>
      </c>
      <c r="U13">
        <v>9774.7808284098064</v>
      </c>
      <c r="V13">
        <v>9709.5755189153533</v>
      </c>
    </row>
    <row r="14" spans="10:22" x14ac:dyDescent="0.15">
      <c r="J14" s="69" t="s">
        <v>253</v>
      </c>
      <c r="K14">
        <v>27</v>
      </c>
    </row>
    <row r="15" spans="10:22" x14ac:dyDescent="0.15">
      <c r="J15" s="69" t="s">
        <v>254</v>
      </c>
      <c r="M15">
        <v>118.53972235768015</v>
      </c>
      <c r="N15">
        <v>118.46214234894887</v>
      </c>
      <c r="O15">
        <v>119.00626218650723</v>
      </c>
      <c r="P15">
        <v>119.84940106637987</v>
      </c>
      <c r="Q15">
        <v>120.69645694582687</v>
      </c>
      <c r="R15">
        <v>121.55422501464363</v>
      </c>
      <c r="S15">
        <v>122.43257845746757</v>
      </c>
      <c r="T15">
        <v>123.33060796488007</v>
      </c>
      <c r="U15">
        <v>124.24799253399851</v>
      </c>
      <c r="V15">
        <v>125.18424177077759</v>
      </c>
    </row>
    <row r="16" spans="10:22" x14ac:dyDescent="0.15">
      <c r="J16" s="69" t="s">
        <v>255</v>
      </c>
      <c r="K16">
        <v>638.55999999999995</v>
      </c>
      <c r="L16">
        <v>250.33</v>
      </c>
      <c r="M16">
        <v>317.86730494982589</v>
      </c>
      <c r="N16">
        <v>294.83123275278462</v>
      </c>
      <c r="O16">
        <v>275.00700625341256</v>
      </c>
      <c r="P16">
        <v>256.46108499043282</v>
      </c>
      <c r="Q16">
        <v>237.6670701603976</v>
      </c>
      <c r="R16">
        <v>218.30386114222702</v>
      </c>
      <c r="S16">
        <v>198.44975434280124</v>
      </c>
      <c r="T16">
        <v>178.0495249373916</v>
      </c>
      <c r="U16">
        <v>157.07828489028086</v>
      </c>
      <c r="V16">
        <v>135.5000627167567</v>
      </c>
    </row>
    <row r="17" spans="10:22" x14ac:dyDescent="0.15">
      <c r="J17" s="69" t="s">
        <v>256</v>
      </c>
      <c r="K17">
        <v>173</v>
      </c>
      <c r="L17">
        <v>208.56</v>
      </c>
      <c r="M17">
        <v>188.68415508493277</v>
      </c>
      <c r="N17">
        <v>188.52823551698989</v>
      </c>
      <c r="O17">
        <v>188.38071009143016</v>
      </c>
      <c r="P17">
        <v>188.24287850010094</v>
      </c>
      <c r="Q17">
        <v>188.11320339113411</v>
      </c>
      <c r="R17">
        <v>187.99821414705633</v>
      </c>
      <c r="S17">
        <v>187.87821298725424</v>
      </c>
      <c r="T17">
        <v>187.77014363645281</v>
      </c>
      <c r="U17">
        <v>187.67393688716345</v>
      </c>
      <c r="V17">
        <v>187.58924297692218</v>
      </c>
    </row>
    <row r="18" spans="10:22" x14ac:dyDescent="0.15">
      <c r="J18" s="69" t="s">
        <v>257</v>
      </c>
      <c r="K18">
        <v>299</v>
      </c>
      <c r="L18">
        <v>276.72000000000003</v>
      </c>
      <c r="M18">
        <v>194.37820610751385</v>
      </c>
      <c r="N18">
        <v>194.38451888395991</v>
      </c>
      <c r="O18">
        <v>194.25900209296515</v>
      </c>
      <c r="P18">
        <v>194.07229496761602</v>
      </c>
      <c r="Q18">
        <v>193.88349350479189</v>
      </c>
      <c r="R18">
        <v>193.68921642022841</v>
      </c>
      <c r="S18">
        <v>193.48544529147085</v>
      </c>
      <c r="T18">
        <v>193.27267750847784</v>
      </c>
      <c r="U18">
        <v>193.05110937221525</v>
      </c>
      <c r="V18">
        <v>192.8210192276473</v>
      </c>
    </row>
    <row r="19" spans="10:22" x14ac:dyDescent="0.15">
      <c r="J19" s="69" t="s">
        <v>258</v>
      </c>
      <c r="K19">
        <v>61.49</v>
      </c>
      <c r="L19">
        <v>5.1899999999999977</v>
      </c>
    </row>
    <row r="20" spans="10:22" x14ac:dyDescent="0.15">
      <c r="J20" s="69" t="s">
        <v>259</v>
      </c>
      <c r="K20">
        <v>24.45</v>
      </c>
      <c r="L20">
        <v>39.089999999999996</v>
      </c>
      <c r="M20">
        <v>38.165906733518796</v>
      </c>
      <c r="N20">
        <v>38.155011482850718</v>
      </c>
      <c r="O20">
        <v>38.145264185532739</v>
      </c>
      <c r="P20">
        <v>38.136627362312147</v>
      </c>
      <c r="Q20">
        <v>38.128877736370441</v>
      </c>
      <c r="R20">
        <v>38.122143809782976</v>
      </c>
      <c r="S20">
        <v>38.115318452499558</v>
      </c>
      <c r="T20">
        <v>38.109205255400767</v>
      </c>
      <c r="U20">
        <v>38.103808232621596</v>
      </c>
      <c r="V20">
        <v>38.09908281673944</v>
      </c>
    </row>
    <row r="21" spans="10:22" x14ac:dyDescent="0.15">
      <c r="J21" s="69" t="s">
        <v>260</v>
      </c>
      <c r="K21">
        <v>3.3</v>
      </c>
    </row>
    <row r="22" spans="10:22" x14ac:dyDescent="0.15">
      <c r="J22" s="69" t="s">
        <v>261</v>
      </c>
      <c r="K22">
        <v>260.8</v>
      </c>
      <c r="L22">
        <v>104</v>
      </c>
      <c r="M22">
        <v>135.8102745358425</v>
      </c>
      <c r="N22">
        <v>140.96445965319592</v>
      </c>
      <c r="O22">
        <v>145.96973145341332</v>
      </c>
      <c r="P22">
        <v>150.80125715444558</v>
      </c>
      <c r="Q22">
        <v>155.54357523565221</v>
      </c>
      <c r="R22">
        <v>160.19216151717907</v>
      </c>
      <c r="S22">
        <v>164.79045168250698</v>
      </c>
      <c r="T22">
        <v>169.30296761838059</v>
      </c>
      <c r="U22">
        <v>173.70387194508294</v>
      </c>
      <c r="V22">
        <v>177.98102594392887</v>
      </c>
    </row>
    <row r="23" spans="10:22" x14ac:dyDescent="0.15">
      <c r="J23" s="69" t="s">
        <v>262</v>
      </c>
      <c r="K23">
        <v>460</v>
      </c>
      <c r="L23">
        <v>446</v>
      </c>
      <c r="M23">
        <v>452.72873441829893</v>
      </c>
      <c r="N23">
        <v>458.90657160211185</v>
      </c>
      <c r="O23">
        <v>464.46544323364196</v>
      </c>
      <c r="P23">
        <v>469.43814363605361</v>
      </c>
      <c r="Q23">
        <v>473.92233383305802</v>
      </c>
      <c r="R23">
        <v>477.9894420901735</v>
      </c>
      <c r="S23">
        <v>482.14919219140938</v>
      </c>
      <c r="T23">
        <v>485.99464982440236</v>
      </c>
      <c r="U23">
        <v>489.48767315750251</v>
      </c>
      <c r="V23">
        <v>492.63317822398722</v>
      </c>
    </row>
    <row r="24" spans="10:22" x14ac:dyDescent="0.15">
      <c r="J24" s="69" t="s">
        <v>265</v>
      </c>
      <c r="K24">
        <v>109.86000000000001</v>
      </c>
      <c r="L24">
        <v>330.81000000000006</v>
      </c>
      <c r="M24">
        <v>372.87660754553116</v>
      </c>
      <c r="N24">
        <v>402.53214582400062</v>
      </c>
      <c r="O24">
        <v>418.15205275211099</v>
      </c>
      <c r="P24">
        <v>419.89348198644569</v>
      </c>
      <c r="Q24">
        <v>408.79999309226088</v>
      </c>
      <c r="R24">
        <v>387.38134223250864</v>
      </c>
      <c r="S24">
        <v>367.8406240795527</v>
      </c>
      <c r="T24">
        <v>339.12019250801927</v>
      </c>
      <c r="U24">
        <v>301.3726239415181</v>
      </c>
      <c r="V24">
        <v>255.17759728368941</v>
      </c>
    </row>
    <row r="25" spans="10:22" x14ac:dyDescent="0.15">
      <c r="J25" s="69" t="s">
        <v>267</v>
      </c>
      <c r="K25">
        <v>104.54</v>
      </c>
      <c r="L25">
        <v>93.039999999999992</v>
      </c>
      <c r="M25">
        <v>87.233061594946776</v>
      </c>
      <c r="N25">
        <v>89.825841083493515</v>
      </c>
      <c r="O25">
        <v>91.970601737581305</v>
      </c>
      <c r="P25">
        <v>93.488393925196121</v>
      </c>
      <c r="Q25">
        <v>93.983485440471298</v>
      </c>
      <c r="R25">
        <v>95.624750063729437</v>
      </c>
      <c r="S25">
        <v>99.006689345920265</v>
      </c>
      <c r="T25">
        <v>101.47801608916822</v>
      </c>
      <c r="U25">
        <v>103.0269874716071</v>
      </c>
      <c r="V25">
        <v>103.75225383336871</v>
      </c>
    </row>
    <row r="26" spans="10:22" x14ac:dyDescent="0.15">
      <c r="J26" s="69" t="s">
        <v>268</v>
      </c>
      <c r="K26">
        <v>287.41000000000003</v>
      </c>
      <c r="L26">
        <v>279.88</v>
      </c>
      <c r="M26">
        <v>271.33598058740256</v>
      </c>
      <c r="N26">
        <v>275.50270618689854</v>
      </c>
      <c r="O26">
        <v>281.66325537623209</v>
      </c>
      <c r="P26">
        <v>285.9510356812483</v>
      </c>
      <c r="Q26">
        <v>289.51649518462887</v>
      </c>
      <c r="R26">
        <v>292.48752687423132</v>
      </c>
      <c r="S26">
        <v>296.03868637621372</v>
      </c>
      <c r="T26">
        <v>299.29126968640173</v>
      </c>
      <c r="U26">
        <v>302.21297107103572</v>
      </c>
      <c r="V26">
        <v>304.79444842588657</v>
      </c>
    </row>
    <row r="27" spans="10:22" x14ac:dyDescent="0.15">
      <c r="J27" s="69" t="s">
        <v>269</v>
      </c>
      <c r="K27">
        <v>36.53</v>
      </c>
      <c r="L27">
        <v>33.677999999999997</v>
      </c>
      <c r="M27">
        <v>34.078965792899339</v>
      </c>
      <c r="N27">
        <v>34.523358021045169</v>
      </c>
      <c r="O27">
        <v>34.550678575969755</v>
      </c>
      <c r="P27">
        <v>34.130734766015451</v>
      </c>
      <c r="Q27">
        <v>33.353709753449102</v>
      </c>
      <c r="R27">
        <v>32.21902910408803</v>
      </c>
      <c r="S27">
        <v>31.376215059406377</v>
      </c>
      <c r="T27">
        <v>30.344358302970289</v>
      </c>
      <c r="U27">
        <v>29.102163515697498</v>
      </c>
      <c r="V27">
        <v>27.644880356721615</v>
      </c>
    </row>
    <row r="28" spans="10:22" x14ac:dyDescent="0.15">
      <c r="J28" s="69" t="s">
        <v>270</v>
      </c>
      <c r="K28">
        <v>20.586788400000003</v>
      </c>
      <c r="N28">
        <v>6.27371580653179</v>
      </c>
      <c r="O28">
        <v>15.135268179400388</v>
      </c>
      <c r="P28">
        <v>21.911501723182763</v>
      </c>
      <c r="Q28">
        <v>26.657606559400392</v>
      </c>
      <c r="R28">
        <v>29.000313031788103</v>
      </c>
      <c r="S28">
        <v>32.618932745438805</v>
      </c>
      <c r="T28">
        <v>34.854646606182705</v>
      </c>
      <c r="U28">
        <v>35.57528316313747</v>
      </c>
      <c r="V28">
        <v>34.795174628779847</v>
      </c>
    </row>
    <row r="29" spans="10:22" x14ac:dyDescent="0.15">
      <c r="J29" s="69" t="s">
        <v>272</v>
      </c>
      <c r="K29">
        <v>1558.3</v>
      </c>
      <c r="L29">
        <v>1590.8</v>
      </c>
      <c r="M29">
        <v>1595.0258828394726</v>
      </c>
      <c r="N29">
        <v>1597.95235286552</v>
      </c>
      <c r="O29">
        <v>1596.0094929939523</v>
      </c>
      <c r="P29">
        <v>1589.5100085597278</v>
      </c>
      <c r="Q29">
        <v>1579.063530869478</v>
      </c>
      <c r="R29">
        <v>1564.5761794850025</v>
      </c>
      <c r="S29">
        <v>1550.8757991877376</v>
      </c>
      <c r="T29">
        <v>1534.8089707357733</v>
      </c>
      <c r="U29">
        <v>1516.110104469406</v>
      </c>
      <c r="V29">
        <v>1494.8184644498579</v>
      </c>
    </row>
    <row r="30" spans="10:22" x14ac:dyDescent="0.15">
      <c r="J30" s="69" t="s">
        <v>273</v>
      </c>
      <c r="K30">
        <v>269</v>
      </c>
      <c r="L30">
        <v>249.35000000000002</v>
      </c>
      <c r="M30">
        <v>274.50038962134067</v>
      </c>
      <c r="N30">
        <v>298.69377086791565</v>
      </c>
      <c r="O30">
        <v>319.76294452697016</v>
      </c>
      <c r="P30">
        <v>337.55316380094769</v>
      </c>
      <c r="Q30">
        <v>352.65310198349329</v>
      </c>
      <c r="R30">
        <v>365.85427577249811</v>
      </c>
      <c r="S30">
        <v>380.76766766447105</v>
      </c>
      <c r="T30">
        <v>394.72106548138845</v>
      </c>
      <c r="U30">
        <v>407.56701275710378</v>
      </c>
      <c r="V30">
        <v>419.32601620094692</v>
      </c>
    </row>
    <row r="31" spans="10:22" x14ac:dyDescent="0.15">
      <c r="J31" s="69" t="s">
        <v>274</v>
      </c>
      <c r="K31">
        <v>192.812746</v>
      </c>
      <c r="L31">
        <v>195.07704799999897</v>
      </c>
      <c r="M31">
        <v>198.05910167990234</v>
      </c>
      <c r="N31">
        <v>194.69938608919642</v>
      </c>
      <c r="O31">
        <v>194.88269349101648</v>
      </c>
      <c r="P31">
        <v>196.4148257101856</v>
      </c>
      <c r="Q31">
        <v>197.90625824439741</v>
      </c>
      <c r="R31">
        <v>199.45057573854965</v>
      </c>
      <c r="S31">
        <v>201.29935650482213</v>
      </c>
      <c r="T31">
        <v>203.33813280981536</v>
      </c>
      <c r="U31">
        <v>205.53664242785842</v>
      </c>
      <c r="V31">
        <v>207.8812548984663</v>
      </c>
    </row>
  </sheetData>
  <phoneticPr fontId="1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J6:V36"/>
  <sheetViews>
    <sheetView topLeftCell="B1" workbookViewId="0">
      <selection activeCell="Q54" sqref="Q54"/>
    </sheetView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20832.07</v>
      </c>
      <c r="L8">
        <v>21106.959999999999</v>
      </c>
      <c r="M8">
        <v>21304.815112930191</v>
      </c>
      <c r="N8">
        <v>21345.04727465317</v>
      </c>
      <c r="O8">
        <v>21349.459408066421</v>
      </c>
      <c r="P8">
        <v>21361.983389438745</v>
      </c>
      <c r="Q8">
        <v>21382.975123475517</v>
      </c>
      <c r="R8">
        <v>21410.922773792794</v>
      </c>
      <c r="S8">
        <v>21452.909948599197</v>
      </c>
      <c r="T8">
        <v>21502.318764166554</v>
      </c>
      <c r="U8">
        <v>21558.870023675547</v>
      </c>
      <c r="V8">
        <v>21623.09761458818</v>
      </c>
    </row>
    <row r="9" spans="10:22" x14ac:dyDescent="0.15">
      <c r="J9" s="69" t="s">
        <v>247</v>
      </c>
      <c r="K9">
        <v>15116.159999999996</v>
      </c>
      <c r="L9">
        <v>14391.92</v>
      </c>
      <c r="M9">
        <v>14354.245430767736</v>
      </c>
      <c r="N9">
        <v>14324.398687952329</v>
      </c>
      <c r="O9">
        <v>14301.69201091437</v>
      </c>
      <c r="P9">
        <v>14284.366019710802</v>
      </c>
      <c r="Q9">
        <v>14271.118576368752</v>
      </c>
      <c r="R9">
        <v>14261.720496681117</v>
      </c>
      <c r="S9">
        <v>14260.205809824214</v>
      </c>
      <c r="T9">
        <v>14262.791746754059</v>
      </c>
      <c r="U9">
        <v>14269.351679016829</v>
      </c>
      <c r="V9">
        <v>14280.200597774177</v>
      </c>
    </row>
    <row r="10" spans="10:22" x14ac:dyDescent="0.15">
      <c r="J10" s="69" t="s">
        <v>248</v>
      </c>
      <c r="K10">
        <v>30855</v>
      </c>
      <c r="L10">
        <v>30387.81</v>
      </c>
      <c r="M10">
        <v>30545.286291972003</v>
      </c>
      <c r="N10">
        <v>30933.839408659958</v>
      </c>
      <c r="O10">
        <v>31114.972090102423</v>
      </c>
      <c r="P10">
        <v>31261.371594637272</v>
      </c>
      <c r="Q10">
        <v>31392.521946328303</v>
      </c>
      <c r="R10">
        <v>31513.954988297159</v>
      </c>
      <c r="S10">
        <v>31631.801636112083</v>
      </c>
      <c r="T10">
        <v>31747.262761500133</v>
      </c>
      <c r="U10">
        <v>31860.016061736089</v>
      </c>
      <c r="V10">
        <v>31970.251688031145</v>
      </c>
    </row>
    <row r="11" spans="10:22" x14ac:dyDescent="0.15">
      <c r="J11" s="69" t="s">
        <v>249</v>
      </c>
      <c r="K11">
        <v>9500</v>
      </c>
      <c r="L11">
        <v>9864.0400000000009</v>
      </c>
      <c r="M11">
        <v>9864.2819154134795</v>
      </c>
      <c r="N11">
        <v>9879.332444743106</v>
      </c>
      <c r="O11">
        <v>9894.6094181060853</v>
      </c>
      <c r="P11">
        <v>9910.7854000238203</v>
      </c>
      <c r="Q11">
        <v>9927.2328696004734</v>
      </c>
      <c r="R11">
        <v>9943.8243297370918</v>
      </c>
      <c r="S11">
        <v>9960.6921507639836</v>
      </c>
      <c r="T11">
        <v>9978.043298941313</v>
      </c>
      <c r="U11">
        <v>9995.9594982835697</v>
      </c>
      <c r="V11">
        <v>10014.559112772242</v>
      </c>
    </row>
    <row r="12" spans="10:22" x14ac:dyDescent="0.15">
      <c r="J12" s="69" t="s">
        <v>250</v>
      </c>
      <c r="K12">
        <v>1180.7572539999999</v>
      </c>
      <c r="L12">
        <v>774.13295199999993</v>
      </c>
      <c r="M12">
        <v>775.05256631169414</v>
      </c>
      <c r="N12">
        <v>775.26675826072903</v>
      </c>
      <c r="O12">
        <v>775.76025696104466</v>
      </c>
      <c r="P12">
        <v>776.29521247290995</v>
      </c>
      <c r="Q12">
        <v>776.72638588861275</v>
      </c>
      <c r="R12">
        <v>777.05353904891501</v>
      </c>
      <c r="S12">
        <v>777.55250571839508</v>
      </c>
      <c r="T12">
        <v>777.97466545007137</v>
      </c>
      <c r="U12">
        <v>778.31518151093758</v>
      </c>
      <c r="V12">
        <v>778.57805789994961</v>
      </c>
    </row>
    <row r="13" spans="10:22" x14ac:dyDescent="0.15">
      <c r="J13" s="69" t="s">
        <v>251</v>
      </c>
      <c r="K13">
        <v>1624.0000000000002</v>
      </c>
      <c r="L13">
        <v>1280</v>
      </c>
      <c r="M13">
        <v>1285.447495637929</v>
      </c>
      <c r="N13">
        <v>1290.0101046982691</v>
      </c>
      <c r="O13">
        <v>1295.0204991870987</v>
      </c>
      <c r="P13">
        <v>1300.175741307718</v>
      </c>
      <c r="Q13">
        <v>1305.2790796955287</v>
      </c>
      <c r="R13">
        <v>1310.3007694918235</v>
      </c>
      <c r="S13">
        <v>1315.3344692000567</v>
      </c>
      <c r="T13">
        <v>1320.3343246255924</v>
      </c>
      <c r="U13">
        <v>1325.278986942219</v>
      </c>
      <c r="V13">
        <v>1330.1636050496866</v>
      </c>
    </row>
    <row r="14" spans="10:22" x14ac:dyDescent="0.15">
      <c r="J14" s="69" t="s">
        <v>252</v>
      </c>
      <c r="K14">
        <v>12562</v>
      </c>
      <c r="L14">
        <v>13267.199999999999</v>
      </c>
      <c r="M14">
        <v>12895.575999555051</v>
      </c>
      <c r="N14">
        <v>12799.238134855623</v>
      </c>
      <c r="O14">
        <v>12768.402646023971</v>
      </c>
      <c r="P14">
        <v>12774.579586788195</v>
      </c>
      <c r="Q14">
        <v>12795.354378353399</v>
      </c>
      <c r="R14">
        <v>12818.41633100107</v>
      </c>
      <c r="S14">
        <v>12851.508163781202</v>
      </c>
      <c r="T14">
        <v>12891.172779168486</v>
      </c>
      <c r="U14">
        <v>12935.858032681905</v>
      </c>
      <c r="V14">
        <v>12984.514612866413</v>
      </c>
    </row>
    <row r="15" spans="10:22" x14ac:dyDescent="0.15">
      <c r="J15" s="69" t="s">
        <v>253</v>
      </c>
      <c r="K15">
        <v>1817.0000000000002</v>
      </c>
      <c r="L15">
        <v>1870.9999999999998</v>
      </c>
      <c r="M15">
        <v>1876.9204906071091</v>
      </c>
      <c r="N15">
        <v>1883.3666065178425</v>
      </c>
      <c r="O15">
        <v>1889.0786918190113</v>
      </c>
      <c r="P15">
        <v>1893.9641531065843</v>
      </c>
      <c r="Q15">
        <v>1898.2203465284217</v>
      </c>
      <c r="R15">
        <v>1901.6317975968316</v>
      </c>
      <c r="S15">
        <v>1905.6286147560872</v>
      </c>
      <c r="T15">
        <v>1908.9666403837855</v>
      </c>
      <c r="U15">
        <v>1911.6465424425649</v>
      </c>
      <c r="V15">
        <v>1913.6889319340803</v>
      </c>
    </row>
    <row r="16" spans="10:22" x14ac:dyDescent="0.15">
      <c r="J16" s="69" t="s">
        <v>254</v>
      </c>
      <c r="K16">
        <v>7729.4</v>
      </c>
      <c r="L16">
        <v>8100</v>
      </c>
      <c r="M16">
        <v>8045.9736534572257</v>
      </c>
      <c r="N16">
        <v>8042.7683143985478</v>
      </c>
      <c r="O16">
        <v>8065.2494741257433</v>
      </c>
      <c r="P16">
        <v>8100.0850719522205</v>
      </c>
      <c r="Q16">
        <v>8135.0825067253309</v>
      </c>
      <c r="R16">
        <v>8170.5225323095337</v>
      </c>
      <c r="S16">
        <v>8206.8130747268933</v>
      </c>
      <c r="T16">
        <v>8243.9165644406057</v>
      </c>
      <c r="U16">
        <v>8281.8197387157979</v>
      </c>
      <c r="V16">
        <v>8320.5023361577714</v>
      </c>
    </row>
    <row r="17" spans="10:22" x14ac:dyDescent="0.15">
      <c r="J17" s="69" t="s">
        <v>255</v>
      </c>
      <c r="K17">
        <v>2325.4499999999998</v>
      </c>
      <c r="L17">
        <v>1987.8267000000001</v>
      </c>
      <c r="M17">
        <v>2138.6900044268559</v>
      </c>
      <c r="N17">
        <v>2138.6301678454229</v>
      </c>
      <c r="O17">
        <v>2141.9821524832382</v>
      </c>
      <c r="P17">
        <v>2146.9187380142571</v>
      </c>
      <c r="Q17">
        <v>2151.9108796478095</v>
      </c>
      <c r="R17">
        <v>2157.0479126058181</v>
      </c>
      <c r="S17">
        <v>2162.4339245771694</v>
      </c>
      <c r="T17">
        <v>2168.0562378940149</v>
      </c>
      <c r="U17">
        <v>2173.9098631565371</v>
      </c>
      <c r="V17">
        <v>2179.9877287287986</v>
      </c>
    </row>
    <row r="18" spans="10:22" x14ac:dyDescent="0.15">
      <c r="J18" s="69" t="s">
        <v>256</v>
      </c>
      <c r="K18">
        <v>933.5</v>
      </c>
      <c r="L18">
        <v>980.76000000000022</v>
      </c>
      <c r="M18">
        <v>986.40387667611776</v>
      </c>
      <c r="N18">
        <v>992.50581003777961</v>
      </c>
      <c r="O18">
        <v>998.27923750292916</v>
      </c>
      <c r="P18">
        <v>1003.673295455485</v>
      </c>
      <c r="Q18">
        <v>1008.74814836856</v>
      </c>
      <c r="R18">
        <v>1013.2482679746373</v>
      </c>
      <c r="S18">
        <v>1017.9445295798669</v>
      </c>
      <c r="T18">
        <v>1022.1738382274491</v>
      </c>
      <c r="U18">
        <v>1025.938902361803</v>
      </c>
      <c r="V18">
        <v>1029.2534099842176</v>
      </c>
    </row>
    <row r="19" spans="10:22" x14ac:dyDescent="0.15">
      <c r="J19" s="69" t="s">
        <v>257</v>
      </c>
      <c r="K19">
        <v>1449.7</v>
      </c>
      <c r="L19">
        <v>1445.12</v>
      </c>
      <c r="M19">
        <v>1442.7808789678363</v>
      </c>
      <c r="N19">
        <v>1442.691482304203</v>
      </c>
      <c r="O19">
        <v>1444.468954140968</v>
      </c>
      <c r="P19">
        <v>1447.1129562254819</v>
      </c>
      <c r="Q19">
        <v>1449.7866166995118</v>
      </c>
      <c r="R19">
        <v>1452.5378186988926</v>
      </c>
      <c r="S19">
        <v>1455.4234680183297</v>
      </c>
      <c r="T19">
        <v>1458.4365210054534</v>
      </c>
      <c r="U19">
        <v>1461.5741977976136</v>
      </c>
      <c r="V19">
        <v>1464.832556688453</v>
      </c>
    </row>
    <row r="20" spans="10:22" x14ac:dyDescent="0.15">
      <c r="J20" s="69" t="s">
        <v>258</v>
      </c>
      <c r="K20">
        <v>1961.4899999999998</v>
      </c>
      <c r="L20">
        <v>1910.9399999999998</v>
      </c>
      <c r="M20">
        <v>1918.5975902467139</v>
      </c>
      <c r="N20">
        <v>1931.621255030873</v>
      </c>
      <c r="O20">
        <v>1944.8566423669238</v>
      </c>
      <c r="P20">
        <v>1958.4288239981522</v>
      </c>
      <c r="Q20">
        <v>1972.1377093917056</v>
      </c>
      <c r="R20">
        <v>1985.6859217966603</v>
      </c>
      <c r="S20">
        <v>1999.1092433828076</v>
      </c>
      <c r="T20">
        <v>2012.4587340356441</v>
      </c>
      <c r="U20">
        <v>2025.7605710353698</v>
      </c>
      <c r="V20">
        <v>2039.0483805432984</v>
      </c>
    </row>
    <row r="21" spans="10:22" x14ac:dyDescent="0.15">
      <c r="J21" s="69" t="s">
        <v>259</v>
      </c>
      <c r="K21">
        <v>312.65000000000003</v>
      </c>
      <c r="L21">
        <v>359.09</v>
      </c>
      <c r="M21">
        <v>363.12178066097823</v>
      </c>
      <c r="N21">
        <v>366.94218234852872</v>
      </c>
      <c r="O21">
        <v>370.36005608612896</v>
      </c>
      <c r="P21">
        <v>373.3885439118917</v>
      </c>
      <c r="Q21">
        <v>376.10593747425054</v>
      </c>
      <c r="R21">
        <v>378.46717773229773</v>
      </c>
      <c r="S21">
        <v>380.86047801311906</v>
      </c>
      <c r="T21">
        <v>383.00406049912027</v>
      </c>
      <c r="U21">
        <v>384.89651764042469</v>
      </c>
      <c r="V21">
        <v>386.55347693036617</v>
      </c>
    </row>
    <row r="22" spans="10:22" x14ac:dyDescent="0.15">
      <c r="J22" s="69" t="s">
        <v>260</v>
      </c>
      <c r="K22">
        <v>407.3</v>
      </c>
      <c r="L22">
        <v>398</v>
      </c>
      <c r="M22">
        <v>402.96182192036389</v>
      </c>
      <c r="N22">
        <v>402.93654562680479</v>
      </c>
      <c r="O22">
        <v>403.43911359873925</v>
      </c>
      <c r="P22">
        <v>404.18668705555632</v>
      </c>
      <c r="Q22">
        <v>404.94264621861174</v>
      </c>
      <c r="R22">
        <v>405.7205297161795</v>
      </c>
      <c r="S22">
        <v>406.53642727145331</v>
      </c>
      <c r="T22">
        <v>407.38834734003041</v>
      </c>
      <c r="U22">
        <v>408.27550393481084</v>
      </c>
      <c r="V22">
        <v>409.19678256535451</v>
      </c>
    </row>
    <row r="23" spans="10:22" x14ac:dyDescent="0.15">
      <c r="J23" s="69" t="s">
        <v>261</v>
      </c>
      <c r="K23">
        <v>877.2</v>
      </c>
      <c r="L23">
        <v>768.1</v>
      </c>
      <c r="M23">
        <v>799.44594853743718</v>
      </c>
      <c r="N23">
        <v>804.15007924417159</v>
      </c>
      <c r="O23">
        <v>808.72993684291703</v>
      </c>
      <c r="P23">
        <v>813.18797126696165</v>
      </c>
      <c r="Q23">
        <v>817.58307352566806</v>
      </c>
      <c r="R23">
        <v>821.88133547129996</v>
      </c>
      <c r="S23">
        <v>826.135760530531</v>
      </c>
      <c r="T23">
        <v>830.32541527483374</v>
      </c>
      <c r="U23">
        <v>834.43033220623875</v>
      </c>
      <c r="V23">
        <v>838.44665236373316</v>
      </c>
    </row>
    <row r="24" spans="10:22" x14ac:dyDescent="0.15">
      <c r="J24" s="69" t="s">
        <v>262</v>
      </c>
      <c r="K24">
        <v>1456</v>
      </c>
      <c r="L24">
        <v>1562</v>
      </c>
      <c r="M24">
        <v>1572.3112454730149</v>
      </c>
      <c r="N24">
        <v>1582.0668314619368</v>
      </c>
      <c r="O24">
        <v>1591.1978344071711</v>
      </c>
      <c r="P24">
        <v>1599.7384152531799</v>
      </c>
      <c r="Q24">
        <v>1607.8327555108353</v>
      </c>
      <c r="R24">
        <v>1615.4051239677972</v>
      </c>
      <c r="S24">
        <v>1622.9806604406006</v>
      </c>
      <c r="T24">
        <v>1630.1735900395656</v>
      </c>
      <c r="U24">
        <v>1636.9569630411663</v>
      </c>
      <c r="V24">
        <v>1643.3496135903943</v>
      </c>
    </row>
    <row r="25" spans="10:22" x14ac:dyDescent="0.15">
      <c r="J25" s="69" t="s">
        <v>263</v>
      </c>
      <c r="K25">
        <v>882</v>
      </c>
      <c r="L25">
        <v>960</v>
      </c>
      <c r="M25">
        <v>963.42414437726757</v>
      </c>
      <c r="N25">
        <v>966.84373702253311</v>
      </c>
      <c r="O25">
        <v>970.25796050038639</v>
      </c>
      <c r="P25">
        <v>973.66812101995367</v>
      </c>
      <c r="Q25">
        <v>977.11868260719473</v>
      </c>
      <c r="R25">
        <v>980.46899104193437</v>
      </c>
      <c r="S25">
        <v>983.73378088333675</v>
      </c>
      <c r="T25">
        <v>986.93327619131492</v>
      </c>
      <c r="U25">
        <v>990.07817432130355</v>
      </c>
      <c r="V25">
        <v>993.18177812798763</v>
      </c>
    </row>
    <row r="26" spans="10:22" x14ac:dyDescent="0.15">
      <c r="J26" s="69" t="s">
        <v>264</v>
      </c>
      <c r="K26">
        <v>114</v>
      </c>
      <c r="L26">
        <v>156</v>
      </c>
      <c r="M26">
        <v>156.06087903751762</v>
      </c>
      <c r="N26">
        <v>156.11810038481198</v>
      </c>
      <c r="O26">
        <v>156.1713357810583</v>
      </c>
      <c r="P26">
        <v>156.22060659794835</v>
      </c>
      <c r="Q26">
        <v>156.27590582438262</v>
      </c>
      <c r="R26">
        <v>156.30375009380305</v>
      </c>
      <c r="S26">
        <v>156.30764095141035</v>
      </c>
      <c r="T26">
        <v>156.29218435917645</v>
      </c>
      <c r="U26">
        <v>156.25993444587468</v>
      </c>
      <c r="V26">
        <v>156.21395104892056</v>
      </c>
    </row>
    <row r="27" spans="10:22" x14ac:dyDescent="0.15">
      <c r="J27" s="69" t="s">
        <v>265</v>
      </c>
      <c r="K27">
        <v>34609.86</v>
      </c>
      <c r="L27">
        <v>32330.809999999998</v>
      </c>
      <c r="M27">
        <v>32392.363700896989</v>
      </c>
      <c r="N27">
        <v>32441.268639232872</v>
      </c>
      <c r="O27">
        <v>32476.281532402169</v>
      </c>
      <c r="P27">
        <v>32498.393571918361</v>
      </c>
      <c r="Q27">
        <v>32508.640463342759</v>
      </c>
      <c r="R27">
        <v>32506.960122532739</v>
      </c>
      <c r="S27">
        <v>32505.978106874445</v>
      </c>
      <c r="T27">
        <v>32495.240843313382</v>
      </c>
      <c r="U27">
        <v>32475.184184522797</v>
      </c>
      <c r="V27">
        <v>32446.757696458615</v>
      </c>
    </row>
    <row r="28" spans="10:22" x14ac:dyDescent="0.15">
      <c r="J28" s="69" t="s">
        <v>266</v>
      </c>
      <c r="K28">
        <v>86113.980000000025</v>
      </c>
      <c r="L28">
        <v>86200.093980000034</v>
      </c>
      <c r="M28">
        <v>86399.433957022396</v>
      </c>
      <c r="N28">
        <v>86600.544384870329</v>
      </c>
      <c r="O28">
        <v>86806.087170790124</v>
      </c>
      <c r="P28">
        <v>87023.013445269375</v>
      </c>
      <c r="Q28">
        <v>87244.861870026682</v>
      </c>
      <c r="R28">
        <v>87460.332750314265</v>
      </c>
      <c r="S28">
        <v>87671.847072697157</v>
      </c>
      <c r="T28">
        <v>87882.968552389269</v>
      </c>
      <c r="U28">
        <v>88095.314092568311</v>
      </c>
      <c r="V28">
        <v>88311.053884120483</v>
      </c>
    </row>
    <row r="29" spans="10:22" x14ac:dyDescent="0.15">
      <c r="J29" s="69" t="s">
        <v>267</v>
      </c>
      <c r="K29">
        <v>5810.54</v>
      </c>
      <c r="L29">
        <v>6031.0399999999945</v>
      </c>
      <c r="M29">
        <v>5971.3701662024541</v>
      </c>
      <c r="N29">
        <v>5937.064252492265</v>
      </c>
      <c r="O29">
        <v>5902.1642593445995</v>
      </c>
      <c r="P29">
        <v>5866.5580269312859</v>
      </c>
      <c r="Q29">
        <v>5830.1045083927092</v>
      </c>
      <c r="R29">
        <v>5795.1600719525613</v>
      </c>
      <c r="S29">
        <v>5762.2910168070503</v>
      </c>
      <c r="T29">
        <v>5728.8088839360171</v>
      </c>
      <c r="U29">
        <v>5694.6827831433347</v>
      </c>
      <c r="V29">
        <v>5659.9881493815537</v>
      </c>
    </row>
    <row r="30" spans="10:22" x14ac:dyDescent="0.15">
      <c r="J30" s="69" t="s">
        <v>268</v>
      </c>
      <c r="K30">
        <v>1066.4100000000001</v>
      </c>
      <c r="L30">
        <v>1080.8800000000001</v>
      </c>
      <c r="M30">
        <v>1042.7232354101852</v>
      </c>
      <c r="N30">
        <v>1020.2261936993597</v>
      </c>
      <c r="O30">
        <v>1023.7498567300104</v>
      </c>
      <c r="P30">
        <v>1037.4243861974132</v>
      </c>
      <c r="Q30">
        <v>1050.487539283816</v>
      </c>
      <c r="R30">
        <v>1063.0585630393464</v>
      </c>
      <c r="S30">
        <v>1076.3111843435238</v>
      </c>
      <c r="T30">
        <v>1089.3643615854451</v>
      </c>
      <c r="U30">
        <v>1102.1856741005679</v>
      </c>
      <c r="V30">
        <v>1114.7648960740714</v>
      </c>
    </row>
    <row r="31" spans="10:22" x14ac:dyDescent="0.15">
      <c r="J31" s="69" t="s">
        <v>269</v>
      </c>
      <c r="K31">
        <v>554.53</v>
      </c>
      <c r="L31">
        <v>529.67800000000011</v>
      </c>
      <c r="M31">
        <v>535.20411876319713</v>
      </c>
      <c r="N31">
        <v>540.84605282265545</v>
      </c>
      <c r="O31">
        <v>546.14638656562579</v>
      </c>
      <c r="P31">
        <v>551.08215172781149</v>
      </c>
      <c r="Q31">
        <v>555.71489577732109</v>
      </c>
      <c r="R31">
        <v>560.03700090199709</v>
      </c>
      <c r="S31">
        <v>564.69813938695586</v>
      </c>
      <c r="T31">
        <v>569.21719233090005</v>
      </c>
      <c r="U31">
        <v>573.57319062768681</v>
      </c>
      <c r="V31">
        <v>577.76152717058437</v>
      </c>
    </row>
    <row r="32" spans="10:22" x14ac:dyDescent="0.15">
      <c r="J32" s="69" t="s">
        <v>270</v>
      </c>
      <c r="K32">
        <v>2660.7696469695802</v>
      </c>
      <c r="L32">
        <v>2803.400000000001</v>
      </c>
      <c r="M32">
        <v>2908.5313354289128</v>
      </c>
      <c r="N32">
        <v>2942.3417451865189</v>
      </c>
      <c r="O32">
        <v>2979.0519558204332</v>
      </c>
      <c r="P32">
        <v>3013.9624428350503</v>
      </c>
      <c r="Q32">
        <v>3047.0811778410593</v>
      </c>
      <c r="R32">
        <v>3078.1792319444398</v>
      </c>
      <c r="S32">
        <v>3110.9262881354271</v>
      </c>
      <c r="T32">
        <v>3142.6481896684509</v>
      </c>
      <c r="U32">
        <v>3173.2064301894779</v>
      </c>
      <c r="V32">
        <v>3202.6061735322101</v>
      </c>
    </row>
    <row r="33" spans="10:22" x14ac:dyDescent="0.15">
      <c r="J33" s="69" t="s">
        <v>271</v>
      </c>
      <c r="K33">
        <v>3049.7999999999997</v>
      </c>
      <c r="L33">
        <v>2973.3</v>
      </c>
      <c r="M33">
        <v>2999.0378819283037</v>
      </c>
      <c r="N33">
        <v>3024.8245048634353</v>
      </c>
      <c r="O33">
        <v>3050.6137080691924</v>
      </c>
      <c r="P33">
        <v>3070.9177127907524</v>
      </c>
      <c r="Q33">
        <v>3087.2080606752106</v>
      </c>
      <c r="R33">
        <v>3100.3962797998274</v>
      </c>
      <c r="S33">
        <v>3113.550312823309</v>
      </c>
      <c r="T33">
        <v>3126.6574947495747</v>
      </c>
      <c r="U33">
        <v>3139.7142630203748</v>
      </c>
      <c r="V33">
        <v>3152.7141470027991</v>
      </c>
    </row>
    <row r="34" spans="10:22" x14ac:dyDescent="0.15">
      <c r="J34" s="69" t="s">
        <v>272</v>
      </c>
      <c r="K34">
        <v>5637.2999999999993</v>
      </c>
      <c r="L34">
        <v>5681.7999999999965</v>
      </c>
      <c r="M34">
        <v>5749.8918640800857</v>
      </c>
      <c r="N34">
        <v>5817.7592107556247</v>
      </c>
      <c r="O34">
        <v>5881.8091074182366</v>
      </c>
      <c r="P34">
        <v>5942.3334975256284</v>
      </c>
      <c r="Q34">
        <v>5999.9143103901506</v>
      </c>
      <c r="R34">
        <v>6054.3856298555711</v>
      </c>
      <c r="S34">
        <v>6110.5773557825887</v>
      </c>
      <c r="T34">
        <v>6165.3292456552317</v>
      </c>
      <c r="U34">
        <v>6218.3818130787977</v>
      </c>
      <c r="V34">
        <v>6269.7759075390477</v>
      </c>
    </row>
    <row r="35" spans="10:22" x14ac:dyDescent="0.15">
      <c r="J35" s="69" t="s">
        <v>273</v>
      </c>
      <c r="K35">
        <v>7635.0000000000045</v>
      </c>
      <c r="L35">
        <v>7906.35</v>
      </c>
      <c r="M35">
        <v>7993.7838109350887</v>
      </c>
      <c r="N35">
        <v>8080.800393428337</v>
      </c>
      <c r="O35">
        <v>8165.2322017429206</v>
      </c>
      <c r="P35">
        <v>8247.0351324677595</v>
      </c>
      <c r="Q35">
        <v>8326.5835628303194</v>
      </c>
      <c r="R35">
        <v>8404.6506720099696</v>
      </c>
      <c r="S35">
        <v>8484.8280847880324</v>
      </c>
      <c r="T35">
        <v>8564.4089349435217</v>
      </c>
      <c r="U35">
        <v>8643.2345698404824</v>
      </c>
      <c r="V35">
        <v>8721.3065849118557</v>
      </c>
    </row>
    <row r="36" spans="10:22" x14ac:dyDescent="0.15">
      <c r="J36" s="69" t="s">
        <v>274</v>
      </c>
      <c r="K36">
        <v>4007.0127460000003</v>
      </c>
      <c r="L36">
        <v>4007.2770479999999</v>
      </c>
      <c r="M36">
        <v>4017.213761655034</v>
      </c>
      <c r="N36">
        <v>4021.0419889192881</v>
      </c>
      <c r="O36">
        <v>4028.6841652106341</v>
      </c>
      <c r="P36">
        <v>4037.9999483547026</v>
      </c>
      <c r="Q36">
        <v>4047.2951402963336</v>
      </c>
      <c r="R36">
        <v>4056.6476642374678</v>
      </c>
      <c r="S36">
        <v>4066.3112094959688</v>
      </c>
      <c r="T36">
        <v>4076.1742386704541</v>
      </c>
      <c r="U36">
        <v>4086.2079726903844</v>
      </c>
      <c r="V36">
        <v>4096.4006540251667</v>
      </c>
    </row>
  </sheetData>
  <phoneticPr fontId="1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J4:V29"/>
  <sheetViews>
    <sheetView topLeftCell="Q1" workbookViewId="0">
      <selection activeCell="W32" sqref="W32"/>
    </sheetView>
  </sheetViews>
  <sheetFormatPr defaultColWidth="9" defaultRowHeight="13.5" x14ac:dyDescent="0.15"/>
  <sheetData>
    <row r="4" spans="10:22" x14ac:dyDescent="0.15">
      <c r="K4">
        <f>K15+K18+K16</f>
        <v>3108.5000000000009</v>
      </c>
    </row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15650</v>
      </c>
      <c r="L8">
        <v>15550</v>
      </c>
      <c r="M8">
        <v>15405.113413719013</v>
      </c>
      <c r="N8">
        <v>15259.804562270965</v>
      </c>
      <c r="O8">
        <v>15115.694444888273</v>
      </c>
      <c r="P8">
        <v>14974.105176638723</v>
      </c>
      <c r="Q8">
        <v>14834.303013531349</v>
      </c>
      <c r="R8">
        <v>14695.472172686746</v>
      </c>
      <c r="S8">
        <v>14564.046373616296</v>
      </c>
      <c r="T8">
        <v>14432.782240566359</v>
      </c>
      <c r="U8">
        <v>14301.499160431627</v>
      </c>
      <c r="V8">
        <v>14170.547756057389</v>
      </c>
    </row>
    <row r="9" spans="10:22" x14ac:dyDescent="0.15">
      <c r="J9" s="69" t="s">
        <v>247</v>
      </c>
      <c r="K9">
        <v>9100</v>
      </c>
      <c r="L9">
        <v>8850</v>
      </c>
      <c r="M9">
        <v>8763.6336859456405</v>
      </c>
      <c r="N9">
        <v>8677.3291697975546</v>
      </c>
      <c r="O9">
        <v>8592.0489705027067</v>
      </c>
      <c r="P9">
        <v>8507.5012396422117</v>
      </c>
      <c r="Q9">
        <v>8423.2982721212193</v>
      </c>
      <c r="R9">
        <v>8339.7819740261766</v>
      </c>
      <c r="S9">
        <v>8260.6141995341713</v>
      </c>
      <c r="T9">
        <v>8181.7040858403579</v>
      </c>
      <c r="U9">
        <v>8102.9551551910836</v>
      </c>
      <c r="V9">
        <v>8024.5760483062795</v>
      </c>
    </row>
    <row r="10" spans="10:22" x14ac:dyDescent="0.15">
      <c r="J10" s="69" t="s">
        <v>248</v>
      </c>
      <c r="K10">
        <v>1890</v>
      </c>
      <c r="L10">
        <v>1920</v>
      </c>
      <c r="M10">
        <v>1911.6124983471575</v>
      </c>
      <c r="N10">
        <v>1903.2061657933505</v>
      </c>
      <c r="O10">
        <v>1894.6267822852528</v>
      </c>
      <c r="P10">
        <v>1885.9599152143016</v>
      </c>
      <c r="Q10">
        <v>1877.1671875895029</v>
      </c>
      <c r="R10">
        <v>1868.0877477257386</v>
      </c>
      <c r="S10">
        <v>1859.7492698683932</v>
      </c>
      <c r="T10">
        <v>1851.1209635826306</v>
      </c>
      <c r="U10">
        <v>1842.1956949122609</v>
      </c>
      <c r="V10">
        <v>1833.0084504080744</v>
      </c>
    </row>
    <row r="11" spans="10:22" x14ac:dyDescent="0.15">
      <c r="J11" s="69" t="s">
        <v>249</v>
      </c>
      <c r="K11">
        <v>6081.92</v>
      </c>
      <c r="L11">
        <v>6291.84</v>
      </c>
      <c r="M11">
        <v>6275.8685634437898</v>
      </c>
      <c r="N11">
        <v>6260.1903816005806</v>
      </c>
      <c r="O11">
        <v>6243.8110441720564</v>
      </c>
      <c r="P11">
        <v>6226.2624604603852</v>
      </c>
      <c r="Q11">
        <v>6208.0967322897077</v>
      </c>
      <c r="R11">
        <v>6188.7207946896369</v>
      </c>
      <c r="S11">
        <v>6172.0844867449769</v>
      </c>
      <c r="T11">
        <v>6154.4211531468027</v>
      </c>
      <c r="U11">
        <v>6135.671265315319</v>
      </c>
      <c r="V11">
        <v>6115.9007183645526</v>
      </c>
    </row>
    <row r="12" spans="10:22" x14ac:dyDescent="0.15">
      <c r="J12" s="69" t="s">
        <v>250</v>
      </c>
      <c r="K12">
        <v>600</v>
      </c>
      <c r="L12">
        <v>400</v>
      </c>
      <c r="M12">
        <v>400.27749456983264</v>
      </c>
      <c r="N12">
        <v>400.48635756530916</v>
      </c>
      <c r="O12">
        <v>400.55286461769902</v>
      </c>
      <c r="P12">
        <v>400.46257201252774</v>
      </c>
      <c r="Q12">
        <v>400.25997412486572</v>
      </c>
      <c r="R12">
        <v>399.94006090731051</v>
      </c>
      <c r="S12">
        <v>399.76491319875765</v>
      </c>
      <c r="T12">
        <v>399.48627527435121</v>
      </c>
      <c r="U12">
        <v>399.09935685742448</v>
      </c>
      <c r="V12">
        <v>398.60828103306488</v>
      </c>
    </row>
    <row r="13" spans="10:22" x14ac:dyDescent="0.15">
      <c r="J13" s="69" t="s">
        <v>251</v>
      </c>
      <c r="K13">
        <v>89.32</v>
      </c>
      <c r="L13">
        <v>38.4</v>
      </c>
      <c r="M13">
        <v>38.213671779908118</v>
      </c>
      <c r="N13">
        <v>38.035769383679124</v>
      </c>
      <c r="O13">
        <v>37.859931414527992</v>
      </c>
      <c r="P13">
        <v>37.683953822345011</v>
      </c>
      <c r="Q13">
        <v>37.50903608809881</v>
      </c>
      <c r="R13">
        <v>37.332857950064486</v>
      </c>
      <c r="S13">
        <v>37.178318905833343</v>
      </c>
      <c r="T13">
        <v>37.022402343303142</v>
      </c>
      <c r="U13">
        <v>36.864445891343813</v>
      </c>
      <c r="V13">
        <v>36.704437277583992</v>
      </c>
    </row>
    <row r="14" spans="10:22" x14ac:dyDescent="0.15">
      <c r="J14" s="69" t="s">
        <v>252</v>
      </c>
      <c r="K14">
        <v>1675</v>
      </c>
      <c r="L14">
        <v>1700</v>
      </c>
      <c r="M14">
        <v>1707.0279844396155</v>
      </c>
      <c r="N14">
        <v>1713.8472410549207</v>
      </c>
      <c r="O14">
        <v>1719.8721022958609</v>
      </c>
      <c r="P14">
        <v>1725.0496407201802</v>
      </c>
      <c r="Q14">
        <v>1729.5765215042322</v>
      </c>
      <c r="R14">
        <v>1733.1845328506854</v>
      </c>
      <c r="S14">
        <v>1737.2886251187474</v>
      </c>
      <c r="T14">
        <v>1740.709830528481</v>
      </c>
      <c r="U14">
        <v>1743.4342855431289</v>
      </c>
      <c r="V14">
        <v>1745.4946153431304</v>
      </c>
    </row>
    <row r="15" spans="10:22" x14ac:dyDescent="0.15">
      <c r="J15" s="69" t="s">
        <v>253</v>
      </c>
      <c r="K15">
        <v>1798</v>
      </c>
      <c r="L15">
        <v>1848.74</v>
      </c>
      <c r="M15">
        <v>1855.3504906071091</v>
      </c>
      <c r="N15">
        <v>1861.7966065178425</v>
      </c>
      <c r="O15">
        <v>1867.5086918190113</v>
      </c>
      <c r="P15">
        <v>1872.3941531065843</v>
      </c>
      <c r="Q15">
        <v>1876.6503465284216</v>
      </c>
      <c r="R15">
        <v>1880.0617975968316</v>
      </c>
      <c r="S15">
        <v>1884.0586147560873</v>
      </c>
      <c r="T15">
        <v>1887.3966403837856</v>
      </c>
      <c r="U15">
        <v>1890.0765424425649</v>
      </c>
      <c r="V15">
        <v>1892.1189319340801</v>
      </c>
    </row>
    <row r="16" spans="10:22" x14ac:dyDescent="0.15">
      <c r="J16" s="69" t="s">
        <v>256</v>
      </c>
      <c r="K16">
        <v>990.50000000000102</v>
      </c>
      <c r="L16">
        <v>1000</v>
      </c>
      <c r="M16">
        <v>1006.2797215911849</v>
      </c>
      <c r="N16">
        <v>1012.5375745207897</v>
      </c>
      <c r="O16">
        <v>1018.4585274114991</v>
      </c>
      <c r="P16">
        <v>1023.990416955384</v>
      </c>
      <c r="Q16">
        <v>1029.1949449774256</v>
      </c>
      <c r="R16">
        <v>1033.810053827581</v>
      </c>
      <c r="S16">
        <v>1038.6263165926127</v>
      </c>
      <c r="T16">
        <v>1042.9636945909963</v>
      </c>
      <c r="U16">
        <v>1046.8249654746394</v>
      </c>
      <c r="V16">
        <v>1050.2241670072956</v>
      </c>
    </row>
    <row r="17" spans="10:22" x14ac:dyDescent="0.15">
      <c r="J17" s="69" t="s">
        <v>258</v>
      </c>
      <c r="K17">
        <v>802.5</v>
      </c>
      <c r="L17">
        <v>835</v>
      </c>
      <c r="M17">
        <v>849.3886324597978</v>
      </c>
      <c r="N17">
        <v>863.99358477242924</v>
      </c>
      <c r="O17">
        <v>877.98723051711681</v>
      </c>
      <c r="P17">
        <v>891.30696908182369</v>
      </c>
      <c r="Q17">
        <v>904.18086795458578</v>
      </c>
      <c r="R17">
        <v>916.30095671644824</v>
      </c>
      <c r="S17">
        <v>928.8559678067254</v>
      </c>
      <c r="T17">
        <v>940.97048354346782</v>
      </c>
      <c r="U17">
        <v>952.60384312473366</v>
      </c>
      <c r="V17">
        <v>963.74828861466278</v>
      </c>
    </row>
    <row r="18" spans="10:22" x14ac:dyDescent="0.15">
      <c r="J18" s="69" t="s">
        <v>259</v>
      </c>
      <c r="K18">
        <v>320</v>
      </c>
      <c r="L18">
        <v>360</v>
      </c>
      <c r="M18">
        <v>364.04587392745941</v>
      </c>
      <c r="N18">
        <v>367.87717086567795</v>
      </c>
      <c r="O18">
        <v>371.30479190059623</v>
      </c>
      <c r="P18">
        <v>374.34191654957948</v>
      </c>
      <c r="Q18">
        <v>377.06705973787996</v>
      </c>
      <c r="R18">
        <v>379.43503392251472</v>
      </c>
      <c r="S18">
        <v>381.8351595606195</v>
      </c>
      <c r="T18">
        <v>383.98485524371949</v>
      </c>
      <c r="U18">
        <v>385.88270940780308</v>
      </c>
      <c r="V18">
        <v>387.54439411362671</v>
      </c>
    </row>
    <row r="19" spans="10:22" x14ac:dyDescent="0.15">
      <c r="J19" s="69" t="s">
        <v>262</v>
      </c>
      <c r="K19">
        <v>619.99</v>
      </c>
      <c r="L19">
        <v>710.1</v>
      </c>
      <c r="M19">
        <v>711.65861220693705</v>
      </c>
      <c r="N19">
        <v>712.83001970207317</v>
      </c>
      <c r="O19">
        <v>713.55982292305919</v>
      </c>
      <c r="P19">
        <v>713.86047344820247</v>
      </c>
      <c r="Q19">
        <v>713.78104720360921</v>
      </c>
      <c r="R19">
        <v>713.32102341372945</v>
      </c>
      <c r="S19">
        <v>712.93297047862018</v>
      </c>
      <c r="T19">
        <v>712.22328015993685</v>
      </c>
      <c r="U19">
        <v>711.20907798168423</v>
      </c>
      <c r="V19">
        <v>709.91758597934961</v>
      </c>
    </row>
    <row r="20" spans="10:22" x14ac:dyDescent="0.15">
      <c r="J20" s="69" t="s">
        <v>265</v>
      </c>
      <c r="K20">
        <v>16379.96614</v>
      </c>
      <c r="L20">
        <v>18868.48</v>
      </c>
      <c r="M20">
        <v>18910.182815844943</v>
      </c>
      <c r="N20">
        <v>18939.560072073902</v>
      </c>
      <c r="O20">
        <v>18955.560941554399</v>
      </c>
      <c r="P20">
        <v>18959.170817328246</v>
      </c>
      <c r="Q20">
        <v>18951.22454374787</v>
      </c>
      <c r="R20">
        <v>18931.665964026721</v>
      </c>
      <c r="S20">
        <v>18912.848940497097</v>
      </c>
      <c r="T20">
        <v>18884.523224132558</v>
      </c>
      <c r="U20">
        <v>18847.170976949663</v>
      </c>
      <c r="V20">
        <v>18801.746114541973</v>
      </c>
    </row>
    <row r="21" spans="10:22" x14ac:dyDescent="0.15">
      <c r="J21" s="69" t="s">
        <v>266</v>
      </c>
      <c r="K21">
        <v>20415.533040760001</v>
      </c>
      <c r="L21">
        <v>18766.204801666601</v>
      </c>
      <c r="M21">
        <v>18811.368214374157</v>
      </c>
      <c r="N21">
        <v>18847.280733674092</v>
      </c>
      <c r="O21">
        <v>18872.440764174913</v>
      </c>
      <c r="P21">
        <v>18887.07742705191</v>
      </c>
      <c r="Q21">
        <v>18892.834484196828</v>
      </c>
      <c r="R21">
        <v>18888.43359853611</v>
      </c>
      <c r="S21">
        <v>18885.772285673203</v>
      </c>
      <c r="T21">
        <v>18874.387952839614</v>
      </c>
      <c r="U21">
        <v>18854.580795713457</v>
      </c>
      <c r="V21">
        <v>18827.068749985792</v>
      </c>
    </row>
    <row r="22" spans="10:22" x14ac:dyDescent="0.15">
      <c r="J22" s="69" t="s">
        <v>267</v>
      </c>
      <c r="K22">
        <v>4444.17</v>
      </c>
      <c r="L22">
        <v>4613</v>
      </c>
      <c r="M22">
        <v>4580.7205572001403</v>
      </c>
      <c r="N22">
        <v>4550.1954190552897</v>
      </c>
      <c r="O22">
        <v>4518.3359536984981</v>
      </c>
      <c r="P22">
        <v>4485.0559433086</v>
      </c>
      <c r="Q22">
        <v>4450.1927929849016</v>
      </c>
      <c r="R22">
        <v>4413.9537562303303</v>
      </c>
      <c r="S22">
        <v>4379.3248002766486</v>
      </c>
      <c r="T22">
        <v>4343.6320270053393</v>
      </c>
      <c r="U22">
        <v>4306.9235620973186</v>
      </c>
      <c r="V22">
        <v>4269.3075765510439</v>
      </c>
    </row>
    <row r="23" spans="10:22" x14ac:dyDescent="0.15">
      <c r="J23" s="69" t="s">
        <v>268</v>
      </c>
      <c r="K23">
        <v>954.39</v>
      </c>
      <c r="L23">
        <v>967.61</v>
      </c>
      <c r="M23">
        <v>933.64079551783095</v>
      </c>
      <c r="N23">
        <v>914.91429678233544</v>
      </c>
      <c r="O23">
        <v>918.81084382696133</v>
      </c>
      <c r="P23">
        <v>931.15798618122631</v>
      </c>
      <c r="Q23">
        <v>942.87806342224928</v>
      </c>
      <c r="R23">
        <v>954.09154522858171</v>
      </c>
      <c r="S23">
        <v>965.97227567341486</v>
      </c>
      <c r="T23">
        <v>977.63954370853571</v>
      </c>
      <c r="U23">
        <v>989.06094492184752</v>
      </c>
      <c r="V23">
        <v>1000.226378464696</v>
      </c>
    </row>
    <row r="24" spans="10:22" x14ac:dyDescent="0.15">
      <c r="J24" s="69" t="s">
        <v>269</v>
      </c>
      <c r="K24">
        <v>495.46584999999999</v>
      </c>
      <c r="L24">
        <v>472.35275999999999</v>
      </c>
      <c r="M24">
        <v>477.2865387953363</v>
      </c>
      <c r="N24">
        <v>482.3277665384839</v>
      </c>
      <c r="O24">
        <v>487.01867135700292</v>
      </c>
      <c r="P24">
        <v>491.33545002282148</v>
      </c>
      <c r="Q24">
        <v>495.34295957670992</v>
      </c>
      <c r="R24">
        <v>499.03439624548821</v>
      </c>
      <c r="S24">
        <v>503.05941497296664</v>
      </c>
      <c r="T24">
        <v>506.93692108063544</v>
      </c>
      <c r="U24">
        <v>510.64590776026472</v>
      </c>
      <c r="V24">
        <v>514.1817513508264</v>
      </c>
    </row>
    <row r="25" spans="10:22" x14ac:dyDescent="0.15">
      <c r="J25" s="69" t="s">
        <v>270</v>
      </c>
      <c r="K25">
        <v>2502.3586754553999</v>
      </c>
      <c r="L25">
        <v>2616.9180970868001</v>
      </c>
      <c r="M25">
        <v>2672.8655328364248</v>
      </c>
      <c r="N25">
        <v>2710.4096747715439</v>
      </c>
      <c r="O25">
        <v>2746.0906652821454</v>
      </c>
      <c r="P25">
        <v>2779.9656873774193</v>
      </c>
      <c r="Q25">
        <v>2812.046586836605</v>
      </c>
      <c r="R25">
        <v>2842.0934013723631</v>
      </c>
      <c r="S25">
        <v>2873.7768639004348</v>
      </c>
      <c r="T25">
        <v>2904.4242868968422</v>
      </c>
      <c r="U25">
        <v>2933.8979197267672</v>
      </c>
      <c r="V25">
        <v>2962.2038841707054</v>
      </c>
    </row>
    <row r="26" spans="10:22" x14ac:dyDescent="0.15">
      <c r="J26" s="69" t="s">
        <v>271</v>
      </c>
      <c r="K26">
        <v>2386.6364369704002</v>
      </c>
      <c r="L26">
        <v>2301.1999999999998</v>
      </c>
      <c r="M26">
        <v>2311.4682828469267</v>
      </c>
      <c r="N26">
        <v>2320.8191481986014</v>
      </c>
      <c r="O26">
        <v>2328.9504642332131</v>
      </c>
      <c r="P26">
        <v>2335.8963388057641</v>
      </c>
      <c r="Q26">
        <v>2341.669725673607</v>
      </c>
      <c r="R26">
        <v>2346.3015646561175</v>
      </c>
      <c r="S26">
        <v>2351.3657570752016</v>
      </c>
      <c r="T26">
        <v>2355.4951589716788</v>
      </c>
      <c r="U26">
        <v>2358.7170736931603</v>
      </c>
      <c r="V26">
        <v>2361.1034630854051</v>
      </c>
    </row>
    <row r="27" spans="10:22" x14ac:dyDescent="0.15">
      <c r="J27" s="69" t="s">
        <v>272</v>
      </c>
      <c r="K27">
        <v>2874.0094922613598</v>
      </c>
      <c r="L27">
        <v>2939.6467948681998</v>
      </c>
      <c r="M27">
        <v>2979.83125443271</v>
      </c>
      <c r="N27">
        <v>3019.6394036974666</v>
      </c>
      <c r="O27">
        <v>3055.8893777340668</v>
      </c>
      <c r="P27">
        <v>3088.8184970506154</v>
      </c>
      <c r="Q27">
        <v>3118.8447528360198</v>
      </c>
      <c r="R27">
        <v>3145.8382491299026</v>
      </c>
      <c r="S27">
        <v>3174.460067157419</v>
      </c>
      <c r="T27">
        <v>3201.5352276419071</v>
      </c>
      <c r="U27">
        <v>3226.909369952537</v>
      </c>
      <c r="V27">
        <v>3250.6450311185176</v>
      </c>
    </row>
    <row r="28" spans="10:22" x14ac:dyDescent="0.15">
      <c r="J28" s="69" t="s">
        <v>273</v>
      </c>
      <c r="K28">
        <v>3321.21019741399</v>
      </c>
      <c r="L28">
        <v>3579.2172</v>
      </c>
      <c r="M28">
        <v>3602.9047195575276</v>
      </c>
      <c r="N28">
        <v>3625.3044243814143</v>
      </c>
      <c r="O28">
        <v>3644.794996219628</v>
      </c>
      <c r="P28">
        <v>3661.2627186559848</v>
      </c>
      <c r="Q28">
        <v>3674.9051895635416</v>
      </c>
      <c r="R28">
        <v>3686.577052650513</v>
      </c>
      <c r="S28">
        <v>3699.6378548207672</v>
      </c>
      <c r="T28">
        <v>3711.3583499030947</v>
      </c>
      <c r="U28">
        <v>3721.7260248847333</v>
      </c>
      <c r="V28">
        <v>3730.7747498879803</v>
      </c>
    </row>
    <row r="29" spans="10:22" x14ac:dyDescent="0.15">
      <c r="J29" s="69" t="s">
        <v>274</v>
      </c>
      <c r="K29">
        <v>164.53223926312799</v>
      </c>
      <c r="L29">
        <v>124.22388480414899</v>
      </c>
      <c r="M29">
        <v>123.74203096860062</v>
      </c>
      <c r="N29">
        <v>123.25871421577739</v>
      </c>
      <c r="O29">
        <v>122.75370686741181</v>
      </c>
      <c r="P29">
        <v>122.2223200835184</v>
      </c>
      <c r="Q29">
        <v>121.67704146691193</v>
      </c>
      <c r="R29">
        <v>121.1166731585534</v>
      </c>
      <c r="S29">
        <v>120.61827720047319</v>
      </c>
      <c r="T29">
        <v>120.1078803432773</v>
      </c>
      <c r="U29">
        <v>119.58401471413612</v>
      </c>
      <c r="V29">
        <v>119.04782254119284</v>
      </c>
    </row>
  </sheetData>
  <phoneticPr fontId="1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4:HW153"/>
  <sheetViews>
    <sheetView topLeftCell="H4" zoomScale="85" zoomScaleNormal="85" workbookViewId="0">
      <pane xSplit="3" ySplit="4" topLeftCell="K8" activePane="bottomRight" state="frozen"/>
      <selection pane="topRight"/>
      <selection pane="bottomLeft"/>
      <selection pane="bottomRight" activeCell="X16" sqref="X16"/>
    </sheetView>
  </sheetViews>
  <sheetFormatPr defaultColWidth="8.875" defaultRowHeight="13.5" x14ac:dyDescent="0.15"/>
  <cols>
    <col min="1" max="1" width="8.875" customWidth="1"/>
    <col min="2" max="2" width="12.875" customWidth="1"/>
    <col min="3" max="3" width="8.875" customWidth="1"/>
    <col min="4" max="4" width="7.375" customWidth="1"/>
    <col min="5" max="5" width="7" customWidth="1"/>
    <col min="6" max="6" width="12.625" customWidth="1"/>
    <col min="7" max="7" width="10.875" customWidth="1"/>
    <col min="8" max="8" width="13.25" customWidth="1"/>
    <col min="9" max="9" width="11.5" customWidth="1"/>
    <col min="10" max="10" width="5.375" customWidth="1"/>
    <col min="11" max="12" width="12.625" customWidth="1"/>
    <col min="13" max="13" width="12.625" style="4" customWidth="1"/>
    <col min="14" max="34" width="12.625" customWidth="1"/>
    <col min="35" max="46" width="2.375" customWidth="1"/>
    <col min="47" max="55" width="2.375" style="4" customWidth="1"/>
    <col min="56" max="64" width="2.375" customWidth="1"/>
    <col min="65" max="65" width="8.875" customWidth="1"/>
  </cols>
  <sheetData>
    <row r="4" spans="2:231" x14ac:dyDescent="0.15">
      <c r="K4" s="15">
        <f>K22+K23+K24+K25</f>
        <v>59.621556263352446</v>
      </c>
      <c r="L4" s="15">
        <f t="shared" ref="L4:V4" si="0">L22+L23+L24+L25</f>
        <v>61.712168618801471</v>
      </c>
      <c r="M4" s="15">
        <f t="shared" si="0"/>
        <v>61.739574933890644</v>
      </c>
      <c r="N4" s="15">
        <f t="shared" si="0"/>
        <v>61.788552224328328</v>
      </c>
      <c r="O4" s="15">
        <f t="shared" si="0"/>
        <v>62.003738093968479</v>
      </c>
      <c r="P4" s="15">
        <f t="shared" si="0"/>
        <v>62.282607671225733</v>
      </c>
      <c r="Q4" s="15">
        <f t="shared" si="0"/>
        <v>62.557613971931289</v>
      </c>
      <c r="R4" s="15">
        <f t="shared" si="0"/>
        <v>62.82933052835007</v>
      </c>
      <c r="S4" s="15">
        <f t="shared" si="0"/>
        <v>63.124104382190893</v>
      </c>
      <c r="T4" s="15">
        <f t="shared" si="0"/>
        <v>63.426052801568432</v>
      </c>
      <c r="U4" s="15">
        <f t="shared" si="0"/>
        <v>63.73338026159584</v>
      </c>
      <c r="V4" s="15">
        <f t="shared" si="0"/>
        <v>64.044505486248568</v>
      </c>
      <c r="W4">
        <f t="shared" ref="W4:AM4" si="1">W22+W23+W24+W25</f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ref="AN4:BL4" si="2">AN22+AN23+AN24+AN25</f>
        <v>0</v>
      </c>
      <c r="AO4">
        <f t="shared" si="2"/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 s="4">
        <f t="shared" si="2"/>
        <v>0</v>
      </c>
      <c r="AV4" s="4">
        <f t="shared" si="2"/>
        <v>0</v>
      </c>
      <c r="AW4" s="4">
        <f t="shared" si="2"/>
        <v>0</v>
      </c>
      <c r="AX4" s="4">
        <f t="shared" si="2"/>
        <v>0</v>
      </c>
      <c r="AY4" s="4">
        <f t="shared" si="2"/>
        <v>0</v>
      </c>
      <c r="AZ4" s="4">
        <f t="shared" si="2"/>
        <v>0</v>
      </c>
      <c r="BA4" s="4">
        <f t="shared" si="2"/>
        <v>0</v>
      </c>
      <c r="BB4" s="4">
        <f t="shared" si="2"/>
        <v>0</v>
      </c>
      <c r="BC4" s="4">
        <f t="shared" si="2"/>
        <v>0</v>
      </c>
      <c r="BD4">
        <f t="shared" si="2"/>
        <v>0</v>
      </c>
      <c r="BE4">
        <f t="shared" si="2"/>
        <v>0</v>
      </c>
      <c r="BF4">
        <f t="shared" si="2"/>
        <v>0</v>
      </c>
      <c r="BG4">
        <f t="shared" si="2"/>
        <v>0</v>
      </c>
      <c r="BH4">
        <f t="shared" si="2"/>
        <v>0</v>
      </c>
      <c r="BI4">
        <f t="shared" si="2"/>
        <v>0</v>
      </c>
      <c r="BJ4">
        <f t="shared" si="2"/>
        <v>0</v>
      </c>
      <c r="BK4">
        <f t="shared" si="2"/>
        <v>0</v>
      </c>
      <c r="BL4">
        <f t="shared" si="2"/>
        <v>0</v>
      </c>
    </row>
    <row r="5" spans="2:231" x14ac:dyDescent="0.15">
      <c r="H5" t="s">
        <v>275</v>
      </c>
      <c r="K5">
        <f>K18+K15+K16</f>
        <v>22.073025250660386</v>
      </c>
      <c r="M5" s="4">
        <f>M15+M18+M16</f>
        <v>22.984772563471015</v>
      </c>
      <c r="P5" s="4">
        <f>P15+P18+P16</f>
        <v>23.448520433868659</v>
      </c>
    </row>
    <row r="6" spans="2:231" x14ac:dyDescent="0.15">
      <c r="H6" t="s">
        <v>276</v>
      </c>
      <c r="K6" s="69" t="s">
        <v>73</v>
      </c>
      <c r="L6" s="69" t="s">
        <v>73</v>
      </c>
      <c r="M6" s="71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2:231" x14ac:dyDescent="0.15">
      <c r="D7" t="s">
        <v>277</v>
      </c>
      <c r="E7" t="s">
        <v>150</v>
      </c>
      <c r="F7" t="s">
        <v>152</v>
      </c>
      <c r="G7" t="s">
        <v>154</v>
      </c>
      <c r="H7" t="s">
        <v>278</v>
      </c>
      <c r="K7" s="69" t="s">
        <v>75</v>
      </c>
      <c r="L7" s="69" t="s">
        <v>76</v>
      </c>
      <c r="M7" s="71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2:231" x14ac:dyDescent="0.15">
      <c r="B8" t="s">
        <v>246</v>
      </c>
      <c r="C8" t="s">
        <v>279</v>
      </c>
      <c r="D8">
        <v>242.9</v>
      </c>
      <c r="E8">
        <v>5.18</v>
      </c>
      <c r="F8">
        <v>0.56000000000000005</v>
      </c>
      <c r="G8">
        <v>54.53</v>
      </c>
      <c r="H8">
        <v>70</v>
      </c>
      <c r="J8" s="69" t="s">
        <v>246</v>
      </c>
      <c r="K8" s="15">
        <v>111.12846877041497</v>
      </c>
      <c r="L8" s="15">
        <v>110.68482229925475</v>
      </c>
      <c r="M8" s="16">
        <v>109.77017489505117</v>
      </c>
      <c r="N8" s="15">
        <v>108.90481363493572</v>
      </c>
      <c r="O8" s="15">
        <v>108.09710174261306</v>
      </c>
      <c r="P8" s="15">
        <v>107.35248350805092</v>
      </c>
      <c r="Q8" s="15">
        <v>106.66086143697841</v>
      </c>
      <c r="R8" s="15">
        <v>106.01542395635514</v>
      </c>
      <c r="S8" s="15">
        <v>105.40338540075338</v>
      </c>
      <c r="T8" s="15">
        <v>104.8268525269286</v>
      </c>
      <c r="U8" s="15">
        <v>104.28235564482925</v>
      </c>
      <c r="V8" s="15">
        <v>103.76790160383962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6"/>
      <c r="AV8" s="16"/>
      <c r="AW8" s="16"/>
      <c r="AX8" s="16"/>
      <c r="AY8" s="16"/>
      <c r="AZ8" s="16"/>
      <c r="BA8" s="16"/>
      <c r="BB8" s="16"/>
      <c r="BC8" s="16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</row>
    <row r="9" spans="2:231" x14ac:dyDescent="0.15">
      <c r="B9" t="s">
        <v>247</v>
      </c>
      <c r="C9" t="s">
        <v>280</v>
      </c>
      <c r="D9">
        <v>244.3</v>
      </c>
      <c r="E9">
        <v>7.84</v>
      </c>
      <c r="F9">
        <v>1.05</v>
      </c>
      <c r="G9">
        <v>51.52</v>
      </c>
      <c r="H9">
        <v>70</v>
      </c>
      <c r="J9" s="69" t="s">
        <v>247</v>
      </c>
      <c r="K9" s="15">
        <v>64.61783168119976</v>
      </c>
      <c r="L9" s="15">
        <v>62.994255778032446</v>
      </c>
      <c r="M9" s="16">
        <v>62.445863044780914</v>
      </c>
      <c r="N9" s="15">
        <v>61.92758971646743</v>
      </c>
      <c r="O9" s="15">
        <v>61.444453983126934</v>
      </c>
      <c r="P9" s="15">
        <v>60.992050994023039</v>
      </c>
      <c r="Q9" s="15">
        <v>60.564776722272548</v>
      </c>
      <c r="R9" s="15">
        <v>60.164485447649739</v>
      </c>
      <c r="S9" s="15">
        <v>59.783983089875292</v>
      </c>
      <c r="T9" s="15">
        <v>59.424598343534676</v>
      </c>
      <c r="U9" s="15">
        <v>59.084382818104281</v>
      </c>
      <c r="V9" s="15">
        <v>58.76226043818442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6"/>
      <c r="AV9" s="16"/>
      <c r="AW9" s="16"/>
      <c r="AX9" s="16"/>
      <c r="AY9" s="16"/>
      <c r="AZ9" s="16"/>
      <c r="BA9" s="16"/>
      <c r="BB9" s="16"/>
      <c r="BC9" s="16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</row>
    <row r="10" spans="2:231" x14ac:dyDescent="0.15">
      <c r="B10" t="s">
        <v>248</v>
      </c>
      <c r="C10" t="s">
        <v>281</v>
      </c>
      <c r="D10">
        <v>112</v>
      </c>
      <c r="E10">
        <v>16.5</v>
      </c>
      <c r="F10">
        <v>7.1</v>
      </c>
      <c r="G10">
        <v>71</v>
      </c>
      <c r="H10">
        <v>46</v>
      </c>
      <c r="J10" s="69" t="s">
        <v>248</v>
      </c>
      <c r="K10" s="15">
        <v>13.420626579941489</v>
      </c>
      <c r="L10" s="15">
        <v>13.666550406081615</v>
      </c>
      <c r="M10" s="16">
        <v>13.621323818899123</v>
      </c>
      <c r="N10" s="15">
        <v>13.582632198779597</v>
      </c>
      <c r="O10" s="15">
        <v>13.549074096177417</v>
      </c>
      <c r="P10" s="15">
        <v>13.520840030611815</v>
      </c>
      <c r="Q10" s="15">
        <v>13.497113353211962</v>
      </c>
      <c r="R10" s="15">
        <v>13.476675824742035</v>
      </c>
      <c r="S10" s="15">
        <v>13.45943730279641</v>
      </c>
      <c r="T10" s="15">
        <v>13.444891014399989</v>
      </c>
      <c r="U10" s="15">
        <v>13.432753061002581</v>
      </c>
      <c r="V10" s="15">
        <v>13.422730285048077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6"/>
      <c r="AV10" s="16"/>
      <c r="AW10" s="16"/>
      <c r="AX10" s="16"/>
      <c r="AY10" s="16"/>
      <c r="AZ10" s="16"/>
      <c r="BA10" s="16"/>
      <c r="BB10" s="16"/>
      <c r="BC10" s="16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</row>
    <row r="11" spans="2:231" x14ac:dyDescent="0.15">
      <c r="B11" t="s">
        <v>249</v>
      </c>
      <c r="J11" s="69" t="s">
        <v>249</v>
      </c>
      <c r="K11" s="15">
        <v>43.186866248189276</v>
      </c>
      <c r="L11" s="15">
        <v>44.785285680729451</v>
      </c>
      <c r="M11" s="16">
        <v>44.719124833840951</v>
      </c>
      <c r="N11" s="15">
        <v>44.677168966701892</v>
      </c>
      <c r="O11" s="15">
        <v>44.651463428579952</v>
      </c>
      <c r="P11" s="15">
        <v>44.637374335139313</v>
      </c>
      <c r="Q11" s="15">
        <v>44.637145725425057</v>
      </c>
      <c r="R11" s="15">
        <v>44.646395235667981</v>
      </c>
      <c r="S11" s="15">
        <v>44.668808598475799</v>
      </c>
      <c r="T11" s="15">
        <v>44.700223966256786</v>
      </c>
      <c r="U11" s="15">
        <v>44.739523166888809</v>
      </c>
      <c r="V11" s="15">
        <v>44.785437718229495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6"/>
      <c r="AV11" s="16"/>
      <c r="AW11" s="16"/>
      <c r="AX11" s="16"/>
      <c r="AY11" s="16"/>
      <c r="AZ11" s="16"/>
      <c r="BA11" s="16"/>
      <c r="BB11" s="16"/>
      <c r="BC11" s="16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</row>
    <row r="12" spans="2:231" x14ac:dyDescent="0.15">
      <c r="B12" t="s">
        <v>251</v>
      </c>
      <c r="C12" t="s">
        <v>282</v>
      </c>
      <c r="D12">
        <v>228.9</v>
      </c>
      <c r="E12">
        <v>2.36</v>
      </c>
      <c r="F12">
        <v>0.21</v>
      </c>
      <c r="G12">
        <v>58.49</v>
      </c>
      <c r="H12">
        <v>94</v>
      </c>
      <c r="J12" s="69" t="s">
        <v>250</v>
      </c>
      <c r="K12" s="15">
        <v>4.2605163745845989</v>
      </c>
      <c r="L12" s="15">
        <v>2.8471980012670031</v>
      </c>
      <c r="M12" s="16">
        <v>2.8522042912293002</v>
      </c>
      <c r="N12" s="15">
        <v>2.8581553555292358</v>
      </c>
      <c r="O12" s="15">
        <v>2.8644799560973508</v>
      </c>
      <c r="P12" s="15">
        <v>2.870999712532857</v>
      </c>
      <c r="Q12" s="15">
        <v>2.8779291888509086</v>
      </c>
      <c r="R12" s="15">
        <v>2.8852298596450705</v>
      </c>
      <c r="S12" s="15">
        <v>2.8931915028724768</v>
      </c>
      <c r="T12" s="15">
        <v>2.9015118614491837</v>
      </c>
      <c r="U12" s="15">
        <v>2.910115967742537</v>
      </c>
      <c r="V12" s="15">
        <v>2.9189235022360847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6"/>
      <c r="AV12" s="16"/>
      <c r="AW12" s="16"/>
      <c r="AX12" s="16"/>
      <c r="AY12" s="16"/>
      <c r="AZ12" s="16"/>
      <c r="BA12" s="16"/>
      <c r="BB12" s="16"/>
      <c r="BC12" s="16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</row>
    <row r="13" spans="2:231" x14ac:dyDescent="0.15">
      <c r="B13" t="s">
        <v>252</v>
      </c>
      <c r="C13" t="s">
        <v>283</v>
      </c>
      <c r="D13">
        <v>390</v>
      </c>
      <c r="E13">
        <v>35</v>
      </c>
      <c r="F13">
        <v>16</v>
      </c>
      <c r="G13">
        <v>34.200000000000003</v>
      </c>
      <c r="H13">
        <v>100</v>
      </c>
      <c r="J13" s="69" t="s">
        <v>251</v>
      </c>
      <c r="K13" s="15">
        <v>0.63424887096316063</v>
      </c>
      <c r="L13" s="15">
        <v>0.2733310081216323</v>
      </c>
      <c r="M13" s="16">
        <v>0.27229409625293566</v>
      </c>
      <c r="N13" s="15">
        <v>0.27145029015853361</v>
      </c>
      <c r="O13" s="15">
        <v>0.27074831877595784</v>
      </c>
      <c r="P13" s="15">
        <v>0.27016412556944136</v>
      </c>
      <c r="Q13" s="15">
        <v>0.2696955898216441</v>
      </c>
      <c r="R13" s="15">
        <v>0.26932504900622473</v>
      </c>
      <c r="S13" s="15">
        <v>0.26906812678670683</v>
      </c>
      <c r="T13" s="15">
        <v>0.26889769733557356</v>
      </c>
      <c r="U13" s="15">
        <v>0.26880477451810419</v>
      </c>
      <c r="V13" s="15">
        <v>0.2687787728047803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6"/>
      <c r="AV13" s="16"/>
      <c r="AW13" s="16"/>
      <c r="AX13" s="16"/>
      <c r="AY13" s="16"/>
      <c r="AZ13" s="16"/>
      <c r="BA13" s="16"/>
      <c r="BB13" s="16"/>
      <c r="BC13" s="16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</row>
    <row r="14" spans="2:231" x14ac:dyDescent="0.15">
      <c r="B14" t="s">
        <v>253</v>
      </c>
      <c r="C14" t="s">
        <v>284</v>
      </c>
      <c r="D14">
        <v>899</v>
      </c>
      <c r="E14">
        <v>0</v>
      </c>
      <c r="F14">
        <v>99.9</v>
      </c>
      <c r="G14">
        <v>0</v>
      </c>
      <c r="H14">
        <v>100</v>
      </c>
      <c r="J14" s="69" t="s">
        <v>252</v>
      </c>
      <c r="K14" s="15">
        <v>11.893941545715341</v>
      </c>
      <c r="L14" s="15">
        <v>12.100591505384763</v>
      </c>
      <c r="M14" s="16">
        <v>12.163543063292963</v>
      </c>
      <c r="N14" s="15">
        <v>12.231232295550329</v>
      </c>
      <c r="O14" s="15">
        <v>12.299348224059161</v>
      </c>
      <c r="P14" s="15">
        <v>12.36724070797211</v>
      </c>
      <c r="Q14" s="15">
        <v>12.4359143490961</v>
      </c>
      <c r="R14" s="15">
        <v>12.503463031713469</v>
      </c>
      <c r="S14" s="15">
        <v>12.573161181185393</v>
      </c>
      <c r="T14" s="15">
        <v>12.642963058370338</v>
      </c>
      <c r="U14" s="15">
        <v>12.712613703562967</v>
      </c>
      <c r="V14" s="15">
        <v>12.781885119263155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6"/>
      <c r="AV14" s="16"/>
      <c r="AW14" s="16"/>
      <c r="AX14" s="16"/>
      <c r="AY14" s="16"/>
      <c r="AZ14" s="16"/>
      <c r="BA14" s="16"/>
      <c r="BB14" s="16"/>
      <c r="BC14" s="16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</row>
    <row r="15" spans="2:231" x14ac:dyDescent="0.15">
      <c r="B15" t="s">
        <v>256</v>
      </c>
      <c r="C15" t="s">
        <v>285</v>
      </c>
      <c r="D15">
        <v>899</v>
      </c>
      <c r="E15">
        <v>0</v>
      </c>
      <c r="F15">
        <v>99.9</v>
      </c>
      <c r="G15">
        <v>0</v>
      </c>
      <c r="H15">
        <v>100</v>
      </c>
      <c r="J15" s="69" t="s">
        <v>253</v>
      </c>
      <c r="K15" s="15">
        <v>12.767347402505184</v>
      </c>
      <c r="L15" s="15">
        <v>13.159322082155898</v>
      </c>
      <c r="M15" s="16">
        <v>13.220425087178532</v>
      </c>
      <c r="N15" s="15">
        <v>13.287104145507277</v>
      </c>
      <c r="O15" s="15">
        <v>13.355144072328198</v>
      </c>
      <c r="P15" s="15">
        <v>13.423584252335669</v>
      </c>
      <c r="Q15" s="15">
        <v>13.493397188539401</v>
      </c>
      <c r="R15" s="15">
        <v>13.563058484560061</v>
      </c>
      <c r="S15" s="15">
        <v>13.635369676417467</v>
      </c>
      <c r="T15" s="15">
        <v>13.708365163664224</v>
      </c>
      <c r="U15" s="15">
        <v>13.781886219332277</v>
      </c>
      <c r="V15" s="15">
        <v>13.855583745361507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6"/>
      <c r="AV15" s="16"/>
      <c r="AW15" s="16"/>
      <c r="AX15" s="16"/>
      <c r="AY15" s="16"/>
      <c r="AZ15" s="16"/>
      <c r="BA15" s="16"/>
      <c r="BB15" s="16"/>
      <c r="BC15" s="16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</row>
    <row r="16" spans="2:231" x14ac:dyDescent="0.15">
      <c r="B16" t="s">
        <v>258</v>
      </c>
      <c r="C16" t="s">
        <v>286</v>
      </c>
      <c r="J16" s="69" t="s">
        <v>256</v>
      </c>
      <c r="K16" s="15">
        <v>7.0334024483767505</v>
      </c>
      <c r="L16" s="15">
        <v>7.1179950031675085</v>
      </c>
      <c r="M16" s="16">
        <v>7.1703140422217286</v>
      </c>
      <c r="N16" s="15">
        <v>7.2261879502830286</v>
      </c>
      <c r="O16" s="15">
        <v>7.2833183721481634</v>
      </c>
      <c r="P16" s="15">
        <v>7.3412008966054874</v>
      </c>
      <c r="Q16" s="15">
        <v>7.40006586880037</v>
      </c>
      <c r="R16" s="15">
        <v>7.4580666656344254</v>
      </c>
      <c r="S16" s="15">
        <v>7.5167798238748098</v>
      </c>
      <c r="T16" s="15">
        <v>7.575157691809026</v>
      </c>
      <c r="U16" s="15">
        <v>7.6331419610570244</v>
      </c>
      <c r="V16" s="15">
        <v>7.6905677818560481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6"/>
      <c r="AV16" s="16"/>
      <c r="AW16" s="16"/>
      <c r="AX16" s="16"/>
      <c r="AY16" s="16"/>
      <c r="AZ16" s="16"/>
      <c r="BA16" s="16"/>
      <c r="BB16" s="16"/>
      <c r="BC16" s="16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</row>
    <row r="17" spans="2:231" x14ac:dyDescent="0.15">
      <c r="B17" t="s">
        <v>259</v>
      </c>
      <c r="C17" t="s">
        <v>287</v>
      </c>
      <c r="D17">
        <v>899</v>
      </c>
      <c r="E17">
        <v>0</v>
      </c>
      <c r="F17">
        <v>99.9</v>
      </c>
      <c r="G17">
        <v>0</v>
      </c>
      <c r="H17">
        <v>100</v>
      </c>
      <c r="J17" s="69" t="s">
        <v>258</v>
      </c>
      <c r="K17" s="15">
        <v>5.6984406510069023</v>
      </c>
      <c r="L17" s="15">
        <v>5.9435258276448693</v>
      </c>
      <c r="M17" s="16">
        <v>6.0523760023699475</v>
      </c>
      <c r="N17" s="15">
        <v>6.1660724387035337</v>
      </c>
      <c r="O17" s="15">
        <v>6.2787637929542282</v>
      </c>
      <c r="P17" s="15">
        <v>6.3899655819330761</v>
      </c>
      <c r="Q17" s="15">
        <v>6.5011959229160272</v>
      </c>
      <c r="R17" s="15">
        <v>6.6103377459662651</v>
      </c>
      <c r="S17" s="15">
        <v>6.7223463208605576</v>
      </c>
      <c r="T17" s="15">
        <v>6.8343700103337168</v>
      </c>
      <c r="U17" s="15">
        <v>6.946109050735803</v>
      </c>
      <c r="V17" s="15">
        <v>7.0573233516034124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6"/>
      <c r="AV17" s="16"/>
      <c r="AW17" s="16"/>
      <c r="AX17" s="16"/>
      <c r="AY17" s="16"/>
      <c r="AZ17" s="16"/>
      <c r="BA17" s="16"/>
      <c r="BB17" s="16"/>
      <c r="BC17" s="16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</row>
    <row r="18" spans="2:231" x14ac:dyDescent="0.15">
      <c r="B18" t="s">
        <v>262</v>
      </c>
      <c r="C18" t="s">
        <v>288</v>
      </c>
      <c r="D18">
        <v>400</v>
      </c>
      <c r="G18">
        <v>99.9</v>
      </c>
      <c r="H18">
        <v>100</v>
      </c>
      <c r="J18" s="69" t="s">
        <v>259</v>
      </c>
      <c r="K18" s="15">
        <v>2.2722753997784531</v>
      </c>
      <c r="L18" s="15">
        <v>2.5624782011403027</v>
      </c>
      <c r="M18" s="16">
        <v>2.594033434070754</v>
      </c>
      <c r="N18" s="15">
        <v>2.6254330171913942</v>
      </c>
      <c r="O18" s="15">
        <v>2.6553177569140254</v>
      </c>
      <c r="P18" s="15">
        <v>2.683735284927502</v>
      </c>
      <c r="Q18" s="15">
        <v>2.7111686591857471</v>
      </c>
      <c r="R18" s="15">
        <v>2.7373034028776599</v>
      </c>
      <c r="S18" s="15">
        <v>2.7634297124757619</v>
      </c>
      <c r="T18" s="15">
        <v>2.7889233775086653</v>
      </c>
      <c r="U18" s="15">
        <v>2.8137440339814228</v>
      </c>
      <c r="V18" s="15">
        <v>2.8379050159378747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6"/>
      <c r="AV18" s="16"/>
      <c r="AW18" s="16"/>
      <c r="AX18" s="16"/>
      <c r="AY18" s="16"/>
      <c r="AZ18" s="16"/>
      <c r="BA18" s="16"/>
      <c r="BB18" s="16"/>
      <c r="BC18" s="16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</row>
    <row r="19" spans="2:231" x14ac:dyDescent="0.15">
      <c r="B19" t="s">
        <v>289</v>
      </c>
      <c r="J19" s="69" t="s">
        <v>262</v>
      </c>
      <c r="K19" s="15">
        <v>4.4024625784645099</v>
      </c>
      <c r="L19" s="15">
        <v>5.0544882517492473</v>
      </c>
      <c r="M19" s="16">
        <v>5.0709714514633921</v>
      </c>
      <c r="N19" s="15">
        <v>5.087261775355846</v>
      </c>
      <c r="O19" s="15">
        <v>5.1028915051957462</v>
      </c>
      <c r="P19" s="15">
        <v>5.1178146406007796</v>
      </c>
      <c r="Q19" s="15">
        <v>5.1321926822365711</v>
      </c>
      <c r="R19" s="15">
        <v>5.1460089084270395</v>
      </c>
      <c r="S19" s="15">
        <v>5.1596614515312806</v>
      </c>
      <c r="T19" s="15">
        <v>5.1729544249426231</v>
      </c>
      <c r="U19" s="15">
        <v>5.185928913880292</v>
      </c>
      <c r="V19" s="15">
        <v>5.1985752051998633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6"/>
      <c r="AV19" s="16"/>
      <c r="AW19" s="16"/>
      <c r="AX19" s="16"/>
      <c r="AY19" s="16"/>
      <c r="AZ19" s="16"/>
      <c r="BA19" s="16"/>
      <c r="BB19" s="16"/>
      <c r="BC19" s="16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</row>
    <row r="20" spans="2:231" x14ac:dyDescent="0.15">
      <c r="B20" t="s">
        <v>265</v>
      </c>
      <c r="C20" t="s">
        <v>290</v>
      </c>
      <c r="D20">
        <v>53.889000000000003</v>
      </c>
      <c r="E20">
        <v>0.81699999999999995</v>
      </c>
      <c r="F20">
        <v>0.183</v>
      </c>
      <c r="G20">
        <v>12.922000000000001</v>
      </c>
      <c r="H20">
        <v>82</v>
      </c>
      <c r="J20" s="69" t="s">
        <v>265</v>
      </c>
      <c r="K20" s="15">
        <v>116.31185659101884</v>
      </c>
      <c r="L20" s="15">
        <v>134.30574635736605</v>
      </c>
      <c r="M20" s="16">
        <v>134.74578338021914</v>
      </c>
      <c r="N20" s="15">
        <v>135.16616491121826</v>
      </c>
      <c r="O20" s="15">
        <v>135.5571989866757</v>
      </c>
      <c r="P20" s="15">
        <v>135.92225034380473</v>
      </c>
      <c r="Q20" s="15">
        <v>136.26214411812575</v>
      </c>
      <c r="R20" s="15">
        <v>136.57598543221539</v>
      </c>
      <c r="S20" s="15">
        <v>136.87667937619037</v>
      </c>
      <c r="T20" s="15">
        <v>137.16032695992646</v>
      </c>
      <c r="U20" s="15">
        <v>137.42806713263838</v>
      </c>
      <c r="V20" s="15">
        <v>137.68118031712478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6"/>
      <c r="AV20" s="16"/>
      <c r="AW20" s="16"/>
      <c r="AX20" s="16"/>
      <c r="AY20" s="16"/>
      <c r="AZ20" s="16"/>
      <c r="BA20" s="16"/>
      <c r="BB20" s="16"/>
      <c r="BC20" s="16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</row>
    <row r="21" spans="2:231" x14ac:dyDescent="0.15">
      <c r="B21" t="s">
        <v>266</v>
      </c>
      <c r="C21" t="s">
        <v>291</v>
      </c>
      <c r="D21">
        <v>31.347999999999999</v>
      </c>
      <c r="E21">
        <v>1.746</v>
      </c>
      <c r="F21">
        <v>0.26700000000000002</v>
      </c>
      <c r="G21">
        <v>6.2519999999999998</v>
      </c>
      <c r="H21">
        <v>87</v>
      </c>
      <c r="J21" s="69" t="s">
        <v>266</v>
      </c>
      <c r="K21" s="15">
        <v>144.96785469338485</v>
      </c>
      <c r="L21" s="15">
        <v>133.57775200668095</v>
      </c>
      <c r="M21" s="16">
        <v>134.04167327117099</v>
      </c>
      <c r="N21" s="15">
        <v>134.50759395051057</v>
      </c>
      <c r="O21" s="15">
        <v>134.96278036411002</v>
      </c>
      <c r="P21" s="15">
        <v>135.40539779072168</v>
      </c>
      <c r="Q21" s="15">
        <v>135.84231084079619</v>
      </c>
      <c r="R21" s="15">
        <v>136.26410041741187</v>
      </c>
      <c r="S21" s="15">
        <v>136.68071933798723</v>
      </c>
      <c r="T21" s="15">
        <v>137.08671339246339</v>
      </c>
      <c r="U21" s="15">
        <v>137.48209736729569</v>
      </c>
      <c r="V21" s="15">
        <v>137.86661258045848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  <c r="AV21" s="16"/>
      <c r="AW21" s="16"/>
      <c r="AX21" s="16"/>
      <c r="AY21" s="16"/>
      <c r="AZ21" s="16"/>
      <c r="BA21" s="16"/>
      <c r="BB21" s="16"/>
      <c r="BC21" s="16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</row>
    <row r="22" spans="2:231" x14ac:dyDescent="0.15">
      <c r="B22" t="s">
        <v>267</v>
      </c>
      <c r="C22" t="s">
        <v>292</v>
      </c>
      <c r="D22">
        <v>143</v>
      </c>
      <c r="E22">
        <v>20.3</v>
      </c>
      <c r="F22">
        <v>6.2</v>
      </c>
      <c r="G22">
        <v>1.5</v>
      </c>
      <c r="H22">
        <v>100</v>
      </c>
      <c r="J22" s="69" t="s">
        <v>267</v>
      </c>
      <c r="K22" s="15">
        <v>31.557431760729401</v>
      </c>
      <c r="L22" s="15">
        <v>32.835310949611717</v>
      </c>
      <c r="M22" s="16">
        <v>32.640233356634937</v>
      </c>
      <c r="N22" s="15">
        <v>32.473429269202157</v>
      </c>
      <c r="O22" s="15">
        <v>32.312046467664842</v>
      </c>
      <c r="P22" s="15">
        <v>32.15430160981424</v>
      </c>
      <c r="Q22" s="15">
        <v>31.997552997766896</v>
      </c>
      <c r="R22" s="15">
        <v>31.842949535179908</v>
      </c>
      <c r="S22" s="15">
        <v>31.694190465834211</v>
      </c>
      <c r="T22" s="15">
        <v>31.548267432895528</v>
      </c>
      <c r="U22" s="15">
        <v>31.404828934323572</v>
      </c>
      <c r="V22" s="15">
        <v>31.263229632792573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6"/>
      <c r="AV22" s="16"/>
      <c r="AW22" s="16"/>
      <c r="AX22" s="16"/>
      <c r="AY22" s="16"/>
      <c r="AZ22" s="16"/>
      <c r="BA22" s="16"/>
      <c r="BB22" s="16"/>
      <c r="BC22" s="16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</row>
    <row r="23" spans="2:231" x14ac:dyDescent="0.15">
      <c r="B23" t="s">
        <v>268</v>
      </c>
      <c r="C23" t="s">
        <v>293</v>
      </c>
      <c r="D23">
        <v>106</v>
      </c>
      <c r="E23">
        <v>20.2</v>
      </c>
      <c r="F23">
        <v>2.2999999999999998</v>
      </c>
      <c r="G23">
        <v>1.2</v>
      </c>
      <c r="H23">
        <v>99</v>
      </c>
      <c r="J23" s="69" t="s">
        <v>268</v>
      </c>
      <c r="K23" s="15">
        <v>6.7769903712329933</v>
      </c>
      <c r="L23" s="15">
        <v>6.8874431450149123</v>
      </c>
      <c r="M23" s="16">
        <v>6.6527204740913009</v>
      </c>
      <c r="N23" s="15">
        <v>6.5294788394190473</v>
      </c>
      <c r="O23" s="15">
        <v>6.5707063363514111</v>
      </c>
      <c r="P23" s="15">
        <v>6.6756658361704373</v>
      </c>
      <c r="Q23" s="15">
        <v>6.7794345567103607</v>
      </c>
      <c r="R23" s="15">
        <v>6.8829649345039918</v>
      </c>
      <c r="S23" s="15">
        <v>6.9909656593579177</v>
      </c>
      <c r="T23" s="15">
        <v>7.1007013453566037</v>
      </c>
      <c r="U23" s="15">
        <v>7.2119435910688203</v>
      </c>
      <c r="V23" s="15">
        <v>7.3244446304287996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6"/>
      <c r="AV23" s="16"/>
      <c r="AW23" s="16"/>
      <c r="AX23" s="16"/>
      <c r="AY23" s="16"/>
      <c r="AZ23" s="16"/>
      <c r="BA23" s="16"/>
      <c r="BB23" s="16"/>
      <c r="BC23" s="16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</row>
    <row r="24" spans="2:231" x14ac:dyDescent="0.15">
      <c r="B24" t="s">
        <v>269</v>
      </c>
      <c r="C24" t="s">
        <v>294</v>
      </c>
      <c r="D24">
        <v>203</v>
      </c>
      <c r="E24">
        <v>19</v>
      </c>
      <c r="F24">
        <v>14.1</v>
      </c>
      <c r="G24">
        <v>0</v>
      </c>
      <c r="H24">
        <v>90</v>
      </c>
      <c r="J24" s="69" t="s">
        <v>269</v>
      </c>
      <c r="K24" s="15">
        <v>3.5182339449541282</v>
      </c>
      <c r="L24" s="15">
        <v>3.362204585412381</v>
      </c>
      <c r="M24" s="16">
        <v>3.400937431071438</v>
      </c>
      <c r="N24" s="15">
        <v>3.4422338314673135</v>
      </c>
      <c r="O24" s="15">
        <v>3.4828242301519547</v>
      </c>
      <c r="P24" s="15">
        <v>3.522486330454357</v>
      </c>
      <c r="Q24" s="15">
        <v>3.5615901014696232</v>
      </c>
      <c r="R24" s="15">
        <v>3.6001118211839374</v>
      </c>
      <c r="S24" s="15">
        <v>3.6407577973611649</v>
      </c>
      <c r="T24" s="15">
        <v>3.6819374796089015</v>
      </c>
      <c r="U24" s="15">
        <v>3.7234808438100448</v>
      </c>
      <c r="V24" s="15">
        <v>3.7652433977264526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6"/>
      <c r="AV24" s="16"/>
      <c r="AW24" s="16"/>
      <c r="AX24" s="16"/>
      <c r="AY24" s="16"/>
      <c r="AZ24" s="16"/>
      <c r="BA24" s="16"/>
      <c r="BB24" s="16"/>
      <c r="BC24" s="16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</row>
    <row r="25" spans="2:231" x14ac:dyDescent="0.15">
      <c r="B25" t="s">
        <v>270</v>
      </c>
      <c r="C25" t="s">
        <v>295</v>
      </c>
      <c r="D25">
        <v>167</v>
      </c>
      <c r="E25">
        <v>19.3</v>
      </c>
      <c r="F25">
        <v>9.4</v>
      </c>
      <c r="G25">
        <v>1.3</v>
      </c>
      <c r="H25">
        <v>66</v>
      </c>
      <c r="J25" s="69" t="s">
        <v>270</v>
      </c>
      <c r="K25" s="15">
        <v>17.768900186435932</v>
      </c>
      <c r="L25" s="15">
        <v>18.627209938762466</v>
      </c>
      <c r="M25" s="16">
        <v>19.045683672092963</v>
      </c>
      <c r="N25" s="15">
        <v>19.343410284239809</v>
      </c>
      <c r="O25" s="15">
        <v>19.638161059800264</v>
      </c>
      <c r="P25" s="15">
        <v>19.930153894786695</v>
      </c>
      <c r="Q25" s="15">
        <v>20.2190363159844</v>
      </c>
      <c r="R25" s="15">
        <v>20.503304237482237</v>
      </c>
      <c r="S25" s="15">
        <v>20.798190459637592</v>
      </c>
      <c r="T25" s="15">
        <v>21.095146543707404</v>
      </c>
      <c r="U25" s="15">
        <v>21.393126892393401</v>
      </c>
      <c r="V25" s="15">
        <v>21.691587825300747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6"/>
      <c r="AV25" s="16"/>
      <c r="AW25" s="16"/>
      <c r="AX25" s="16"/>
      <c r="AY25" s="16"/>
      <c r="AZ25" s="16"/>
      <c r="BA25" s="16"/>
      <c r="BB25" s="16"/>
      <c r="BC25" s="16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</row>
    <row r="26" spans="2:231" x14ac:dyDescent="0.15">
      <c r="B26" t="s">
        <v>271</v>
      </c>
      <c r="C26" t="s">
        <v>296</v>
      </c>
      <c r="D26">
        <v>144</v>
      </c>
      <c r="E26">
        <v>13.3</v>
      </c>
      <c r="F26">
        <v>8.8000000000000007</v>
      </c>
      <c r="G26">
        <v>2.8</v>
      </c>
      <c r="H26">
        <v>88</v>
      </c>
      <c r="J26" s="69" t="s">
        <v>271</v>
      </c>
      <c r="K26" s="15">
        <v>16.94717269982106</v>
      </c>
      <c r="L26" s="15">
        <v>16.379930101289069</v>
      </c>
      <c r="M26" s="16">
        <v>16.470523186574624</v>
      </c>
      <c r="N26" s="15">
        <v>16.563015324577979</v>
      </c>
      <c r="O26" s="15">
        <v>16.655059825641004</v>
      </c>
      <c r="P26" s="15">
        <v>16.746528105023774</v>
      </c>
      <c r="Q26" s="15">
        <v>16.836956203025725</v>
      </c>
      <c r="R26" s="15">
        <v>16.926584745524394</v>
      </c>
      <c r="S26" s="15">
        <v>17.017379974847735</v>
      </c>
      <c r="T26" s="15">
        <v>17.108215141180501</v>
      </c>
      <c r="U26" s="15">
        <v>17.199076123777328</v>
      </c>
      <c r="V26" s="15">
        <v>17.289857530680131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6"/>
      <c r="AV26" s="16"/>
      <c r="AW26" s="16"/>
      <c r="AX26" s="16"/>
      <c r="AY26" s="16"/>
      <c r="AZ26" s="16"/>
      <c r="BA26" s="16"/>
      <c r="BB26" s="16"/>
      <c r="BC26" s="16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</row>
    <row r="27" spans="2:231" x14ac:dyDescent="0.15">
      <c r="B27" t="s">
        <v>272</v>
      </c>
      <c r="C27" t="s">
        <v>297</v>
      </c>
      <c r="D27">
        <v>54</v>
      </c>
      <c r="E27">
        <v>3</v>
      </c>
      <c r="F27">
        <v>3.2</v>
      </c>
      <c r="G27">
        <v>3.4</v>
      </c>
      <c r="H27">
        <v>100</v>
      </c>
      <c r="J27" s="69" t="s">
        <v>272</v>
      </c>
      <c r="K27" s="15">
        <v>20.407940837485157</v>
      </c>
      <c r="L27" s="15">
        <v>20.924391196949223</v>
      </c>
      <c r="M27" s="16">
        <v>21.232988629965078</v>
      </c>
      <c r="N27" s="15">
        <v>21.550293462961694</v>
      </c>
      <c r="O27" s="15">
        <v>21.853629430224409</v>
      </c>
      <c r="P27" s="15">
        <v>22.144384111934109</v>
      </c>
      <c r="Q27" s="15">
        <v>22.424961100110323</v>
      </c>
      <c r="R27" s="15">
        <v>22.694566854373488</v>
      </c>
      <c r="S27" s="15">
        <v>22.974304620729725</v>
      </c>
      <c r="T27" s="15">
        <v>23.253095319659959</v>
      </c>
      <c r="U27" s="15">
        <v>23.529680824095248</v>
      </c>
      <c r="V27" s="15">
        <v>23.803780880236456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6"/>
      <c r="AV27" s="16"/>
      <c r="AW27" s="16"/>
      <c r="AX27" s="16"/>
      <c r="AY27" s="16"/>
      <c r="AZ27" s="16"/>
      <c r="BA27" s="16"/>
      <c r="BB27" s="16"/>
      <c r="BC27" s="16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</row>
    <row r="28" spans="2:231" x14ac:dyDescent="0.15">
      <c r="B28" t="s">
        <v>273</v>
      </c>
      <c r="C28" t="s">
        <v>298</v>
      </c>
      <c r="D28">
        <v>103</v>
      </c>
      <c r="E28">
        <v>16.600000000000001</v>
      </c>
      <c r="F28">
        <v>3.3</v>
      </c>
      <c r="G28">
        <v>1.6</v>
      </c>
      <c r="H28">
        <v>59</v>
      </c>
      <c r="J28" s="69" t="s">
        <v>273</v>
      </c>
      <c r="K28" s="15">
        <v>23.583450715866093</v>
      </c>
      <c r="L28" s="15">
        <v>25.476850144851198</v>
      </c>
      <c r="M28" s="16">
        <v>25.67274063973008</v>
      </c>
      <c r="N28" s="15">
        <v>25.872749621139953</v>
      </c>
      <c r="O28" s="15">
        <v>26.065079376525617</v>
      </c>
      <c r="P28" s="15">
        <v>26.248356144603115</v>
      </c>
      <c r="Q28" s="15">
        <v>26.423118960191747</v>
      </c>
      <c r="R28" s="15">
        <v>26.595540761931083</v>
      </c>
      <c r="S28" s="15">
        <v>26.775138217172746</v>
      </c>
      <c r="T28" s="15">
        <v>26.955995589427669</v>
      </c>
      <c r="U28" s="15">
        <v>27.13773937864099</v>
      </c>
      <c r="V28" s="15">
        <v>27.319668499545433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6"/>
      <c r="AV28" s="16"/>
      <c r="AW28" s="16"/>
      <c r="AX28" s="16"/>
      <c r="AY28" s="16"/>
      <c r="AZ28" s="16"/>
      <c r="BA28" s="16"/>
      <c r="BB28" s="16"/>
      <c r="BC28" s="16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</row>
    <row r="29" spans="2:231" x14ac:dyDescent="0.15">
      <c r="J29" s="69" t="s">
        <v>274</v>
      </c>
      <c r="K29" s="15">
        <v>1.1683204992127134</v>
      </c>
      <c r="L29" s="15">
        <v>0.88422499130998855</v>
      </c>
      <c r="M29" s="16">
        <v>0.8817321895985285</v>
      </c>
      <c r="N29" s="15">
        <v>0.87966180993823662</v>
      </c>
      <c r="O29" s="15">
        <v>0.87785050094187678</v>
      </c>
      <c r="P29" s="15">
        <v>0.87623730742533135</v>
      </c>
      <c r="Q29" s="15">
        <v>0.8748761602163253</v>
      </c>
      <c r="R29" s="15">
        <v>0.87375453487996224</v>
      </c>
      <c r="S29" s="15">
        <v>0.87294247985696038</v>
      </c>
      <c r="T29" s="15">
        <v>0.8723564764026156</v>
      </c>
      <c r="U29" s="15">
        <v>0.87197171513029481</v>
      </c>
      <c r="V29" s="15">
        <v>0.87176183646995986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6"/>
      <c r="AV29" s="16"/>
      <c r="AW29" s="16"/>
      <c r="AX29" s="16"/>
      <c r="AY29" s="16"/>
      <c r="AZ29" s="16"/>
      <c r="BA29" s="16"/>
      <c r="BB29" s="16"/>
      <c r="BC29" s="16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</row>
    <row r="30" spans="2:231" x14ac:dyDescent="0.15">
      <c r="B30" s="17"/>
      <c r="C30" s="17" t="s">
        <v>299</v>
      </c>
      <c r="D30" s="17" t="s">
        <v>300</v>
      </c>
      <c r="E30" s="17" t="s">
        <v>301</v>
      </c>
    </row>
    <row r="31" spans="2:231" x14ac:dyDescent="0.15">
      <c r="B31" s="17" t="s">
        <v>302</v>
      </c>
      <c r="C31" s="17">
        <v>25</v>
      </c>
      <c r="D31" s="17">
        <v>30</v>
      </c>
      <c r="E31" s="17">
        <f t="shared" ref="E31:E40" si="3">(C31+D31)/2</f>
        <v>27.5</v>
      </c>
      <c r="F31">
        <f>(M14+M17+M15)/(29736/37843)</f>
        <v>40.006913228947361</v>
      </c>
      <c r="I31" t="s">
        <v>303</v>
      </c>
    </row>
    <row r="32" spans="2:231" x14ac:dyDescent="0.15">
      <c r="B32" s="17" t="s">
        <v>304</v>
      </c>
      <c r="C32" s="17">
        <v>300</v>
      </c>
      <c r="D32" s="17">
        <v>500</v>
      </c>
      <c r="E32" s="17">
        <f t="shared" si="3"/>
        <v>400</v>
      </c>
      <c r="F32">
        <f>M27</f>
        <v>21.232988629965078</v>
      </c>
      <c r="J32" s="17"/>
      <c r="M32"/>
    </row>
    <row r="33" spans="2:13" x14ac:dyDescent="0.15">
      <c r="B33" s="17" t="s">
        <v>305</v>
      </c>
      <c r="C33" s="17">
        <v>25</v>
      </c>
      <c r="D33" s="17">
        <v>35</v>
      </c>
      <c r="E33" s="17">
        <f t="shared" si="3"/>
        <v>30</v>
      </c>
      <c r="F33">
        <f>M13</f>
        <v>0.27229409625293566</v>
      </c>
      <c r="M33"/>
    </row>
    <row r="34" spans="2:13" x14ac:dyDescent="0.15">
      <c r="B34" s="17" t="s">
        <v>70</v>
      </c>
      <c r="C34" s="17">
        <v>40</v>
      </c>
      <c r="D34" s="17">
        <v>75</v>
      </c>
      <c r="E34" s="17">
        <f t="shared" si="3"/>
        <v>57.5</v>
      </c>
      <c r="F34">
        <f>M22+M23+M24+M25</f>
        <v>61.739574933890644</v>
      </c>
    </row>
    <row r="35" spans="2:13" x14ac:dyDescent="0.15">
      <c r="B35" s="17" t="s">
        <v>298</v>
      </c>
      <c r="C35" s="17">
        <v>40</v>
      </c>
      <c r="D35" s="17">
        <v>75</v>
      </c>
      <c r="E35" s="17">
        <f t="shared" si="3"/>
        <v>57.5</v>
      </c>
      <c r="F35">
        <f>M28</f>
        <v>25.67274063973008</v>
      </c>
    </row>
    <row r="36" spans="2:13" x14ac:dyDescent="0.15">
      <c r="B36" s="17" t="s">
        <v>306</v>
      </c>
      <c r="C36" s="17">
        <v>40</v>
      </c>
      <c r="D36" s="17">
        <v>50</v>
      </c>
      <c r="E36" s="17">
        <f t="shared" si="3"/>
        <v>45</v>
      </c>
      <c r="F36">
        <f>M26</f>
        <v>16.470523186574624</v>
      </c>
    </row>
    <row r="37" spans="2:13" x14ac:dyDescent="0.15">
      <c r="B37" s="17" t="s">
        <v>307</v>
      </c>
      <c r="C37" s="17">
        <v>300</v>
      </c>
      <c r="D37" s="17">
        <v>500</v>
      </c>
      <c r="E37" s="17">
        <f t="shared" si="3"/>
        <v>400</v>
      </c>
      <c r="F37">
        <f>M21</f>
        <v>134.04167327117099</v>
      </c>
    </row>
    <row r="38" spans="2:13" x14ac:dyDescent="0.15">
      <c r="B38" s="17" t="s">
        <v>308</v>
      </c>
      <c r="C38" s="17">
        <v>200</v>
      </c>
      <c r="D38" s="17">
        <v>350</v>
      </c>
      <c r="E38" s="17">
        <f t="shared" si="3"/>
        <v>275</v>
      </c>
      <c r="F38">
        <f>M20</f>
        <v>134.74578338021914</v>
      </c>
    </row>
    <row r="39" spans="2:13" x14ac:dyDescent="0.15">
      <c r="B39" s="17" t="s">
        <v>309</v>
      </c>
      <c r="C39" s="17">
        <v>200</v>
      </c>
      <c r="D39" s="17">
        <v>300</v>
      </c>
      <c r="E39" s="17">
        <f t="shared" si="3"/>
        <v>250</v>
      </c>
      <c r="F39">
        <f>M8+M9+M10+M12</f>
        <v>188.68956604996052</v>
      </c>
    </row>
    <row r="40" spans="2:13" x14ac:dyDescent="0.15">
      <c r="B40" s="17" t="s">
        <v>310</v>
      </c>
      <c r="C40" s="17">
        <v>50</v>
      </c>
      <c r="D40" s="17">
        <v>100</v>
      </c>
      <c r="E40" s="17">
        <f t="shared" si="3"/>
        <v>75</v>
      </c>
      <c r="F40">
        <f>M11</f>
        <v>44.719124833840951</v>
      </c>
    </row>
    <row r="55" spans="9:9" x14ac:dyDescent="0.15">
      <c r="I55" t="s">
        <v>311</v>
      </c>
    </row>
    <row r="69" spans="7:9" x14ac:dyDescent="0.15">
      <c r="G69" t="s">
        <v>71</v>
      </c>
      <c r="H69">
        <f>SUM(M56:M61)</f>
        <v>0</v>
      </c>
      <c r="I69" s="18" t="e">
        <f t="shared" ref="I69:I74" si="4">H69/$M$77</f>
        <v>#DIV/0!</v>
      </c>
    </row>
    <row r="70" spans="7:9" x14ac:dyDescent="0.15">
      <c r="G70" t="s">
        <v>312</v>
      </c>
      <c r="H70">
        <f>M66</f>
        <v>0</v>
      </c>
      <c r="I70" s="18" t="e">
        <f t="shared" si="4"/>
        <v>#DIV/0!</v>
      </c>
    </row>
    <row r="71" spans="7:9" x14ac:dyDescent="0.15">
      <c r="G71" t="s">
        <v>313</v>
      </c>
      <c r="H71">
        <f>M68+M69</f>
        <v>0</v>
      </c>
      <c r="I71" s="18" t="e">
        <f t="shared" si="4"/>
        <v>#DIV/0!</v>
      </c>
    </row>
    <row r="72" spans="7:9" x14ac:dyDescent="0.15">
      <c r="G72" t="s">
        <v>314</v>
      </c>
      <c r="H72">
        <f>M62+M63+M65</f>
        <v>0</v>
      </c>
      <c r="I72" s="18" t="e">
        <f t="shared" si="4"/>
        <v>#DIV/0!</v>
      </c>
    </row>
    <row r="73" spans="7:9" x14ac:dyDescent="0.15">
      <c r="G73" t="s">
        <v>315</v>
      </c>
      <c r="H73">
        <f>(M70+M71+M72+M73+M76)</f>
        <v>0</v>
      </c>
      <c r="I73" s="18" t="e">
        <f t="shared" si="4"/>
        <v>#DIV/0!</v>
      </c>
    </row>
    <row r="74" spans="7:9" x14ac:dyDescent="0.15">
      <c r="G74" t="s">
        <v>316</v>
      </c>
      <c r="H74">
        <f>M74+M75</f>
        <v>0</v>
      </c>
      <c r="I74" s="18" t="e">
        <f t="shared" si="4"/>
        <v>#DIV/0!</v>
      </c>
    </row>
    <row r="79" spans="7:9" x14ac:dyDescent="0.15">
      <c r="I79" t="s">
        <v>317</v>
      </c>
    </row>
    <row r="103" spans="9:9" x14ac:dyDescent="0.15">
      <c r="I103" t="s">
        <v>318</v>
      </c>
    </row>
    <row r="120" spans="8:9" x14ac:dyDescent="0.15">
      <c r="H120" t="s">
        <v>319</v>
      </c>
      <c r="I120" s="18" t="e">
        <f>(M104+M105+M106+M108+M109+M116+M117)/M125*9</f>
        <v>#DIV/0!</v>
      </c>
    </row>
    <row r="121" spans="8:9" x14ac:dyDescent="0.15">
      <c r="H121" t="s">
        <v>320</v>
      </c>
      <c r="I121" s="18" t="e">
        <f>(M110+M113+M111)/M125*9</f>
        <v>#DIV/0!</v>
      </c>
    </row>
    <row r="122" spans="8:9" x14ac:dyDescent="0.15">
      <c r="H122" t="s">
        <v>321</v>
      </c>
      <c r="I122" s="18" t="e">
        <f>SUM(M118:M124)/M125*9</f>
        <v>#DIV/0!</v>
      </c>
    </row>
    <row r="123" spans="8:9" x14ac:dyDescent="0.15">
      <c r="I123" s="18"/>
    </row>
    <row r="127" spans="8:9" x14ac:dyDescent="0.15">
      <c r="I127" t="s">
        <v>322</v>
      </c>
    </row>
    <row r="151" spans="9:10" x14ac:dyDescent="0.15">
      <c r="I151" t="s">
        <v>323</v>
      </c>
      <c r="J151" s="19"/>
    </row>
    <row r="152" spans="9:10" x14ac:dyDescent="0.15">
      <c r="J152" s="19"/>
    </row>
    <row r="153" spans="9:10" x14ac:dyDescent="0.15">
      <c r="J153" s="19"/>
    </row>
  </sheetData>
  <phoneticPr fontId="1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H6:V18"/>
  <sheetViews>
    <sheetView topLeftCell="F1" workbookViewId="0">
      <selection activeCell="L23" sqref="L23"/>
    </sheetView>
  </sheetViews>
  <sheetFormatPr defaultColWidth="9" defaultRowHeight="13.5" x14ac:dyDescent="0.15"/>
  <cols>
    <col min="8" max="8" width="13.75"/>
    <col min="13" max="24" width="9" customWidth="1"/>
  </cols>
  <sheetData>
    <row r="6" spans="8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8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8:22" x14ac:dyDescent="0.15">
      <c r="H8" s="14">
        <f>N8/L8-1</f>
        <v>-5.6237782184834773E-3</v>
      </c>
      <c r="J8" s="69" t="s">
        <v>246</v>
      </c>
      <c r="K8">
        <v>1069.8599999999999</v>
      </c>
      <c r="L8">
        <v>863.84</v>
      </c>
      <c r="M8">
        <v>860.54281960987794</v>
      </c>
      <c r="N8">
        <v>858.98195542374526</v>
      </c>
      <c r="O8">
        <v>857.41668811386023</v>
      </c>
      <c r="P8">
        <v>855.64637061745066</v>
      </c>
      <c r="Q8">
        <v>853.74897065211871</v>
      </c>
      <c r="R8">
        <v>851.77799969126522</v>
      </c>
      <c r="S8">
        <v>849.84737285358904</v>
      </c>
      <c r="T8">
        <v>847.95216423112311</v>
      </c>
      <c r="U8">
        <v>846.09007712956259</v>
      </c>
      <c r="V8">
        <v>844.25814244165747</v>
      </c>
    </row>
    <row r="9" spans="8:22" x14ac:dyDescent="0.15">
      <c r="H9" s="14">
        <f t="shared" ref="H9:H17" si="0">N9/L9-1</f>
        <v>-8.2783145523372959E-3</v>
      </c>
      <c r="J9" s="69" t="s">
        <v>247</v>
      </c>
      <c r="K9">
        <v>1440</v>
      </c>
      <c r="L9">
        <v>2040</v>
      </c>
      <c r="M9">
        <v>2029.2955405470786</v>
      </c>
      <c r="N9">
        <v>2023.112238313232</v>
      </c>
      <c r="O9">
        <v>2020.1922148189028</v>
      </c>
      <c r="P9">
        <v>2018.7812216148188</v>
      </c>
      <c r="Q9">
        <v>2017.3778664263491</v>
      </c>
      <c r="R9">
        <v>2016.0474420706121</v>
      </c>
      <c r="S9">
        <v>2014.8745798069865</v>
      </c>
      <c r="T9">
        <v>2013.8487975841895</v>
      </c>
      <c r="U9">
        <v>2012.9656306663401</v>
      </c>
      <c r="V9">
        <v>2012.2190606356749</v>
      </c>
    </row>
    <row r="10" spans="8:22" x14ac:dyDescent="0.15">
      <c r="H10" s="14">
        <f t="shared" si="0"/>
        <v>2.5796846340901958E-3</v>
      </c>
      <c r="J10" s="69" t="s">
        <v>248</v>
      </c>
      <c r="K10">
        <v>17200</v>
      </c>
      <c r="L10">
        <v>19500</v>
      </c>
      <c r="M10">
        <v>19543.818699527739</v>
      </c>
      <c r="N10">
        <v>19550.303850364759</v>
      </c>
      <c r="O10">
        <v>19582.433612972443</v>
      </c>
      <c r="P10">
        <v>19626.189024526968</v>
      </c>
      <c r="Q10">
        <v>19670.180178685659</v>
      </c>
      <c r="R10">
        <v>19715.094147360978</v>
      </c>
      <c r="S10">
        <v>19761.888613914896</v>
      </c>
      <c r="T10">
        <v>19810.468607501392</v>
      </c>
      <c r="U10">
        <v>19860.797688518775</v>
      </c>
      <c r="V10">
        <v>19912.823330494575</v>
      </c>
    </row>
    <row r="11" spans="8:22" x14ac:dyDescent="0.15">
      <c r="H11" s="14">
        <f t="shared" si="0"/>
        <v>1.8670289223998715E-3</v>
      </c>
      <c r="J11" s="69" t="s">
        <v>249</v>
      </c>
      <c r="K11">
        <v>570.17999999999995</v>
      </c>
      <c r="L11">
        <v>589.86</v>
      </c>
      <c r="M11">
        <v>590.99837392523864</v>
      </c>
      <c r="N11">
        <v>590.96128568016684</v>
      </c>
      <c r="O11">
        <v>591.69871041629926</v>
      </c>
      <c r="P11">
        <v>592.79563499151868</v>
      </c>
      <c r="Q11">
        <v>593.90486402614511</v>
      </c>
      <c r="R11">
        <v>595.04626293130752</v>
      </c>
      <c r="S11">
        <v>596.24344037397884</v>
      </c>
      <c r="T11">
        <v>597.49347413430428</v>
      </c>
      <c r="U11">
        <v>598.79521092285472</v>
      </c>
      <c r="V11">
        <v>600.14701543283581</v>
      </c>
    </row>
    <row r="12" spans="8:22" x14ac:dyDescent="0.15">
      <c r="H12" s="14">
        <f t="shared" si="0"/>
        <v>1.8670289223881031E-3</v>
      </c>
      <c r="J12" s="69" t="s">
        <v>250</v>
      </c>
      <c r="K12">
        <v>490</v>
      </c>
      <c r="L12">
        <v>320</v>
      </c>
      <c r="M12">
        <v>320.61756968785187</v>
      </c>
      <c r="N12">
        <v>320.59744925516418</v>
      </c>
      <c r="O12">
        <v>320.99750336217477</v>
      </c>
      <c r="P12">
        <v>321.59258671088958</v>
      </c>
      <c r="Q12">
        <v>322.19434524864624</v>
      </c>
      <c r="R12">
        <v>322.81355599297825</v>
      </c>
      <c r="S12">
        <v>323.46302668374335</v>
      </c>
      <c r="T12">
        <v>324.1411720119666</v>
      </c>
      <c r="U12">
        <v>324.8473663162676</v>
      </c>
      <c r="V12">
        <v>325.58072244008872</v>
      </c>
    </row>
    <row r="13" spans="8:22" x14ac:dyDescent="0.15">
      <c r="H13" s="14">
        <f t="shared" si="0"/>
        <v>1.8670289223998715E-3</v>
      </c>
      <c r="J13" s="69" t="s">
        <v>251</v>
      </c>
      <c r="K13">
        <v>430</v>
      </c>
      <c r="L13">
        <v>430</v>
      </c>
      <c r="M13">
        <v>430.82985926805088</v>
      </c>
      <c r="N13">
        <v>430.80282243663197</v>
      </c>
      <c r="O13">
        <v>431.34039514293005</v>
      </c>
      <c r="P13">
        <v>432.14003839275932</v>
      </c>
      <c r="Q13">
        <v>432.94865142786841</v>
      </c>
      <c r="R13">
        <v>433.78071586556513</v>
      </c>
      <c r="S13">
        <v>434.65344210628103</v>
      </c>
      <c r="T13">
        <v>435.56469989107734</v>
      </c>
      <c r="U13">
        <v>436.51364848748437</v>
      </c>
      <c r="V13">
        <v>437.49909577886172</v>
      </c>
    </row>
    <row r="14" spans="8:22" x14ac:dyDescent="0.15">
      <c r="H14" s="14">
        <f t="shared" si="0"/>
        <v>3.2241621339468285E-3</v>
      </c>
      <c r="J14" s="69" t="s">
        <v>254</v>
      </c>
      <c r="K14">
        <v>7540</v>
      </c>
      <c r="L14">
        <v>7821</v>
      </c>
      <c r="M14">
        <v>7849.3439310995445</v>
      </c>
      <c r="N14">
        <v>7846.2161720495988</v>
      </c>
      <c r="O14">
        <v>7868.1532119392359</v>
      </c>
      <c r="P14">
        <v>7902.1456708858404</v>
      </c>
      <c r="Q14">
        <v>7936.2960497795057</v>
      </c>
      <c r="R14">
        <v>7970.8783072948891</v>
      </c>
      <c r="S14">
        <v>8006.2904962694256</v>
      </c>
      <c r="T14">
        <v>8042.4959564757246</v>
      </c>
      <c r="U14">
        <v>8079.4817461817993</v>
      </c>
      <c r="V14">
        <v>8117.2280943869946</v>
      </c>
    </row>
    <row r="15" spans="8:22" x14ac:dyDescent="0.15">
      <c r="H15" s="14">
        <f t="shared" si="0"/>
        <v>1.8670289223998715E-3</v>
      </c>
      <c r="J15" s="69" t="s">
        <v>257</v>
      </c>
      <c r="K15">
        <v>1449.7</v>
      </c>
      <c r="L15">
        <v>1522.1849999999999</v>
      </c>
      <c r="M15">
        <v>1525.1226728603224</v>
      </c>
      <c r="N15">
        <v>1525.0269634202432</v>
      </c>
      <c r="O15">
        <v>1526.9299520480029</v>
      </c>
      <c r="P15">
        <v>1529.7606612578656</v>
      </c>
      <c r="Q15">
        <v>1532.6231231947204</v>
      </c>
      <c r="R15">
        <v>1535.568602278664</v>
      </c>
      <c r="S15">
        <v>1538.6580227268589</v>
      </c>
      <c r="T15">
        <v>1541.8838434969757</v>
      </c>
      <c r="U15">
        <v>1545.2430884253984</v>
      </c>
      <c r="V15">
        <v>1548.7315374608058</v>
      </c>
    </row>
    <row r="16" spans="8:22" x14ac:dyDescent="0.15">
      <c r="H16" s="14">
        <f t="shared" si="0"/>
        <v>-1</v>
      </c>
      <c r="J16" s="69" t="s">
        <v>258</v>
      </c>
      <c r="K16">
        <v>104.8</v>
      </c>
      <c r="L16">
        <v>105</v>
      </c>
    </row>
    <row r="17" spans="8:22" x14ac:dyDescent="0.15">
      <c r="H17" s="14">
        <f t="shared" si="0"/>
        <v>1.8670289223998715E-3</v>
      </c>
      <c r="J17" s="69" t="s">
        <v>260</v>
      </c>
      <c r="K17">
        <v>385</v>
      </c>
      <c r="L17">
        <v>402</v>
      </c>
      <c r="M17">
        <v>402.77582192036391</v>
      </c>
      <c r="N17">
        <v>402.75054562680475</v>
      </c>
      <c r="O17">
        <v>403.25311359873928</v>
      </c>
      <c r="P17">
        <v>404.00068705555634</v>
      </c>
      <c r="Q17">
        <v>404.75664621861182</v>
      </c>
      <c r="R17">
        <v>405.53452971617952</v>
      </c>
      <c r="S17">
        <v>406.35042727145333</v>
      </c>
      <c r="T17">
        <v>407.20234734003043</v>
      </c>
      <c r="U17">
        <v>408.08950393481086</v>
      </c>
      <c r="V17">
        <v>409.01078256535448</v>
      </c>
    </row>
    <row r="18" spans="8:22" x14ac:dyDescent="0.15">
      <c r="J18" s="69" t="s">
        <v>274</v>
      </c>
      <c r="K18">
        <v>2675.2037062606901</v>
      </c>
      <c r="L18">
        <v>3034.4730965130002</v>
      </c>
      <c r="M18">
        <v>3040.3293421474013</v>
      </c>
      <c r="N18">
        <v>3040.1385455484346</v>
      </c>
      <c r="O18">
        <v>3043.9321500011811</v>
      </c>
      <c r="P18">
        <v>3049.5751637881931</v>
      </c>
      <c r="Q18">
        <v>3055.281476580119</v>
      </c>
      <c r="R18">
        <v>3061.1532839074594</v>
      </c>
      <c r="S18">
        <v>3067.3120380890246</v>
      </c>
      <c r="T18">
        <v>3073.7427060703094</v>
      </c>
      <c r="U18">
        <v>3080.439354874427</v>
      </c>
      <c r="V18">
        <v>3087.3935718365587</v>
      </c>
    </row>
  </sheetData>
  <phoneticPr fontId="1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J6:V47"/>
  <sheetViews>
    <sheetView topLeftCell="I1" workbookViewId="0">
      <selection activeCell="L47" sqref="L47"/>
    </sheetView>
  </sheetViews>
  <sheetFormatPr defaultColWidth="9" defaultRowHeight="13.5" x14ac:dyDescent="0.15"/>
  <cols>
    <col min="12" max="12" width="12.75" customWidth="1"/>
    <col min="13" max="24" width="9" customWidth="1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1780</v>
      </c>
      <c r="L8">
        <v>1800</v>
      </c>
      <c r="M8">
        <v>1907.7131220857254</v>
      </c>
      <c r="N8">
        <v>2021.3924168947869</v>
      </c>
      <c r="O8">
        <v>2140.1373766931451</v>
      </c>
      <c r="P8">
        <v>2264.3502095539725</v>
      </c>
      <c r="Q8">
        <v>2394.9644399013018</v>
      </c>
      <c r="R8">
        <v>2531.1207022469994</v>
      </c>
      <c r="S8">
        <v>2673.341305250377</v>
      </c>
      <c r="T8">
        <v>2822.2363144934125</v>
      </c>
      <c r="U8">
        <v>2977.6985866927193</v>
      </c>
      <c r="V8">
        <v>3139.8999903508429</v>
      </c>
    </row>
    <row r="9" spans="10:22" x14ac:dyDescent="0.15">
      <c r="J9" s="69" t="s">
        <v>247</v>
      </c>
      <c r="K9">
        <v>1150</v>
      </c>
      <c r="L9">
        <v>1000</v>
      </c>
      <c r="M9">
        <v>1057.5924592913375</v>
      </c>
      <c r="N9">
        <v>1118.2722579317315</v>
      </c>
      <c r="O9">
        <v>1181.6272482277561</v>
      </c>
      <c r="P9">
        <v>1247.8129836575574</v>
      </c>
      <c r="Q9">
        <v>1317.2717082188724</v>
      </c>
      <c r="R9">
        <v>1389.6522590410923</v>
      </c>
      <c r="S9">
        <v>1465.2242810588518</v>
      </c>
      <c r="T9">
        <v>1544.2744304120708</v>
      </c>
      <c r="U9">
        <v>1626.7676475308069</v>
      </c>
      <c r="V9">
        <v>1712.7998693145012</v>
      </c>
    </row>
    <row r="10" spans="10:22" x14ac:dyDescent="0.15">
      <c r="J10" s="69" t="s">
        <v>248</v>
      </c>
      <c r="K10">
        <v>7750</v>
      </c>
      <c r="L10">
        <v>7900</v>
      </c>
      <c r="M10">
        <v>7988.9641917752861</v>
      </c>
      <c r="N10">
        <v>8077.3943572925864</v>
      </c>
      <c r="O10">
        <v>8161.254785190079</v>
      </c>
      <c r="P10">
        <v>8241.2525714300937</v>
      </c>
      <c r="Q10">
        <v>8319.5743167268738</v>
      </c>
      <c r="R10">
        <v>8392.9707170546499</v>
      </c>
      <c r="S10">
        <v>8462.5106290093827</v>
      </c>
      <c r="T10">
        <v>8529.1702996141958</v>
      </c>
      <c r="U10">
        <v>8592.0455466194362</v>
      </c>
      <c r="V10">
        <v>8651.0312155635293</v>
      </c>
    </row>
    <row r="11" spans="10:22" x14ac:dyDescent="0.15">
      <c r="J11" s="69" t="s">
        <v>249</v>
      </c>
      <c r="K11">
        <v>950.3</v>
      </c>
      <c r="L11">
        <v>983.1</v>
      </c>
      <c r="M11">
        <v>1008.0839962589824</v>
      </c>
      <c r="N11">
        <v>1033.4996814358342</v>
      </c>
      <c r="O11">
        <v>1058.8433721909032</v>
      </c>
      <c r="P11">
        <v>1084.1608417246914</v>
      </c>
      <c r="Q11">
        <v>1109.7554974494774</v>
      </c>
      <c r="R11">
        <v>1135.2002451323845</v>
      </c>
      <c r="S11">
        <v>1160.6230303625373</v>
      </c>
      <c r="T11">
        <v>1186.1464699005544</v>
      </c>
      <c r="U11">
        <v>1211.6351211733056</v>
      </c>
      <c r="V11">
        <v>1237.0603086428209</v>
      </c>
    </row>
    <row r="12" spans="10:22" x14ac:dyDescent="0.15">
      <c r="J12" s="69" t="s">
        <v>250</v>
      </c>
      <c r="K12">
        <v>0.9</v>
      </c>
      <c r="L12">
        <v>0.9</v>
      </c>
      <c r="M12">
        <v>0.90523760333432701</v>
      </c>
      <c r="N12">
        <v>0.91042825100194824</v>
      </c>
      <c r="O12">
        <v>0.9154778952029311</v>
      </c>
      <c r="P12">
        <v>0.92038858979815596</v>
      </c>
      <c r="Q12">
        <v>0.92522502958487063</v>
      </c>
      <c r="R12">
        <v>0.92995381396816212</v>
      </c>
      <c r="S12">
        <v>0.93463525786170698</v>
      </c>
      <c r="T12">
        <v>0.93924505228363997</v>
      </c>
      <c r="U12">
        <v>0.94376012948978427</v>
      </c>
      <c r="V12">
        <v>0.94817580500510945</v>
      </c>
    </row>
    <row r="13" spans="10:22" x14ac:dyDescent="0.15">
      <c r="J13" s="69" t="s">
        <v>251</v>
      </c>
      <c r="K13">
        <v>1055.1600000000001</v>
      </c>
      <c r="L13">
        <v>789.6</v>
      </c>
      <c r="M13">
        <v>794.43028644130266</v>
      </c>
      <c r="N13">
        <v>799.22415070278839</v>
      </c>
      <c r="O13">
        <v>803.8988932822291</v>
      </c>
      <c r="P13">
        <v>808.45579611483299</v>
      </c>
      <c r="Q13">
        <v>812.95014082265823</v>
      </c>
      <c r="R13">
        <v>817.34023409932809</v>
      </c>
      <c r="S13">
        <v>821.679431029169</v>
      </c>
      <c r="T13">
        <v>825.94671738789214</v>
      </c>
      <c r="U13">
        <v>830.12213698475205</v>
      </c>
      <c r="V13">
        <v>834.20187735141496</v>
      </c>
    </row>
    <row r="14" spans="10:22" x14ac:dyDescent="0.15">
      <c r="J14" s="69" t="s">
        <v>261</v>
      </c>
      <c r="K14">
        <v>786.4</v>
      </c>
      <c r="L14">
        <v>760</v>
      </c>
      <c r="M14">
        <v>791.27066853592078</v>
      </c>
      <c r="N14">
        <v>795.89864607234131</v>
      </c>
      <c r="O14">
        <v>800.40133532323409</v>
      </c>
      <c r="P14">
        <v>804.78082415945175</v>
      </c>
      <c r="Q14">
        <v>809.09630595037186</v>
      </c>
      <c r="R14">
        <v>813.31423598048036</v>
      </c>
      <c r="S14">
        <v>817.48748669664246</v>
      </c>
      <c r="T14">
        <v>821.59492291054312</v>
      </c>
      <c r="U14">
        <v>825.6164832817243</v>
      </c>
      <c r="V14">
        <v>829.54817917214029</v>
      </c>
    </row>
    <row r="15" spans="10:22" x14ac:dyDescent="0.15">
      <c r="J15" s="69" t="s">
        <v>262</v>
      </c>
      <c r="K15">
        <v>930</v>
      </c>
      <c r="L15">
        <v>867.9</v>
      </c>
      <c r="M15">
        <v>876.54348181008004</v>
      </c>
      <c r="N15">
        <v>885.17844125464808</v>
      </c>
      <c r="O15">
        <v>893.63034219754263</v>
      </c>
      <c r="P15">
        <v>901.9209134021238</v>
      </c>
      <c r="Q15">
        <v>910.14592074394261</v>
      </c>
      <c r="R15">
        <v>918.22806507104031</v>
      </c>
      <c r="S15">
        <v>926.24013660809783</v>
      </c>
      <c r="T15">
        <v>934.19026903106976</v>
      </c>
      <c r="U15">
        <v>942.03454594815355</v>
      </c>
      <c r="V15">
        <v>949.76477701624538</v>
      </c>
    </row>
    <row r="16" spans="10:22" x14ac:dyDescent="0.15">
      <c r="J16" s="69" t="s">
        <v>263</v>
      </c>
      <c r="K16">
        <v>882</v>
      </c>
      <c r="L16">
        <v>960</v>
      </c>
      <c r="M16">
        <v>963.42414437726757</v>
      </c>
      <c r="N16">
        <v>966.84373702253311</v>
      </c>
      <c r="O16">
        <v>970.25796050038639</v>
      </c>
      <c r="P16">
        <v>973.66812101995367</v>
      </c>
      <c r="Q16">
        <v>977.11868260720075</v>
      </c>
      <c r="R16">
        <v>980.46899104193437</v>
      </c>
      <c r="S16">
        <v>983.73378088333675</v>
      </c>
      <c r="T16">
        <v>986.93327619131492</v>
      </c>
      <c r="U16">
        <v>990.07817432130355</v>
      </c>
      <c r="V16">
        <v>993.18177812798763</v>
      </c>
    </row>
    <row r="17" spans="10:22" x14ac:dyDescent="0.15">
      <c r="J17" s="69" t="s">
        <v>264</v>
      </c>
      <c r="K17">
        <v>114</v>
      </c>
      <c r="L17">
        <v>156</v>
      </c>
      <c r="M17">
        <v>156</v>
      </c>
      <c r="N17">
        <v>156</v>
      </c>
      <c r="O17">
        <v>155.99999999999997</v>
      </c>
      <c r="P17">
        <v>156.00000000000011</v>
      </c>
      <c r="Q17">
        <v>156</v>
      </c>
      <c r="R17">
        <v>156.00000000000009</v>
      </c>
      <c r="S17">
        <v>156.00000000000009</v>
      </c>
      <c r="T17">
        <v>156.00000000000009</v>
      </c>
      <c r="U17">
        <v>156.00000000000006</v>
      </c>
      <c r="V17">
        <v>156.00000000000011</v>
      </c>
    </row>
    <row r="18" spans="10:22" x14ac:dyDescent="0.15">
      <c r="J18" s="69" t="s">
        <v>265</v>
      </c>
      <c r="K18">
        <v>9259.8931499999999</v>
      </c>
      <c r="L18">
        <v>9260.9</v>
      </c>
      <c r="M18">
        <v>9278.1923332201804</v>
      </c>
      <c r="N18">
        <v>9295.1926713620032</v>
      </c>
      <c r="O18">
        <v>9311.6584989825769</v>
      </c>
      <c r="P18">
        <v>9327.4861098137826</v>
      </c>
      <c r="Q18">
        <v>9342.8773962540545</v>
      </c>
      <c r="R18">
        <v>9358.1640999148658</v>
      </c>
      <c r="S18">
        <v>9373.5624487417608</v>
      </c>
      <c r="T18">
        <v>9388.7898071210384</v>
      </c>
      <c r="U18">
        <v>9403.7626730427291</v>
      </c>
      <c r="V18">
        <v>9418.4281326642504</v>
      </c>
    </row>
    <row r="19" spans="10:22" x14ac:dyDescent="0.15">
      <c r="J19" s="69" t="s">
        <v>266</v>
      </c>
      <c r="K19">
        <v>19231.2192</v>
      </c>
      <c r="L19">
        <v>23077.463039999999</v>
      </c>
      <c r="M19">
        <v>23214.045205352104</v>
      </c>
      <c r="N19">
        <v>23348.792877376472</v>
      </c>
      <c r="O19">
        <v>23477.009378911331</v>
      </c>
      <c r="P19">
        <v>23599.106954855513</v>
      </c>
      <c r="Q19">
        <v>23718.126571530927</v>
      </c>
      <c r="R19">
        <v>23830.953456285533</v>
      </c>
      <c r="S19">
        <v>23939.563386984781</v>
      </c>
      <c r="T19">
        <v>24044.236000528588</v>
      </c>
      <c r="U19">
        <v>24143.912444167105</v>
      </c>
      <c r="V19">
        <v>24238.463769518825</v>
      </c>
    </row>
    <row r="20" spans="10:22" x14ac:dyDescent="0.15">
      <c r="J20" s="69" t="s">
        <v>267</v>
      </c>
      <c r="K20">
        <v>1075.4100000000001</v>
      </c>
      <c r="L20">
        <v>1116.6600000000001</v>
      </c>
      <c r="M20">
        <v>1106.9357022058723</v>
      </c>
      <c r="N20">
        <v>1119.0307999293261</v>
      </c>
      <c r="O20">
        <v>1130.9941987812358</v>
      </c>
      <c r="P20">
        <v>1142.8443828612305</v>
      </c>
      <c r="Q20">
        <v>1154.6379763798793</v>
      </c>
      <c r="R20">
        <v>1166.3228775164757</v>
      </c>
      <c r="S20">
        <v>1177.9901787432386</v>
      </c>
      <c r="T20">
        <v>1189.6491028578537</v>
      </c>
      <c r="U20">
        <v>1201.2425636903879</v>
      </c>
      <c r="V20">
        <v>1212.7587977422752</v>
      </c>
    </row>
    <row r="21" spans="10:22" x14ac:dyDescent="0.15">
      <c r="J21" s="69" t="s">
        <v>271</v>
      </c>
      <c r="K21">
        <v>478.55</v>
      </c>
      <c r="L21">
        <v>481.98662477558298</v>
      </c>
      <c r="M21">
        <v>493.9749674350665</v>
      </c>
      <c r="N21">
        <v>506.23528606684425</v>
      </c>
      <c r="O21">
        <v>518.6739807622622</v>
      </c>
      <c r="P21">
        <v>528.9524486934879</v>
      </c>
      <c r="Q21">
        <v>537.21729789820051</v>
      </c>
      <c r="R21">
        <v>544.15620309808423</v>
      </c>
      <c r="S21">
        <v>550.99014102502406</v>
      </c>
      <c r="T21">
        <v>558.82872348700448</v>
      </c>
      <c r="U21">
        <v>567.62816572751876</v>
      </c>
      <c r="V21">
        <v>577.28177241599622</v>
      </c>
    </row>
    <row r="22" spans="10:22" x14ac:dyDescent="0.15">
      <c r="J22" s="69" t="s">
        <v>272</v>
      </c>
      <c r="K22">
        <v>2038.03789516898</v>
      </c>
      <c r="L22">
        <v>2060.45631201584</v>
      </c>
      <c r="M22">
        <v>2077.721516338936</v>
      </c>
      <c r="N22">
        <v>2094.9594001715595</v>
      </c>
      <c r="O22">
        <v>2111.7627309868881</v>
      </c>
      <c r="P22">
        <v>2128.1895913549456</v>
      </c>
      <c r="Q22">
        <v>2144.4085354743288</v>
      </c>
      <c r="R22">
        <v>2160.3955466996931</v>
      </c>
      <c r="S22">
        <v>2176.3191012219213</v>
      </c>
      <c r="T22">
        <v>2192.1950727864787</v>
      </c>
      <c r="U22">
        <v>2207.9173186222101</v>
      </c>
      <c r="V22">
        <v>2223.4638870011199</v>
      </c>
    </row>
    <row r="23" spans="10:22" x14ac:dyDescent="0.15">
      <c r="J23" s="69" t="s">
        <v>273</v>
      </c>
      <c r="K23">
        <v>2647.99</v>
      </c>
      <c r="L23">
        <v>2687.7098500000002</v>
      </c>
      <c r="M23">
        <v>2738.1207789240848</v>
      </c>
      <c r="N23">
        <v>2789.2867230795018</v>
      </c>
      <c r="O23">
        <v>2840.6615291749472</v>
      </c>
      <c r="P23">
        <v>2892.2911206103181</v>
      </c>
      <c r="Q23">
        <v>2944.3981591860202</v>
      </c>
      <c r="R23">
        <v>2996.905106577819</v>
      </c>
      <c r="S23">
        <v>3050.0481852997791</v>
      </c>
      <c r="T23">
        <v>3103.8571950008777</v>
      </c>
      <c r="U23">
        <v>3158.1883932445135</v>
      </c>
      <c r="V23">
        <v>3213.0135543919414</v>
      </c>
    </row>
    <row r="24" spans="10:22" x14ac:dyDescent="0.15">
      <c r="J24" s="69" t="s">
        <v>274</v>
      </c>
      <c r="K24">
        <v>1095.61032031584</v>
      </c>
      <c r="L24">
        <v>827.19940378063097</v>
      </c>
      <c r="M24">
        <v>831.92015570760589</v>
      </c>
      <c r="N24">
        <v>836.57986792380018</v>
      </c>
      <c r="O24">
        <v>841.08958948443978</v>
      </c>
      <c r="P24">
        <v>845.44840797954089</v>
      </c>
      <c r="Q24">
        <v>849.73742670702097</v>
      </c>
      <c r="R24">
        <v>853.93365552947978</v>
      </c>
      <c r="S24">
        <v>858.09225724412795</v>
      </c>
      <c r="T24">
        <v>862.19068476682241</v>
      </c>
      <c r="U24">
        <v>866.20755193573234</v>
      </c>
      <c r="V24">
        <v>870.13836202864877</v>
      </c>
    </row>
    <row r="26" spans="10:22" x14ac:dyDescent="0.15">
      <c r="L26" s="11"/>
    </row>
    <row r="27" spans="10:22" x14ac:dyDescent="0.15">
      <c r="L27" s="11"/>
    </row>
    <row r="28" spans="10:22" x14ac:dyDescent="0.15">
      <c r="K28" s="12"/>
      <c r="L28" s="12"/>
    </row>
    <row r="29" spans="10:22" x14ac:dyDescent="0.15">
      <c r="K29" s="12"/>
      <c r="L29" s="12"/>
    </row>
    <row r="30" spans="10:22" x14ac:dyDescent="0.15">
      <c r="K30" s="12"/>
      <c r="L30" s="12"/>
    </row>
    <row r="31" spans="10:22" x14ac:dyDescent="0.15">
      <c r="K31" s="12"/>
      <c r="L31" s="12"/>
    </row>
    <row r="32" spans="10:22" x14ac:dyDescent="0.15">
      <c r="K32" s="12"/>
      <c r="L32" s="12"/>
    </row>
    <row r="33" spans="11:12" x14ac:dyDescent="0.15">
      <c r="K33" s="12"/>
      <c r="L33" s="12"/>
    </row>
    <row r="34" spans="11:12" x14ac:dyDescent="0.15">
      <c r="K34" s="12"/>
      <c r="L34" s="12"/>
    </row>
    <row r="35" spans="11:12" x14ac:dyDescent="0.15">
      <c r="K35" s="12"/>
      <c r="L35" s="12"/>
    </row>
    <row r="36" spans="11:12" x14ac:dyDescent="0.15">
      <c r="K36" s="12"/>
      <c r="L36" s="12"/>
    </row>
    <row r="37" spans="11:12" x14ac:dyDescent="0.15">
      <c r="K37" s="12"/>
      <c r="L37" s="12"/>
    </row>
    <row r="38" spans="11:12" x14ac:dyDescent="0.15">
      <c r="K38" s="12"/>
      <c r="L38" s="12"/>
    </row>
    <row r="39" spans="11:12" x14ac:dyDescent="0.15">
      <c r="K39" s="12"/>
      <c r="L39" s="12"/>
    </row>
    <row r="40" spans="11:12" x14ac:dyDescent="0.15">
      <c r="K40" s="12"/>
      <c r="L40" s="12"/>
    </row>
    <row r="41" spans="11:12" x14ac:dyDescent="0.15">
      <c r="K41" s="12"/>
      <c r="L41" s="12"/>
    </row>
    <row r="42" spans="11:12" x14ac:dyDescent="0.15">
      <c r="K42" s="12"/>
      <c r="L42" s="12"/>
    </row>
    <row r="43" spans="11:12" x14ac:dyDescent="0.15">
      <c r="K43" s="12"/>
      <c r="L43" s="12"/>
    </row>
    <row r="44" spans="11:12" x14ac:dyDescent="0.15">
      <c r="K44" s="12"/>
      <c r="L44" s="12"/>
    </row>
    <row r="47" spans="11:12" x14ac:dyDescent="0.15">
      <c r="L47" s="13"/>
    </row>
  </sheetData>
  <phoneticPr fontId="1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J6:AI18"/>
  <sheetViews>
    <sheetView workbookViewId="0"/>
  </sheetViews>
  <sheetFormatPr defaultColWidth="9" defaultRowHeight="13.5" x14ac:dyDescent="0.15"/>
  <sheetData>
    <row r="6" spans="10:35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324</v>
      </c>
      <c r="Q6" s="69" t="s">
        <v>324</v>
      </c>
      <c r="R6" s="69" t="s">
        <v>324</v>
      </c>
      <c r="S6" s="69" t="s">
        <v>324</v>
      </c>
      <c r="T6" s="69" t="s">
        <v>324</v>
      </c>
      <c r="U6" s="69" t="s">
        <v>325</v>
      </c>
      <c r="V6" s="69" t="s">
        <v>325</v>
      </c>
      <c r="W6" s="69" t="s">
        <v>325</v>
      </c>
      <c r="X6" s="69" t="s">
        <v>325</v>
      </c>
      <c r="Y6" s="69" t="s">
        <v>325</v>
      </c>
      <c r="Z6" s="69" t="s">
        <v>326</v>
      </c>
      <c r="AA6" s="69" t="s">
        <v>326</v>
      </c>
      <c r="AB6" s="69" t="s">
        <v>326</v>
      </c>
      <c r="AC6" s="69" t="s">
        <v>326</v>
      </c>
      <c r="AD6" s="69" t="s">
        <v>326</v>
      </c>
      <c r="AE6" s="69" t="s">
        <v>327</v>
      </c>
      <c r="AF6" s="69" t="s">
        <v>327</v>
      </c>
      <c r="AG6" s="69" t="s">
        <v>327</v>
      </c>
      <c r="AH6" s="69" t="s">
        <v>327</v>
      </c>
      <c r="AI6" s="69" t="s">
        <v>327</v>
      </c>
    </row>
    <row r="7" spans="10:35" x14ac:dyDescent="0.15">
      <c r="K7" s="69" t="s">
        <v>328</v>
      </c>
      <c r="L7" s="69" t="s">
        <v>329</v>
      </c>
      <c r="M7" s="69" t="s">
        <v>330</v>
      </c>
      <c r="N7" s="69" t="s">
        <v>331</v>
      </c>
      <c r="O7" s="69" t="s">
        <v>332</v>
      </c>
      <c r="P7" s="69" t="s">
        <v>328</v>
      </c>
      <c r="Q7" s="69" t="s">
        <v>329</v>
      </c>
      <c r="R7" s="69" t="s">
        <v>330</v>
      </c>
      <c r="S7" s="69" t="s">
        <v>331</v>
      </c>
      <c r="T7" s="69" t="s">
        <v>332</v>
      </c>
      <c r="U7" s="69" t="s">
        <v>328</v>
      </c>
      <c r="V7" s="69" t="s">
        <v>329</v>
      </c>
      <c r="W7" s="69" t="s">
        <v>330</v>
      </c>
      <c r="X7" s="69" t="s">
        <v>331</v>
      </c>
      <c r="Y7" s="69" t="s">
        <v>332</v>
      </c>
      <c r="Z7" s="69" t="s">
        <v>328</v>
      </c>
      <c r="AA7" s="69" t="s">
        <v>329</v>
      </c>
      <c r="AB7" s="69" t="s">
        <v>330</v>
      </c>
      <c r="AC7" s="69" t="s">
        <v>331</v>
      </c>
      <c r="AD7" s="69" t="s">
        <v>332</v>
      </c>
      <c r="AE7" s="69" t="s">
        <v>328</v>
      </c>
      <c r="AF7" s="69" t="s">
        <v>329</v>
      </c>
      <c r="AG7" s="69" t="s">
        <v>330</v>
      </c>
      <c r="AH7" s="69" t="s">
        <v>331</v>
      </c>
      <c r="AI7" s="69" t="s">
        <v>332</v>
      </c>
    </row>
    <row r="8" spans="10:35" x14ac:dyDescent="0.15">
      <c r="J8" s="69" t="s">
        <v>247</v>
      </c>
      <c r="AC8">
        <v>10</v>
      </c>
      <c r="AD8">
        <v>10</v>
      </c>
    </row>
    <row r="9" spans="10:35" x14ac:dyDescent="0.15">
      <c r="J9" s="69" t="s">
        <v>249</v>
      </c>
      <c r="K9">
        <v>11.7</v>
      </c>
      <c r="L9">
        <v>23.3</v>
      </c>
      <c r="M9">
        <v>32.700000000000003</v>
      </c>
      <c r="N9">
        <v>32.640028780493601</v>
      </c>
      <c r="O9">
        <v>18.029175240566499</v>
      </c>
      <c r="P9">
        <v>11.7</v>
      </c>
      <c r="Q9">
        <v>23.3</v>
      </c>
      <c r="R9">
        <v>32.700000000000003</v>
      </c>
      <c r="U9">
        <v>11.7</v>
      </c>
      <c r="V9">
        <v>23.3</v>
      </c>
      <c r="W9">
        <v>32.700000000000003</v>
      </c>
      <c r="Z9">
        <v>11.7</v>
      </c>
      <c r="AA9">
        <v>23.3</v>
      </c>
      <c r="AB9">
        <v>32.700000000000003</v>
      </c>
      <c r="AE9">
        <v>11.7</v>
      </c>
      <c r="AF9">
        <v>23.3</v>
      </c>
      <c r="AG9">
        <v>32.700000000000003</v>
      </c>
    </row>
    <row r="10" spans="10:35" x14ac:dyDescent="0.15">
      <c r="J10" s="69" t="s">
        <v>254</v>
      </c>
      <c r="K10">
        <v>111.126424</v>
      </c>
      <c r="L10">
        <v>894</v>
      </c>
      <c r="M10">
        <v>81.233199999999997</v>
      </c>
      <c r="P10">
        <v>111.126424</v>
      </c>
      <c r="Q10">
        <v>894</v>
      </c>
      <c r="R10">
        <v>81.233199999999997</v>
      </c>
      <c r="U10">
        <v>111.126424</v>
      </c>
      <c r="V10">
        <v>894</v>
      </c>
      <c r="W10">
        <v>81.233199999999997</v>
      </c>
      <c r="Z10">
        <v>111.126424</v>
      </c>
      <c r="AA10">
        <v>894</v>
      </c>
      <c r="AB10">
        <v>81.233199999999997</v>
      </c>
      <c r="AE10">
        <v>111.126424</v>
      </c>
      <c r="AF10">
        <v>894</v>
      </c>
      <c r="AG10">
        <v>81.233199999999997</v>
      </c>
    </row>
    <row r="11" spans="10:35" x14ac:dyDescent="0.15">
      <c r="J11" s="69" t="s">
        <v>258</v>
      </c>
      <c r="K11">
        <v>18</v>
      </c>
      <c r="P11">
        <v>18</v>
      </c>
      <c r="U11">
        <v>18</v>
      </c>
      <c r="Z11">
        <v>18</v>
      </c>
      <c r="AE11">
        <v>18</v>
      </c>
    </row>
    <row r="12" spans="10:35" x14ac:dyDescent="0.15">
      <c r="J12" s="69" t="s">
        <v>260</v>
      </c>
      <c r="T12">
        <v>14.5957877562803</v>
      </c>
      <c r="Y12">
        <v>37.989206914748799</v>
      </c>
      <c r="AD12">
        <v>39.814099117552601</v>
      </c>
      <c r="AH12">
        <v>0.36990432512578802</v>
      </c>
      <c r="AI12">
        <v>43.875582895384497</v>
      </c>
    </row>
    <row r="13" spans="10:35" x14ac:dyDescent="0.15">
      <c r="J13" s="69" t="s">
        <v>263</v>
      </c>
      <c r="N13">
        <v>13.144689593984401</v>
      </c>
    </row>
    <row r="14" spans="10:35" x14ac:dyDescent="0.15">
      <c r="J14" s="69" t="s">
        <v>264</v>
      </c>
      <c r="N14">
        <v>1.8319338332219099</v>
      </c>
    </row>
    <row r="15" spans="10:35" x14ac:dyDescent="0.15">
      <c r="J15" s="69" t="s">
        <v>289</v>
      </c>
      <c r="K15">
        <v>554.39837511999997</v>
      </c>
      <c r="L15">
        <v>566.15</v>
      </c>
      <c r="M15">
        <v>566.15</v>
      </c>
      <c r="N15">
        <v>567.638368230369</v>
      </c>
      <c r="O15">
        <v>574.60575634322299</v>
      </c>
      <c r="P15">
        <v>554.39837511999997</v>
      </c>
      <c r="Q15">
        <v>566.15</v>
      </c>
      <c r="R15">
        <v>566.15</v>
      </c>
      <c r="S15">
        <v>494.81202618398203</v>
      </c>
      <c r="T15">
        <v>508.620825845323</v>
      </c>
      <c r="U15">
        <v>554.39837511999997</v>
      </c>
      <c r="V15">
        <v>566.15</v>
      </c>
      <c r="W15">
        <v>566.15</v>
      </c>
      <c r="X15">
        <v>426.51593239053</v>
      </c>
      <c r="Y15">
        <v>450.06505721534398</v>
      </c>
      <c r="Z15">
        <v>554.39837511999997</v>
      </c>
      <c r="AA15">
        <v>566.15</v>
      </c>
      <c r="AB15">
        <v>566.15</v>
      </c>
      <c r="AC15">
        <v>428.713394705361</v>
      </c>
      <c r="AD15">
        <v>455.932853629877</v>
      </c>
      <c r="AE15">
        <v>554.39837511999997</v>
      </c>
      <c r="AF15">
        <v>566.15</v>
      </c>
      <c r="AG15">
        <v>566.15</v>
      </c>
      <c r="AH15">
        <v>400.75148438349402</v>
      </c>
      <c r="AI15">
        <v>423.16772943858501</v>
      </c>
    </row>
    <row r="16" spans="10:35" x14ac:dyDescent="0.15">
      <c r="J16" s="69" t="s">
        <v>266</v>
      </c>
      <c r="K16">
        <v>1388.1</v>
      </c>
      <c r="L16">
        <v>1541.5917721518999</v>
      </c>
      <c r="M16">
        <v>1545.09</v>
      </c>
      <c r="N16">
        <v>1420.9126419069801</v>
      </c>
      <c r="O16">
        <v>1289.0661917754601</v>
      </c>
      <c r="P16">
        <v>1388.1</v>
      </c>
      <c r="Q16">
        <v>1541.5917721518999</v>
      </c>
      <c r="R16">
        <v>1545.09</v>
      </c>
      <c r="U16">
        <v>1388.1</v>
      </c>
      <c r="V16">
        <v>1541.5917721518999</v>
      </c>
      <c r="W16">
        <v>1545.09</v>
      </c>
      <c r="Z16">
        <v>1388.1</v>
      </c>
      <c r="AA16">
        <v>1541.5917721518999</v>
      </c>
      <c r="AB16">
        <v>1545.09</v>
      </c>
      <c r="AE16">
        <v>1388.1</v>
      </c>
      <c r="AF16">
        <v>1541.5917721518999</v>
      </c>
      <c r="AG16">
        <v>1545.09</v>
      </c>
    </row>
    <row r="17" spans="10:33" x14ac:dyDescent="0.15">
      <c r="J17" s="69" t="s">
        <v>270</v>
      </c>
      <c r="X17">
        <v>25.04</v>
      </c>
      <c r="Y17">
        <v>25.04</v>
      </c>
      <c r="AC17">
        <v>48.04</v>
      </c>
      <c r="AD17">
        <v>48.04</v>
      </c>
    </row>
    <row r="18" spans="10:33" x14ac:dyDescent="0.15">
      <c r="J18" s="69" t="s">
        <v>271</v>
      </c>
      <c r="K18">
        <v>10</v>
      </c>
      <c r="L18">
        <v>8.9979999999999993</v>
      </c>
      <c r="M18">
        <v>10</v>
      </c>
      <c r="N18">
        <v>9.6628937724353801</v>
      </c>
      <c r="O18">
        <v>7.2888705497402997</v>
      </c>
      <c r="P18">
        <v>10</v>
      </c>
      <c r="Q18">
        <v>8.9979999999999993</v>
      </c>
      <c r="R18">
        <v>10</v>
      </c>
      <c r="U18">
        <v>10</v>
      </c>
      <c r="V18">
        <v>8.9979999999999993</v>
      </c>
      <c r="W18">
        <v>10</v>
      </c>
      <c r="Z18">
        <v>10</v>
      </c>
      <c r="AA18">
        <v>8.9979999999999993</v>
      </c>
      <c r="AB18">
        <v>10</v>
      </c>
      <c r="AE18">
        <v>10</v>
      </c>
      <c r="AF18">
        <v>8.9979999999999993</v>
      </c>
      <c r="AG18">
        <v>10</v>
      </c>
    </row>
  </sheetData>
  <phoneticPr fontId="1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J6:V23"/>
  <sheetViews>
    <sheetView workbookViewId="0"/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830.14</v>
      </c>
      <c r="L8">
        <v>836.16399999999999</v>
      </c>
      <c r="M8">
        <v>838.57813238078847</v>
      </c>
      <c r="N8">
        <v>841.03954745455258</v>
      </c>
      <c r="O8">
        <v>843.54448886804687</v>
      </c>
      <c r="P8">
        <v>846.04280549906616</v>
      </c>
      <c r="Q8">
        <v>848.55375781773489</v>
      </c>
      <c r="R8">
        <v>851.10416019240358</v>
      </c>
      <c r="S8">
        <v>853.69566989967495</v>
      </c>
      <c r="T8">
        <v>856.33162092518853</v>
      </c>
      <c r="U8">
        <v>859.01273842020908</v>
      </c>
      <c r="V8">
        <v>861.74060010006201</v>
      </c>
    </row>
    <row r="9" spans="10:22" x14ac:dyDescent="0.15">
      <c r="J9" s="69" t="s">
        <v>247</v>
      </c>
      <c r="K9">
        <v>560</v>
      </c>
      <c r="L9">
        <v>560</v>
      </c>
      <c r="M9">
        <v>560.72187208367825</v>
      </c>
      <c r="N9">
        <v>561.48386543819743</v>
      </c>
      <c r="O9">
        <v>562.29358148549659</v>
      </c>
      <c r="P9">
        <v>563.18722713907516</v>
      </c>
      <c r="Q9">
        <v>564.1995570849258</v>
      </c>
      <c r="R9">
        <v>565.25851382365443</v>
      </c>
      <c r="S9">
        <v>566.36993947747965</v>
      </c>
      <c r="T9">
        <v>567.54401946676285</v>
      </c>
      <c r="U9">
        <v>568.78391896935386</v>
      </c>
      <c r="V9">
        <v>570.09498405096235</v>
      </c>
    </row>
    <row r="10" spans="10:22" x14ac:dyDescent="0.15">
      <c r="J10" s="69" t="s">
        <v>248</v>
      </c>
      <c r="K10">
        <v>1474.6</v>
      </c>
      <c r="L10">
        <v>1506.175</v>
      </c>
      <c r="M10">
        <v>1513.9620568610203</v>
      </c>
      <c r="N10">
        <v>1521.7183779552061</v>
      </c>
      <c r="O10">
        <v>1529.5870311507679</v>
      </c>
      <c r="P10">
        <v>1537.4219313074725</v>
      </c>
      <c r="Q10">
        <v>1545.3298664460649</v>
      </c>
      <c r="R10">
        <v>1553.4122435831282</v>
      </c>
      <c r="S10">
        <v>1561.6862400159821</v>
      </c>
      <c r="T10">
        <v>1570.1812974500556</v>
      </c>
      <c r="U10">
        <v>1578.907781437875</v>
      </c>
      <c r="V10">
        <v>1587.8822844744648</v>
      </c>
    </row>
    <row r="11" spans="10:22" x14ac:dyDescent="0.15">
      <c r="J11" s="69" t="s">
        <v>249</v>
      </c>
      <c r="K11">
        <v>987.33</v>
      </c>
      <c r="L11">
        <v>1015.43</v>
      </c>
      <c r="M11">
        <v>1016.9704554181609</v>
      </c>
      <c r="N11">
        <v>1018.5221085235652</v>
      </c>
      <c r="O11">
        <v>1020.0971071592068</v>
      </c>
      <c r="P11">
        <v>1021.7647902038295</v>
      </c>
      <c r="Q11">
        <v>1023.4604626074832</v>
      </c>
      <c r="R11">
        <v>1025.170979897631</v>
      </c>
      <c r="S11">
        <v>1026.9099889586785</v>
      </c>
      <c r="T11">
        <v>1028.6988272355281</v>
      </c>
      <c r="U11">
        <v>1030.545920167451</v>
      </c>
      <c r="V11">
        <v>1032.4634706368461</v>
      </c>
    </row>
    <row r="12" spans="10:22" x14ac:dyDescent="0.15">
      <c r="J12" s="69" t="s">
        <v>250</v>
      </c>
      <c r="K12">
        <v>75.11</v>
      </c>
      <c r="L12">
        <v>45</v>
      </c>
      <c r="M12">
        <v>45.015434820244714</v>
      </c>
      <c r="N12">
        <v>45.031706091293039</v>
      </c>
      <c r="O12">
        <v>45.049435803311411</v>
      </c>
      <c r="P12">
        <v>45.070187654813758</v>
      </c>
      <c r="Q12">
        <v>45.092673962432094</v>
      </c>
      <c r="R12">
        <v>45.111604233969857</v>
      </c>
      <c r="S12">
        <v>45.127772680677516</v>
      </c>
      <c r="T12">
        <v>45.142298846048192</v>
      </c>
      <c r="U12">
        <v>45.15572218825389</v>
      </c>
      <c r="V12">
        <v>45.168736318769682</v>
      </c>
    </row>
    <row r="13" spans="10:22" x14ac:dyDescent="0.15">
      <c r="J13" s="69" t="s">
        <v>251</v>
      </c>
      <c r="K13">
        <v>81.2</v>
      </c>
      <c r="L13">
        <v>25.6</v>
      </c>
      <c r="M13">
        <v>25.562661080088741</v>
      </c>
      <c r="N13">
        <v>25.525401920564676</v>
      </c>
      <c r="O13">
        <v>25.488604165779101</v>
      </c>
      <c r="P13">
        <v>25.453129267963124</v>
      </c>
      <c r="Q13">
        <v>25.418676065811873</v>
      </c>
      <c r="R13">
        <v>25.384594598521591</v>
      </c>
      <c r="S13">
        <v>25.351217640496301</v>
      </c>
      <c r="T13">
        <v>25.31906326539028</v>
      </c>
      <c r="U13">
        <v>25.288326474343396</v>
      </c>
      <c r="V13">
        <v>25.259292313476397</v>
      </c>
    </row>
    <row r="14" spans="10:22" x14ac:dyDescent="0.15">
      <c r="J14" s="69" t="s">
        <v>252</v>
      </c>
      <c r="K14">
        <v>125.68</v>
      </c>
      <c r="L14">
        <v>132.74299999999999</v>
      </c>
      <c r="M14">
        <v>140.16153259147296</v>
      </c>
      <c r="N14">
        <v>147.99797944663322</v>
      </c>
      <c r="O14">
        <v>156.27716259796111</v>
      </c>
      <c r="P14">
        <v>165.03619343073404</v>
      </c>
      <c r="Q14">
        <v>174.29281799057614</v>
      </c>
      <c r="R14">
        <v>180.53223477901486</v>
      </c>
      <c r="S14">
        <v>187.00092687631545</v>
      </c>
      <c r="T14">
        <v>193.71145480645708</v>
      </c>
      <c r="U14">
        <v>200.67473521123438</v>
      </c>
      <c r="V14">
        <v>207.90303211302992</v>
      </c>
    </row>
    <row r="15" spans="10:22" x14ac:dyDescent="0.15">
      <c r="J15" s="69" t="s">
        <v>265</v>
      </c>
      <c r="K15">
        <v>8970.0007100000003</v>
      </c>
      <c r="L15">
        <v>4201.43</v>
      </c>
      <c r="M15">
        <v>4203.9885518318633</v>
      </c>
      <c r="N15">
        <v>4206.5158957969643</v>
      </c>
      <c r="O15">
        <v>4209.0620918651921</v>
      </c>
      <c r="P15">
        <v>4211.7366447763334</v>
      </c>
      <c r="Q15">
        <v>4214.5385233417364</v>
      </c>
      <c r="R15">
        <v>4217.1300585911504</v>
      </c>
      <c r="S15">
        <v>4219.5667176355919</v>
      </c>
      <c r="T15">
        <v>4221.9278120597864</v>
      </c>
      <c r="U15">
        <v>4224.2505345304062</v>
      </c>
      <c r="V15">
        <v>4226.5834492523909</v>
      </c>
    </row>
    <row r="16" spans="10:22" x14ac:dyDescent="0.15">
      <c r="J16" s="69" t="s">
        <v>266</v>
      </c>
      <c r="K16">
        <v>21528.494999999999</v>
      </c>
      <c r="L16">
        <v>21550.023495000001</v>
      </c>
      <c r="M16">
        <v>21599.858489255599</v>
      </c>
      <c r="N16">
        <v>21650.136096217582</v>
      </c>
      <c r="O16">
        <v>21701.521792697531</v>
      </c>
      <c r="P16">
        <v>21755.753361317344</v>
      </c>
      <c r="Q16">
        <v>21811.215467506598</v>
      </c>
      <c r="R16">
        <v>21865.083187578566</v>
      </c>
      <c r="S16">
        <v>21917.961768174289</v>
      </c>
      <c r="T16">
        <v>21970.742138097317</v>
      </c>
      <c r="U16">
        <v>22023.828523142078</v>
      </c>
      <c r="V16">
        <v>22077.763471030121</v>
      </c>
    </row>
    <row r="17" spans="10:22" x14ac:dyDescent="0.15">
      <c r="J17" s="69" t="s">
        <v>267</v>
      </c>
      <c r="K17">
        <v>290.95999999999998</v>
      </c>
      <c r="L17">
        <v>301.38</v>
      </c>
      <c r="M17">
        <v>283.71390679644321</v>
      </c>
      <c r="N17">
        <v>267.83803350764799</v>
      </c>
      <c r="O17">
        <v>252.83410686486496</v>
      </c>
      <c r="P17">
        <v>238.65770076145506</v>
      </c>
      <c r="Q17">
        <v>225.27373902792721</v>
      </c>
      <c r="R17">
        <v>214.88343820575548</v>
      </c>
      <c r="S17">
        <v>204.97603778716248</v>
      </c>
      <c r="T17">
        <v>195.5277540728236</v>
      </c>
      <c r="U17">
        <v>186.51665735562833</v>
      </c>
      <c r="V17">
        <v>177.92177508823363</v>
      </c>
    </row>
    <row r="18" spans="10:22" x14ac:dyDescent="0.15">
      <c r="J18" s="69" t="s">
        <v>269</v>
      </c>
      <c r="K18">
        <v>51.8</v>
      </c>
      <c r="L18">
        <v>49.6</v>
      </c>
      <c r="M18">
        <v>50.11251529702978</v>
      </c>
      <c r="N18">
        <v>50.632269480161028</v>
      </c>
      <c r="O18">
        <v>51.159570798965596</v>
      </c>
      <c r="P18">
        <v>51.695141696179611</v>
      </c>
      <c r="Q18">
        <v>52.236118602387187</v>
      </c>
      <c r="R18">
        <v>52.781797179790914</v>
      </c>
      <c r="S18">
        <v>53.332192432754951</v>
      </c>
      <c r="T18">
        <v>53.887283402792974</v>
      </c>
      <c r="U18">
        <v>54.447102711198937</v>
      </c>
      <c r="V18">
        <v>55.011664681386279</v>
      </c>
    </row>
    <row r="19" spans="10:22" x14ac:dyDescent="0.15">
      <c r="J19" s="69" t="s">
        <v>270</v>
      </c>
      <c r="K19">
        <v>158.410971514175</v>
      </c>
      <c r="L19">
        <v>145.65023421320001</v>
      </c>
      <c r="M19">
        <v>192.66820451330778</v>
      </c>
      <c r="N19">
        <v>231.9320704149749</v>
      </c>
      <c r="O19">
        <v>232.96129053828761</v>
      </c>
      <c r="P19">
        <v>233.99675545763088</v>
      </c>
      <c r="Q19">
        <v>235.03459100445428</v>
      </c>
      <c r="R19">
        <v>236.08583057207684</v>
      </c>
      <c r="S19">
        <v>237.14942423499235</v>
      </c>
      <c r="T19">
        <v>238.22390277160844</v>
      </c>
      <c r="U19">
        <v>239.30851046271061</v>
      </c>
      <c r="V19">
        <v>240.40228936150476</v>
      </c>
    </row>
    <row r="20" spans="10:22" x14ac:dyDescent="0.15">
      <c r="J20" s="69" t="s">
        <v>271</v>
      </c>
      <c r="K20">
        <v>152.49001895999999</v>
      </c>
      <c r="L20">
        <v>147.4994181818</v>
      </c>
      <c r="M20">
        <v>149.37132750155081</v>
      </c>
      <c r="N20">
        <v>151.16789603041863</v>
      </c>
      <c r="O20">
        <v>152.89733094934098</v>
      </c>
      <c r="P20">
        <v>154.29306359981501</v>
      </c>
      <c r="Q20">
        <v>155.43542134413048</v>
      </c>
      <c r="R20">
        <v>156.25552408704189</v>
      </c>
      <c r="S20">
        <v>156.76155000968365</v>
      </c>
      <c r="T20">
        <v>157.26405111697275</v>
      </c>
      <c r="U20">
        <v>157.76285729930265</v>
      </c>
      <c r="V20">
        <v>158.2576531690558</v>
      </c>
    </row>
    <row r="21" spans="10:22" x14ac:dyDescent="0.15">
      <c r="J21" s="69" t="s">
        <v>272</v>
      </c>
      <c r="K21">
        <v>228.42400000000001</v>
      </c>
      <c r="L21">
        <v>229.096</v>
      </c>
      <c r="M21">
        <v>232.67249494947481</v>
      </c>
      <c r="N21">
        <v>236.30918404184595</v>
      </c>
      <c r="O21">
        <v>240.00477840776009</v>
      </c>
      <c r="P21">
        <v>243.75811538209061</v>
      </c>
      <c r="Q21">
        <v>247.56764365315766</v>
      </c>
      <c r="R21">
        <v>251.42932922075201</v>
      </c>
      <c r="S21">
        <v>255.34328716931176</v>
      </c>
      <c r="T21">
        <v>259.30913539548982</v>
      </c>
      <c r="U21">
        <v>263.32721568212605</v>
      </c>
      <c r="V21">
        <v>267.39761681299478</v>
      </c>
    </row>
    <row r="22" spans="10:22" x14ac:dyDescent="0.15">
      <c r="J22" s="69" t="s">
        <v>273</v>
      </c>
      <c r="K22">
        <v>1665.79980258602</v>
      </c>
      <c r="L22">
        <v>1639.4229499999999</v>
      </c>
      <c r="M22">
        <v>1652.7583124534774</v>
      </c>
      <c r="N22">
        <v>1666.2092459674209</v>
      </c>
      <c r="O22">
        <v>1679.7756763483455</v>
      </c>
      <c r="P22">
        <v>1693.4812932014563</v>
      </c>
      <c r="Q22">
        <v>1707.2802140807578</v>
      </c>
      <c r="R22">
        <v>1721.1685127816384</v>
      </c>
      <c r="S22">
        <v>1735.1420446674858</v>
      </c>
      <c r="T22">
        <v>1749.1933900395486</v>
      </c>
      <c r="U22">
        <v>1763.3201517112345</v>
      </c>
      <c r="V22">
        <v>1777.5182806319333</v>
      </c>
    </row>
    <row r="23" spans="10:22" x14ac:dyDescent="0.15">
      <c r="J23" s="69" t="s">
        <v>274</v>
      </c>
      <c r="K23">
        <v>104.670241060148</v>
      </c>
      <c r="L23">
        <v>79.027332431086805</v>
      </c>
      <c r="M23">
        <v>79.171503310316638</v>
      </c>
      <c r="N23">
        <v>79.320510169740203</v>
      </c>
      <c r="O23">
        <v>79.475133356166012</v>
      </c>
      <c r="P23">
        <v>79.636489310515103</v>
      </c>
      <c r="Q23">
        <v>79.798262115955438</v>
      </c>
      <c r="R23">
        <v>79.960127109024768</v>
      </c>
      <c r="S23">
        <v>80.122128051104923</v>
      </c>
      <c r="T23">
        <v>80.284325688307121</v>
      </c>
      <c r="U23">
        <v>80.446750766603145</v>
      </c>
      <c r="V23">
        <v>80.609442112039162</v>
      </c>
    </row>
  </sheetData>
  <phoneticPr fontId="1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J6:V14"/>
  <sheetViews>
    <sheetView workbookViewId="0"/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250</v>
      </c>
      <c r="K8">
        <v>0.74711299999992198</v>
      </c>
      <c r="L8">
        <v>1.8353650000000099</v>
      </c>
      <c r="M8">
        <v>1.8359945228635308</v>
      </c>
      <c r="N8">
        <v>1.8366581611165886</v>
      </c>
      <c r="O8">
        <v>1.8373812831810019</v>
      </c>
      <c r="P8">
        <v>1.8382276658906154</v>
      </c>
      <c r="Q8">
        <v>1.839144789934658</v>
      </c>
      <c r="R8">
        <v>1.839916877886234</v>
      </c>
      <c r="S8">
        <v>1.8405763223571585</v>
      </c>
      <c r="T8">
        <v>1.8411687849239486</v>
      </c>
      <c r="U8">
        <v>1.8417162678676675</v>
      </c>
      <c r="V8">
        <v>1.8422470607488703</v>
      </c>
    </row>
    <row r="9" spans="10:22" x14ac:dyDescent="0.15">
      <c r="J9" s="69" t="s">
        <v>266</v>
      </c>
      <c r="K9">
        <v>23505.910941058199</v>
      </c>
      <c r="L9">
        <v>21283.739425151602</v>
      </c>
      <c r="M9">
        <v>21332.958630515168</v>
      </c>
      <c r="N9">
        <v>21382.61497941647</v>
      </c>
      <c r="O9">
        <v>21433.365725665677</v>
      </c>
      <c r="P9">
        <v>21486.927178876576</v>
      </c>
      <c r="Q9">
        <v>21541.703964450669</v>
      </c>
      <c r="R9">
        <v>21594.906065028648</v>
      </c>
      <c r="S9">
        <v>21647.131248487607</v>
      </c>
      <c r="T9">
        <v>21699.259434819538</v>
      </c>
      <c r="U9">
        <v>21751.689854980243</v>
      </c>
      <c r="V9">
        <v>21804.95835267003</v>
      </c>
    </row>
    <row r="10" spans="10:22" x14ac:dyDescent="0.15">
      <c r="J10" s="69" t="s">
        <v>267</v>
      </c>
      <c r="K10">
        <v>2.6600943670018801E-13</v>
      </c>
    </row>
    <row r="11" spans="10:22" x14ac:dyDescent="0.15">
      <c r="J11" s="69" t="s">
        <v>268</v>
      </c>
      <c r="K11">
        <v>112.02</v>
      </c>
      <c r="L11">
        <v>113.27</v>
      </c>
      <c r="M11">
        <v>109.0824398923553</v>
      </c>
      <c r="N11">
        <v>105.3118969170243</v>
      </c>
      <c r="O11">
        <v>104.93901290304925</v>
      </c>
      <c r="P11">
        <v>106.26640001618726</v>
      </c>
      <c r="Q11">
        <v>107.60947586156666</v>
      </c>
      <c r="R11">
        <v>108.9670178107647</v>
      </c>
      <c r="S11">
        <v>110.33890867010884</v>
      </c>
      <c r="T11">
        <v>111.72481787690964</v>
      </c>
      <c r="U11">
        <v>113.12472917872049</v>
      </c>
      <c r="V11">
        <v>114.53851760937565</v>
      </c>
    </row>
    <row r="12" spans="10:22" x14ac:dyDescent="0.15">
      <c r="J12" s="69" t="s">
        <v>269</v>
      </c>
      <c r="K12">
        <v>7.2641499999999297</v>
      </c>
      <c r="L12">
        <v>7.7252400000000598</v>
      </c>
      <c r="M12">
        <v>7.8050646708312357</v>
      </c>
      <c r="N12">
        <v>7.8860168040105281</v>
      </c>
      <c r="O12">
        <v>7.9681444096573397</v>
      </c>
      <c r="P12">
        <v>8.0515600088104371</v>
      </c>
      <c r="Q12">
        <v>8.1358175982239676</v>
      </c>
      <c r="R12">
        <v>8.2208074767179653</v>
      </c>
      <c r="S12">
        <v>8.3065319812342544</v>
      </c>
      <c r="T12">
        <v>8.3929878474716855</v>
      </c>
      <c r="U12">
        <v>8.4801801562230974</v>
      </c>
      <c r="V12">
        <v>8.5681111383716893</v>
      </c>
    </row>
    <row r="13" spans="10:22" x14ac:dyDescent="0.15">
      <c r="J13" s="69" t="s">
        <v>271</v>
      </c>
      <c r="K13">
        <v>14.2324017696001</v>
      </c>
      <c r="L13">
        <v>22.798953742617002</v>
      </c>
      <c r="M13">
        <v>22.99630913208874</v>
      </c>
      <c r="N13">
        <v>23.194038262508268</v>
      </c>
      <c r="O13">
        <v>23.391787178173356</v>
      </c>
      <c r="P13">
        <v>23.547476164968071</v>
      </c>
      <c r="Q13">
        <v>23.672388850492201</v>
      </c>
      <c r="R13">
        <v>23.773514736803588</v>
      </c>
      <c r="S13">
        <v>23.874378487663307</v>
      </c>
      <c r="T13">
        <v>23.974882989204691</v>
      </c>
      <c r="U13">
        <v>24.075000924103303</v>
      </c>
      <c r="V13">
        <v>24.174682676222051</v>
      </c>
    </row>
    <row r="14" spans="10:22" x14ac:dyDescent="0.15">
      <c r="J14" s="69" t="s">
        <v>272</v>
      </c>
      <c r="K14">
        <v>496.82861256965998</v>
      </c>
      <c r="L14">
        <v>452.60089311595999</v>
      </c>
      <c r="M14">
        <v>459.66659835898929</v>
      </c>
      <c r="N14">
        <v>466.85122284476051</v>
      </c>
      <c r="O14">
        <v>474.15222028953053</v>
      </c>
      <c r="P14">
        <v>481.56729373798504</v>
      </c>
      <c r="Q14">
        <v>489.09337842665468</v>
      </c>
      <c r="R14">
        <v>496.72250480523053</v>
      </c>
      <c r="S14">
        <v>504.4549002339437</v>
      </c>
      <c r="T14">
        <v>512.28980983136353</v>
      </c>
      <c r="U14">
        <v>520.22790882193181</v>
      </c>
      <c r="V14">
        <v>528.26937260642126</v>
      </c>
    </row>
  </sheetData>
  <phoneticPr fontId="1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J6:V24"/>
  <sheetViews>
    <sheetView workbookViewId="0">
      <selection activeCell="A27" sqref="A27:XFD27"/>
    </sheetView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1361.07</v>
      </c>
      <c r="L8">
        <v>1914.9559999999999</v>
      </c>
      <c r="M8">
        <v>2150.9429408584342</v>
      </c>
      <c r="N8">
        <v>2221.9741345001403</v>
      </c>
      <c r="O8">
        <v>2250.8779541343597</v>
      </c>
      <c r="P8">
        <v>2280.119798689384</v>
      </c>
      <c r="Q8">
        <v>2309.7557865695667</v>
      </c>
      <c r="R8">
        <v>2339.86493875629</v>
      </c>
      <c r="S8">
        <v>2370.45944126732</v>
      </c>
      <c r="T8">
        <v>2401.5564816857691</v>
      </c>
      <c r="U8">
        <v>2433.166351664785</v>
      </c>
      <c r="V8">
        <v>2465.3019910296334</v>
      </c>
    </row>
    <row r="9" spans="10:22" x14ac:dyDescent="0.15">
      <c r="J9" s="69" t="s">
        <v>247</v>
      </c>
      <c r="K9">
        <v>2216.16</v>
      </c>
      <c r="L9">
        <v>1241.92</v>
      </c>
      <c r="M9">
        <v>1243.5209060324319</v>
      </c>
      <c r="N9">
        <v>1245.2107895803683</v>
      </c>
      <c r="O9">
        <v>1247.0065084258358</v>
      </c>
      <c r="P9">
        <v>1248.9883591581436</v>
      </c>
      <c r="Q9">
        <v>1251.2334177409127</v>
      </c>
      <c r="R9">
        <v>1253.5818812283446</v>
      </c>
      <c r="S9">
        <v>1256.0467057783424</v>
      </c>
      <c r="T9">
        <v>1258.6504797431469</v>
      </c>
      <c r="U9">
        <v>1261.4002225828931</v>
      </c>
      <c r="V9">
        <v>1264.3077903438773</v>
      </c>
    </row>
    <row r="10" spans="10:22" x14ac:dyDescent="0.15">
      <c r="J10" s="69" t="s">
        <v>248</v>
      </c>
      <c r="K10">
        <v>2413.4</v>
      </c>
      <c r="L10">
        <v>-562.86499999999899</v>
      </c>
      <c r="M10">
        <v>-537.48630834950973</v>
      </c>
      <c r="N10">
        <v>-243.10797970376314</v>
      </c>
      <c r="O10">
        <v>-177.16467335583269</v>
      </c>
      <c r="P10">
        <v>-153.58723107850133</v>
      </c>
      <c r="Q10">
        <v>-143.76379313204009</v>
      </c>
      <c r="R10">
        <v>-139.54797847060667</v>
      </c>
      <c r="S10">
        <v>-137.88000197447309</v>
      </c>
      <c r="T10">
        <v>-137.43867188768544</v>
      </c>
      <c r="U10">
        <v>-137.60866604931354</v>
      </c>
      <c r="V10">
        <v>-138.09350888563452</v>
      </c>
    </row>
    <row r="11" spans="10:22" x14ac:dyDescent="0.15">
      <c r="J11" s="69" t="s">
        <v>250</v>
      </c>
      <c r="K11">
        <v>10.400141000000099</v>
      </c>
      <c r="L11">
        <v>2.99758699999995</v>
      </c>
      <c r="M11">
        <v>2.9986151603669033</v>
      </c>
      <c r="N11">
        <v>2.9996990392684126</v>
      </c>
      <c r="O11">
        <v>3.0008800693630793</v>
      </c>
      <c r="P11">
        <v>3.0022624133695097</v>
      </c>
      <c r="Q11">
        <v>3.0037602947782815</v>
      </c>
      <c r="R11">
        <v>3.0050212977975721</v>
      </c>
      <c r="S11">
        <v>3.0060983272567068</v>
      </c>
      <c r="T11">
        <v>3.0070659593561513</v>
      </c>
      <c r="U11">
        <v>3.0079601290470919</v>
      </c>
      <c r="V11">
        <v>3.0088270399015467</v>
      </c>
    </row>
    <row r="12" spans="10:22" x14ac:dyDescent="0.15">
      <c r="J12" s="69" t="s">
        <v>251</v>
      </c>
      <c r="K12">
        <v>-39.799999999999997</v>
      </c>
      <c r="L12">
        <v>-10.000000000000099</v>
      </c>
      <c r="M12">
        <v>-9.9854144844097643</v>
      </c>
      <c r="N12">
        <v>-9.9708601252206766</v>
      </c>
      <c r="O12">
        <v>-9.9564860022575612</v>
      </c>
      <c r="P12">
        <v>-9.9426286202981942</v>
      </c>
      <c r="Q12">
        <v>-9.9291703382078609</v>
      </c>
      <c r="R12">
        <v>-9.9158572650475953</v>
      </c>
      <c r="S12">
        <v>-9.9028193908189657</v>
      </c>
      <c r="T12">
        <v>-9.8902590880431767</v>
      </c>
      <c r="U12">
        <v>-9.8782525290404877</v>
      </c>
      <c r="V12">
        <v>-9.8669110599518159</v>
      </c>
    </row>
    <row r="13" spans="10:22" x14ac:dyDescent="0.15">
      <c r="J13" s="69" t="s">
        <v>252</v>
      </c>
      <c r="K13">
        <v>437.62002699999903</v>
      </c>
      <c r="L13">
        <v>701.35099999999898</v>
      </c>
      <c r="M13">
        <v>540.5993134291848</v>
      </c>
      <c r="N13">
        <v>432.1139807838141</v>
      </c>
      <c r="O13">
        <v>356.49699502714526</v>
      </c>
      <c r="P13">
        <v>302.37580138224263</v>
      </c>
      <c r="Q13">
        <v>262.76624980639474</v>
      </c>
      <c r="R13">
        <v>228.77973206342611</v>
      </c>
      <c r="S13">
        <v>202.97355455342853</v>
      </c>
      <c r="T13">
        <v>183.10460334540917</v>
      </c>
      <c r="U13">
        <v>167.64005990612466</v>
      </c>
      <c r="V13">
        <v>155.51106976641157</v>
      </c>
    </row>
    <row r="14" spans="10:22" x14ac:dyDescent="0.15">
      <c r="J14" s="69" t="s">
        <v>253</v>
      </c>
      <c r="K14">
        <v>19.000000000000199</v>
      </c>
      <c r="L14">
        <v>0.68999999999994799</v>
      </c>
      <c r="M14">
        <v>0.69218339846007892</v>
      </c>
      <c r="N14">
        <v>0.69456064056505251</v>
      </c>
      <c r="O14">
        <v>0.69666718191075339</v>
      </c>
      <c r="P14">
        <v>0.69846887527709489</v>
      </c>
      <c r="Q14">
        <v>0.70003850299546366</v>
      </c>
      <c r="R14">
        <v>0.70129660093090052</v>
      </c>
      <c r="S14">
        <v>0.70277057412164678</v>
      </c>
      <c r="T14">
        <v>0.70400159372779958</v>
      </c>
      <c r="U14">
        <v>0.70498990608512579</v>
      </c>
      <c r="V14">
        <v>0.70574311225783848</v>
      </c>
    </row>
    <row r="15" spans="10:22" x14ac:dyDescent="0.15">
      <c r="J15" s="69" t="s">
        <v>254</v>
      </c>
      <c r="K15">
        <v>50.5</v>
      </c>
      <c r="L15">
        <v>200.91</v>
      </c>
      <c r="M15">
        <v>196.62972235768024</v>
      </c>
      <c r="N15">
        <v>196.55214234894876</v>
      </c>
      <c r="O15">
        <v>197.09626218650763</v>
      </c>
      <c r="P15">
        <v>197.93940106637953</v>
      </c>
      <c r="Q15">
        <v>198.7864569458271</v>
      </c>
      <c r="R15">
        <v>199.64422501464398</v>
      </c>
      <c r="S15">
        <v>200.52257845746797</v>
      </c>
      <c r="T15">
        <v>201.42060796488127</v>
      </c>
      <c r="U15">
        <v>202.3379925339982</v>
      </c>
      <c r="V15">
        <v>203.27424177077665</v>
      </c>
    </row>
    <row r="16" spans="10:22" x14ac:dyDescent="0.15">
      <c r="J16" s="69" t="s">
        <v>255</v>
      </c>
      <c r="K16">
        <v>362.11</v>
      </c>
      <c r="L16">
        <v>7.8267000000000699</v>
      </c>
      <c r="M16">
        <v>8.2020489719474003</v>
      </c>
      <c r="N16">
        <v>8.3055473574653025</v>
      </c>
      <c r="O16">
        <v>8.4099465495371071</v>
      </c>
      <c r="P16">
        <v>8.5157254761529604</v>
      </c>
      <c r="Q16">
        <v>8.6228722182409037</v>
      </c>
      <c r="R16">
        <v>8.733235618571376</v>
      </c>
      <c r="S16">
        <v>8.8469318561430743</v>
      </c>
      <c r="T16">
        <v>8.9641525882021789</v>
      </c>
      <c r="U16">
        <v>9.084987449827473</v>
      </c>
      <c r="V16">
        <v>9.2095666228180981</v>
      </c>
    </row>
    <row r="17" spans="10:22" x14ac:dyDescent="0.15">
      <c r="J17" s="69" t="s">
        <v>256</v>
      </c>
      <c r="K17">
        <v>-57.000000000000597</v>
      </c>
      <c r="L17">
        <v>-19.240000000000499</v>
      </c>
      <c r="M17">
        <v>-19.875844915067074</v>
      </c>
      <c r="N17">
        <v>-20.031764483010093</v>
      </c>
      <c r="O17">
        <v>-20.179289908569856</v>
      </c>
      <c r="P17">
        <v>-20.317121499898985</v>
      </c>
      <c r="Q17">
        <v>-20.446796608865686</v>
      </c>
      <c r="R17">
        <v>-20.561785852943625</v>
      </c>
      <c r="S17">
        <v>-20.681787012745772</v>
      </c>
      <c r="T17">
        <v>-20.789856363547244</v>
      </c>
      <c r="U17">
        <v>-20.886063112836673</v>
      </c>
      <c r="V17">
        <v>-20.97075702307794</v>
      </c>
    </row>
    <row r="18" spans="10:22" x14ac:dyDescent="0.15">
      <c r="J18" s="69" t="s">
        <v>257</v>
      </c>
      <c r="L18">
        <v>-77.065000000000097</v>
      </c>
      <c r="M18">
        <v>-82.341793892486237</v>
      </c>
      <c r="N18">
        <v>-82.335481116040015</v>
      </c>
      <c r="O18">
        <v>-82.460997907034809</v>
      </c>
      <c r="P18">
        <v>-82.647705032384067</v>
      </c>
      <c r="Q18">
        <v>-82.836506495208127</v>
      </c>
      <c r="R18">
        <v>-83.030783579771807</v>
      </c>
      <c r="S18">
        <v>-83.234554708529203</v>
      </c>
      <c r="T18">
        <v>-83.447322491522215</v>
      </c>
      <c r="U18">
        <v>-83.668890627784535</v>
      </c>
      <c r="V18">
        <v>-83.8989807723529</v>
      </c>
    </row>
    <row r="19" spans="10:22" x14ac:dyDescent="0.15">
      <c r="J19" s="69" t="s">
        <v>258</v>
      </c>
      <c r="K19">
        <v>84.190000000000097</v>
      </c>
      <c r="L19">
        <v>-9.0599999999998904</v>
      </c>
      <c r="M19">
        <v>-9.1210778788587259</v>
      </c>
      <c r="N19">
        <v>-9.1829928220278099</v>
      </c>
      <c r="O19">
        <v>-9.2459143013743237</v>
      </c>
      <c r="P19">
        <v>-9.3104369121988952</v>
      </c>
      <c r="Q19">
        <v>-9.3756094173362747</v>
      </c>
      <c r="R19">
        <v>-9.4400180776479203</v>
      </c>
      <c r="S19">
        <v>-9.5038330027800164</v>
      </c>
      <c r="T19">
        <v>-9.5672969331563493</v>
      </c>
      <c r="U19">
        <v>-9.6305343164529589</v>
      </c>
      <c r="V19">
        <v>-9.6937050125788069</v>
      </c>
    </row>
    <row r="20" spans="10:22" x14ac:dyDescent="0.15">
      <c r="J20" s="69" t="s">
        <v>259</v>
      </c>
      <c r="K20">
        <v>-7.3500000000000396</v>
      </c>
      <c r="L20">
        <v>-0.90999999999994596</v>
      </c>
      <c r="M20">
        <v>-0.92409326648115797</v>
      </c>
      <c r="N20">
        <v>-0.93498851714921627</v>
      </c>
      <c r="O20">
        <v>-0.94473581446726451</v>
      </c>
      <c r="P20">
        <v>-0.95337263768781033</v>
      </c>
      <c r="Q20">
        <v>-0.96112226362953967</v>
      </c>
      <c r="R20">
        <v>-0.9678561902170939</v>
      </c>
      <c r="S20">
        <v>-0.97468154750045388</v>
      </c>
      <c r="T20">
        <v>-0.98079474459926919</v>
      </c>
      <c r="U20">
        <v>-0.98619176737838155</v>
      </c>
      <c r="V20">
        <v>-0.99091718326056721</v>
      </c>
    </row>
    <row r="21" spans="10:22" x14ac:dyDescent="0.15">
      <c r="J21" s="69" t="s">
        <v>260</v>
      </c>
      <c r="K21">
        <v>22.3</v>
      </c>
      <c r="L21">
        <v>-4.1859999999999902</v>
      </c>
      <c r="M21">
        <v>-4.2381863983885424</v>
      </c>
      <c r="N21">
        <v>-4.2379205527482435</v>
      </c>
      <c r="O21">
        <v>-4.2432063555887414</v>
      </c>
      <c r="P21">
        <v>-4.2510690251621979</v>
      </c>
      <c r="Q21">
        <v>-4.2590198921384523</v>
      </c>
      <c r="R21">
        <v>-4.2672013502309634</v>
      </c>
      <c r="S21">
        <v>-4.2757826245183415</v>
      </c>
      <c r="T21">
        <v>-4.2847427687571953</v>
      </c>
      <c r="U21">
        <v>-4.2940735162590817</v>
      </c>
      <c r="V21">
        <v>-4.3037631452727894</v>
      </c>
    </row>
    <row r="22" spans="10:22" x14ac:dyDescent="0.15">
      <c r="J22" s="69" t="s">
        <v>261</v>
      </c>
      <c r="K22">
        <v>90.800000000000097</v>
      </c>
      <c r="L22">
        <v>8.1000000000000192</v>
      </c>
      <c r="M22">
        <v>8.1752800015164251</v>
      </c>
      <c r="N22">
        <v>8.25143317183033</v>
      </c>
      <c r="O22">
        <v>8.3286015196828824</v>
      </c>
      <c r="P22">
        <v>8.4071471075098572</v>
      </c>
      <c r="Q22">
        <v>8.4867675752963532</v>
      </c>
      <c r="R22">
        <v>8.5670994908196558</v>
      </c>
      <c r="S22">
        <v>8.6482738338885508</v>
      </c>
      <c r="T22">
        <v>8.7304923642905816</v>
      </c>
      <c r="U22">
        <v>8.8138489245144118</v>
      </c>
      <c r="V22">
        <v>8.8984731915928261</v>
      </c>
    </row>
    <row r="23" spans="10:22" x14ac:dyDescent="0.15">
      <c r="J23" s="69" t="s">
        <v>262</v>
      </c>
      <c r="K23">
        <v>-93.990000000000094</v>
      </c>
      <c r="L23">
        <v>-16</v>
      </c>
      <c r="M23">
        <v>-15.890848544002418</v>
      </c>
      <c r="N23">
        <v>-15.94162949478461</v>
      </c>
      <c r="O23">
        <v>-15.992330713430734</v>
      </c>
      <c r="P23">
        <v>-16.042971597146309</v>
      </c>
      <c r="Q23">
        <v>-16.094212436716738</v>
      </c>
      <c r="R23">
        <v>-16.143964516972723</v>
      </c>
      <c r="S23">
        <v>-16.192446646117553</v>
      </c>
      <c r="T23">
        <v>-16.239959151441028</v>
      </c>
      <c r="U23">
        <v>-16.286660888671356</v>
      </c>
      <c r="V23">
        <v>-16.332749405200616</v>
      </c>
    </row>
    <row r="24" spans="10:22" x14ac:dyDescent="0.15">
      <c r="J24" s="69" t="s">
        <v>274</v>
      </c>
      <c r="K24">
        <v>-137.67400195995299</v>
      </c>
      <c r="L24">
        <v>-136.67400195995299</v>
      </c>
      <c r="M24">
        <v>-136.92333861885652</v>
      </c>
      <c r="N24">
        <v>-137.18103887483647</v>
      </c>
      <c r="O24">
        <v>-137.44845230047679</v>
      </c>
      <c r="P24">
        <v>-137.72750972709798</v>
      </c>
      <c r="Q24">
        <v>-138.00728807779836</v>
      </c>
      <c r="R24">
        <v>-138.28722586260588</v>
      </c>
      <c r="S24">
        <v>-138.56739876474307</v>
      </c>
      <c r="T24">
        <v>-138.84791184171178</v>
      </c>
      <c r="U24">
        <v>-139.12881826720368</v>
      </c>
      <c r="V24">
        <v>-139.41018518901365</v>
      </c>
    </row>
  </sheetData>
  <phoneticPr fontId="1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J6:BL17"/>
  <sheetViews>
    <sheetView topLeftCell="I1" workbookViewId="0">
      <pane xSplit="2" ySplit="7" topLeftCell="BA8" activePane="bottomRight" state="frozen"/>
      <selection pane="topRight"/>
      <selection pane="bottomLeft"/>
      <selection pane="bottomRight" activeCell="BN13" sqref="BN13"/>
    </sheetView>
  </sheetViews>
  <sheetFormatPr defaultColWidth="9" defaultRowHeight="13.5" x14ac:dyDescent="0.15"/>
  <cols>
    <col min="17" max="17" width="12.625" style="8" customWidth="1"/>
    <col min="47" max="55" width="9" style="4"/>
    <col min="56" max="61" width="9" style="9"/>
    <col min="62" max="62" width="12.625" style="10" customWidth="1"/>
    <col min="63" max="64" width="9" style="9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83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83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249</v>
      </c>
      <c r="K8">
        <v>55</v>
      </c>
      <c r="L8">
        <v>99.02</v>
      </c>
      <c r="M8">
        <v>87.360368165112959</v>
      </c>
      <c r="N8">
        <v>90.951928952999992</v>
      </c>
      <c r="O8">
        <v>94.754514063694359</v>
      </c>
      <c r="P8">
        <v>100.18437018922175</v>
      </c>
      <c r="Q8" s="8">
        <v>106.19734692876412</v>
      </c>
      <c r="R8">
        <v>113.67746197166502</v>
      </c>
      <c r="S8">
        <v>118.64154206037347</v>
      </c>
      <c r="T8">
        <v>124.92169868612837</v>
      </c>
      <c r="U8">
        <v>132.78690077206193</v>
      </c>
      <c r="V8">
        <v>142.30729384305778</v>
      </c>
    </row>
    <row r="9" spans="10:22" x14ac:dyDescent="0.15">
      <c r="J9" s="69" t="s">
        <v>253</v>
      </c>
      <c r="L9">
        <v>21.57</v>
      </c>
      <c r="M9">
        <v>20.877816601539962</v>
      </c>
      <c r="N9">
        <v>20.875439359434949</v>
      </c>
      <c r="O9">
        <v>20.873332818089239</v>
      </c>
      <c r="P9">
        <v>20.871531124722878</v>
      </c>
      <c r="Q9" s="8">
        <v>20.869961497004624</v>
      </c>
      <c r="R9">
        <v>20.868703399069091</v>
      </c>
      <c r="S9">
        <v>20.86722942587835</v>
      </c>
      <c r="T9">
        <v>20.865998406272183</v>
      </c>
      <c r="U9">
        <v>20.865010093914861</v>
      </c>
      <c r="V9">
        <v>20.864256887742386</v>
      </c>
    </row>
    <row r="10" spans="10:22" x14ac:dyDescent="0.15">
      <c r="J10" s="69" t="s">
        <v>254</v>
      </c>
      <c r="K10">
        <v>138.9</v>
      </c>
      <c r="L10">
        <v>78.089999999999989</v>
      </c>
    </row>
    <row r="11" spans="10:22" x14ac:dyDescent="0.15">
      <c r="J11" s="69" t="s">
        <v>258</v>
      </c>
      <c r="M11">
        <v>86.112484203571512</v>
      </c>
      <c r="N11">
        <v>84.655349728037436</v>
      </c>
      <c r="O11">
        <v>82.722533872878557</v>
      </c>
      <c r="P11">
        <v>81.198740787207399</v>
      </c>
      <c r="Q11" s="8">
        <v>80.237492828729941</v>
      </c>
      <c r="R11">
        <v>79.814633605457743</v>
      </c>
      <c r="S11">
        <v>78.737765046137753</v>
      </c>
      <c r="T11">
        <v>77.938511261437952</v>
      </c>
      <c r="U11">
        <v>77.485770126298277</v>
      </c>
      <c r="V11">
        <v>77.423829820491903</v>
      </c>
    </row>
    <row r="12" spans="10:22" x14ac:dyDescent="0.15">
      <c r="J12" s="69" t="s">
        <v>260</v>
      </c>
      <c r="L12">
        <v>0.186</v>
      </c>
      <c r="M12">
        <v>4.4241863983885423</v>
      </c>
      <c r="N12">
        <v>4.4239205527482568</v>
      </c>
      <c r="O12">
        <v>4.4292063555887466</v>
      </c>
      <c r="P12">
        <v>4.4370690251622023</v>
      </c>
      <c r="Q12" s="8">
        <v>4.4450198921384185</v>
      </c>
      <c r="R12">
        <v>4.4532013502309269</v>
      </c>
      <c r="S12">
        <v>4.461782624518321</v>
      </c>
      <c r="T12">
        <v>4.4707427687571908</v>
      </c>
      <c r="U12">
        <v>4.4800735162590399</v>
      </c>
      <c r="V12">
        <v>4.4897631452727751</v>
      </c>
    </row>
    <row r="13" spans="10:22" x14ac:dyDescent="0.15">
      <c r="J13" s="69" t="s">
        <v>264</v>
      </c>
      <c r="M13">
        <v>6.0879037517622692E-2</v>
      </c>
      <c r="N13">
        <v>0.11810038481198148</v>
      </c>
      <c r="O13">
        <v>0.1713357810583318</v>
      </c>
      <c r="P13">
        <v>0.22060659794823323</v>
      </c>
      <c r="Q13" s="8">
        <v>0.27590582438259048</v>
      </c>
      <c r="R13">
        <v>0.30375009380296092</v>
      </c>
      <c r="S13">
        <v>0.3076409514102636</v>
      </c>
      <c r="T13">
        <v>0.29218435917636043</v>
      </c>
      <c r="U13">
        <v>0.25993444587462022</v>
      </c>
      <c r="V13">
        <v>0.21395104892044969</v>
      </c>
    </row>
    <row r="14" spans="10:22" x14ac:dyDescent="0.15">
      <c r="J14" s="69" t="s">
        <v>266</v>
      </c>
      <c r="K14">
        <v>1432.8218181818218</v>
      </c>
      <c r="L14">
        <v>1522.66321818182</v>
      </c>
      <c r="M14">
        <v>1441.2034175253793</v>
      </c>
      <c r="N14">
        <v>1371.7196981857071</v>
      </c>
      <c r="O14">
        <v>1321.7495093406801</v>
      </c>
      <c r="P14">
        <v>1294.1485231680272</v>
      </c>
      <c r="Q14" s="8">
        <v>1280.9813823416789</v>
      </c>
      <c r="R14">
        <v>1280.9564428854064</v>
      </c>
      <c r="S14">
        <v>1281.4183833772872</v>
      </c>
      <c r="T14">
        <v>1294.3430261042149</v>
      </c>
      <c r="U14">
        <v>1321.3024745654402</v>
      </c>
      <c r="V14">
        <v>1362.7995409157447</v>
      </c>
    </row>
    <row r="15" spans="10:22" x14ac:dyDescent="0.15">
      <c r="J15" s="69" t="s">
        <v>270</v>
      </c>
      <c r="L15">
        <v>40.831668699999994</v>
      </c>
      <c r="M15">
        <v>42.997598079176896</v>
      </c>
    </row>
    <row r="16" spans="10:22" x14ac:dyDescent="0.15">
      <c r="J16" s="69" t="s">
        <v>271</v>
      </c>
      <c r="K16">
        <v>17.891142299999998</v>
      </c>
      <c r="L16">
        <v>19.815003300000001</v>
      </c>
      <c r="M16">
        <v>21.226995012668795</v>
      </c>
      <c r="N16">
        <v>23.408136305062271</v>
      </c>
      <c r="O16">
        <v>26.700144946201817</v>
      </c>
      <c r="P16">
        <v>28.22838552671692</v>
      </c>
      <c r="Q16" s="8">
        <v>29.213226908779234</v>
      </c>
      <c r="R16">
        <v>29.90947322177999</v>
      </c>
      <c r="S16">
        <v>30.558486225735578</v>
      </c>
      <c r="T16">
        <v>31.094678184713302</v>
      </c>
      <c r="U16">
        <v>31.531165376289664</v>
      </c>
      <c r="V16">
        <v>31.896575656118785</v>
      </c>
    </row>
    <row r="17" spans="10:10" x14ac:dyDescent="0.15">
      <c r="J17" s="69"/>
    </row>
  </sheetData>
  <phoneticPr fontId="14" type="noConversion"/>
  <pageMargins left="0.7" right="0.7" top="0.75" bottom="0.75" header="0.3" footer="0.3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J6:V36"/>
  <sheetViews>
    <sheetView workbookViewId="0"/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20832.07</v>
      </c>
      <c r="L8">
        <v>21106.959999999999</v>
      </c>
      <c r="M8">
        <v>21304.815112930191</v>
      </c>
      <c r="N8">
        <v>21345.04727465317</v>
      </c>
      <c r="O8">
        <v>21349.459408066421</v>
      </c>
      <c r="P8">
        <v>21361.983389438745</v>
      </c>
      <c r="Q8">
        <v>21382.975123475517</v>
      </c>
      <c r="R8">
        <v>21410.922773792794</v>
      </c>
      <c r="S8">
        <v>21452.909948599197</v>
      </c>
      <c r="T8">
        <v>21502.318764166554</v>
      </c>
      <c r="U8">
        <v>21558.870023675547</v>
      </c>
      <c r="V8">
        <v>21623.09761458818</v>
      </c>
    </row>
    <row r="9" spans="10:22" x14ac:dyDescent="0.15">
      <c r="J9" s="69" t="s">
        <v>247</v>
      </c>
      <c r="K9">
        <v>15116.159999999996</v>
      </c>
      <c r="L9">
        <v>14391.92</v>
      </c>
      <c r="M9">
        <v>14354.245430767736</v>
      </c>
      <c r="N9">
        <v>14324.398687952329</v>
      </c>
      <c r="O9">
        <v>14301.69201091437</v>
      </c>
      <c r="P9">
        <v>14284.366019710802</v>
      </c>
      <c r="Q9">
        <v>14271.118576368752</v>
      </c>
      <c r="R9">
        <v>14261.720496681117</v>
      </c>
      <c r="S9">
        <v>14260.205809824214</v>
      </c>
      <c r="T9">
        <v>14262.791746754059</v>
      </c>
      <c r="U9">
        <v>14269.351679016829</v>
      </c>
      <c r="V9">
        <v>14280.200597774177</v>
      </c>
    </row>
    <row r="10" spans="10:22" x14ac:dyDescent="0.15">
      <c r="J10" s="69" t="s">
        <v>248</v>
      </c>
      <c r="K10">
        <v>30855</v>
      </c>
      <c r="L10">
        <v>30387.81</v>
      </c>
      <c r="M10">
        <v>30545.286291972003</v>
      </c>
      <c r="N10">
        <v>30933.839408659958</v>
      </c>
      <c r="O10">
        <v>31114.972090102423</v>
      </c>
      <c r="P10">
        <v>31261.371594637272</v>
      </c>
      <c r="Q10">
        <v>31392.521946328303</v>
      </c>
      <c r="R10">
        <v>31513.954988297159</v>
      </c>
      <c r="S10">
        <v>31631.801636112083</v>
      </c>
      <c r="T10">
        <v>31747.262761500133</v>
      </c>
      <c r="U10">
        <v>31860.016061736089</v>
      </c>
      <c r="V10">
        <v>31970.251688031145</v>
      </c>
    </row>
    <row r="11" spans="10:22" x14ac:dyDescent="0.15">
      <c r="J11" s="69" t="s">
        <v>249</v>
      </c>
      <c r="K11">
        <v>9445</v>
      </c>
      <c r="L11">
        <v>9765.02</v>
      </c>
      <c r="M11">
        <v>9776.9215472483666</v>
      </c>
      <c r="N11">
        <v>9788.3805157901061</v>
      </c>
      <c r="O11">
        <v>9799.8549040423914</v>
      </c>
      <c r="P11">
        <v>9810.6010298345991</v>
      </c>
      <c r="Q11">
        <v>9821.0355226717093</v>
      </c>
      <c r="R11">
        <v>9830.1468677654266</v>
      </c>
      <c r="S11">
        <v>9842.0506087036101</v>
      </c>
      <c r="T11">
        <v>9853.1216002551846</v>
      </c>
      <c r="U11">
        <v>9863.1725975115078</v>
      </c>
      <c r="V11">
        <v>9872.2518189291841</v>
      </c>
    </row>
    <row r="12" spans="10:22" x14ac:dyDescent="0.15">
      <c r="J12" s="69" t="s">
        <v>250</v>
      </c>
      <c r="K12">
        <v>1180.7572539999999</v>
      </c>
      <c r="L12">
        <v>774.13295199999993</v>
      </c>
      <c r="M12">
        <v>775.05256631169414</v>
      </c>
      <c r="N12">
        <v>775.26675826072903</v>
      </c>
      <c r="O12">
        <v>775.76025696104466</v>
      </c>
      <c r="P12">
        <v>776.29521247290995</v>
      </c>
      <c r="Q12">
        <v>776.72638588861275</v>
      </c>
      <c r="R12">
        <v>777.05353904891501</v>
      </c>
      <c r="S12">
        <v>777.55250571839508</v>
      </c>
      <c r="T12">
        <v>777.97466545007137</v>
      </c>
      <c r="U12">
        <v>778.31518151093758</v>
      </c>
      <c r="V12">
        <v>778.57805789994961</v>
      </c>
    </row>
    <row r="13" spans="10:22" x14ac:dyDescent="0.15">
      <c r="J13" s="69" t="s">
        <v>251</v>
      </c>
      <c r="K13">
        <v>1624.0000000000002</v>
      </c>
      <c r="L13">
        <v>1280</v>
      </c>
      <c r="M13">
        <v>1285.447495637929</v>
      </c>
      <c r="N13">
        <v>1290.0101046982691</v>
      </c>
      <c r="O13">
        <v>1295.0204991870987</v>
      </c>
      <c r="P13">
        <v>1300.175741307718</v>
      </c>
      <c r="Q13">
        <v>1305.2790796955287</v>
      </c>
      <c r="R13">
        <v>1310.3007694918235</v>
      </c>
      <c r="S13">
        <v>1315.3344692000567</v>
      </c>
      <c r="T13">
        <v>1320.3343246255924</v>
      </c>
      <c r="U13">
        <v>1325.278986942219</v>
      </c>
      <c r="V13">
        <v>1330.1636050496866</v>
      </c>
    </row>
    <row r="14" spans="10:22" x14ac:dyDescent="0.15">
      <c r="J14" s="69" t="s">
        <v>252</v>
      </c>
      <c r="K14">
        <v>12562</v>
      </c>
      <c r="L14">
        <v>13267.199999999999</v>
      </c>
      <c r="M14">
        <v>12895.575999555051</v>
      </c>
      <c r="N14">
        <v>12799.238134855623</v>
      </c>
      <c r="O14">
        <v>12768.402646023971</v>
      </c>
      <c r="P14">
        <v>12774.579586788195</v>
      </c>
      <c r="Q14">
        <v>12795.354378353399</v>
      </c>
      <c r="R14">
        <v>12818.41633100107</v>
      </c>
      <c r="S14">
        <v>12851.508163781202</v>
      </c>
      <c r="T14">
        <v>12891.172779168486</v>
      </c>
      <c r="U14">
        <v>12935.858032681905</v>
      </c>
      <c r="V14">
        <v>12984.514612866413</v>
      </c>
    </row>
    <row r="15" spans="10:22" x14ac:dyDescent="0.15">
      <c r="J15" s="69" t="s">
        <v>253</v>
      </c>
      <c r="K15">
        <v>1817.0000000000002</v>
      </c>
      <c r="L15">
        <v>1849.4299999999998</v>
      </c>
      <c r="M15">
        <v>1856.0426740055691</v>
      </c>
      <c r="N15">
        <v>1862.4911671584075</v>
      </c>
      <c r="O15">
        <v>1868.205359000922</v>
      </c>
      <c r="P15">
        <v>1873.0926219818614</v>
      </c>
      <c r="Q15">
        <v>1877.3503850314171</v>
      </c>
      <c r="R15">
        <v>1880.7630941977625</v>
      </c>
      <c r="S15">
        <v>1884.7613853302089</v>
      </c>
      <c r="T15">
        <v>1888.1006419775133</v>
      </c>
      <c r="U15">
        <v>1890.78153234865</v>
      </c>
      <c r="V15">
        <v>1892.8246750463379</v>
      </c>
    </row>
    <row r="16" spans="10:22" x14ac:dyDescent="0.15">
      <c r="J16" s="69" t="s">
        <v>254</v>
      </c>
      <c r="K16">
        <v>7590.5</v>
      </c>
      <c r="L16">
        <v>8021.91</v>
      </c>
      <c r="M16">
        <v>8045.9736534572257</v>
      </c>
      <c r="N16">
        <v>8042.7683143985478</v>
      </c>
      <c r="O16">
        <v>8065.2494741257433</v>
      </c>
      <c r="P16">
        <v>8100.0850719522205</v>
      </c>
      <c r="Q16">
        <v>8135.0825067253309</v>
      </c>
      <c r="R16">
        <v>8170.5225323095337</v>
      </c>
      <c r="S16">
        <v>8206.8130747268933</v>
      </c>
      <c r="T16">
        <v>8243.9165644406057</v>
      </c>
      <c r="U16">
        <v>8281.8197387157979</v>
      </c>
      <c r="V16">
        <v>8320.5023361577714</v>
      </c>
    </row>
    <row r="17" spans="10:22" x14ac:dyDescent="0.15">
      <c r="J17" s="69" t="s">
        <v>255</v>
      </c>
      <c r="K17">
        <v>2325.4499999999998</v>
      </c>
      <c r="L17">
        <v>1987.8267000000001</v>
      </c>
      <c r="M17">
        <v>2138.6900044268559</v>
      </c>
      <c r="N17">
        <v>2138.6301678454229</v>
      </c>
      <c r="O17">
        <v>2141.9821524832382</v>
      </c>
      <c r="P17">
        <v>2146.9187380142571</v>
      </c>
      <c r="Q17">
        <v>2151.9108796478095</v>
      </c>
      <c r="R17">
        <v>2157.0479126058181</v>
      </c>
      <c r="S17">
        <v>2162.4339245771694</v>
      </c>
      <c r="T17">
        <v>2168.0562378940149</v>
      </c>
      <c r="U17">
        <v>2173.9098631565371</v>
      </c>
      <c r="V17">
        <v>2179.9877287287986</v>
      </c>
    </row>
    <row r="18" spans="10:22" x14ac:dyDescent="0.15">
      <c r="J18" s="69" t="s">
        <v>256</v>
      </c>
      <c r="K18">
        <v>933.5</v>
      </c>
      <c r="L18">
        <v>980.76000000000022</v>
      </c>
      <c r="M18">
        <v>986.40387667611776</v>
      </c>
      <c r="N18">
        <v>992.50581003777961</v>
      </c>
      <c r="O18">
        <v>998.27923750292916</v>
      </c>
      <c r="P18">
        <v>1003.673295455485</v>
      </c>
      <c r="Q18">
        <v>1008.74814836856</v>
      </c>
      <c r="R18">
        <v>1013.2482679746373</v>
      </c>
      <c r="S18">
        <v>1017.9445295798669</v>
      </c>
      <c r="T18">
        <v>1022.1738382274491</v>
      </c>
      <c r="U18">
        <v>1025.938902361803</v>
      </c>
      <c r="V18">
        <v>1029.2534099842176</v>
      </c>
    </row>
    <row r="19" spans="10:22" x14ac:dyDescent="0.15">
      <c r="J19" s="69" t="s">
        <v>257</v>
      </c>
      <c r="K19">
        <v>1449.7</v>
      </c>
      <c r="L19">
        <v>1445.12</v>
      </c>
      <c r="M19">
        <v>1442.7808789678363</v>
      </c>
      <c r="N19">
        <v>1442.691482304203</v>
      </c>
      <c r="O19">
        <v>1444.468954140968</v>
      </c>
      <c r="P19">
        <v>1447.1129562254819</v>
      </c>
      <c r="Q19">
        <v>1449.7866166995118</v>
      </c>
      <c r="R19">
        <v>1452.5378186988926</v>
      </c>
      <c r="S19">
        <v>1455.4234680183297</v>
      </c>
      <c r="T19">
        <v>1458.4365210054534</v>
      </c>
      <c r="U19">
        <v>1461.5741977976136</v>
      </c>
      <c r="V19">
        <v>1464.832556688453</v>
      </c>
    </row>
    <row r="20" spans="10:22" x14ac:dyDescent="0.15">
      <c r="J20" s="69" t="s">
        <v>258</v>
      </c>
      <c r="K20">
        <v>1961.4899999999998</v>
      </c>
      <c r="L20">
        <v>1910.9399999999998</v>
      </c>
      <c r="M20">
        <v>1832.4851060431424</v>
      </c>
      <c r="N20">
        <v>1846.9659053028356</v>
      </c>
      <c r="O20">
        <v>1862.1341084940452</v>
      </c>
      <c r="P20">
        <v>1877.2300832109447</v>
      </c>
      <c r="Q20">
        <v>1891.9002165629756</v>
      </c>
      <c r="R20">
        <v>1905.8712881912024</v>
      </c>
      <c r="S20">
        <v>1920.3714783366697</v>
      </c>
      <c r="T20">
        <v>1934.5202227742061</v>
      </c>
      <c r="U20">
        <v>1948.2748009090715</v>
      </c>
      <c r="V20">
        <v>1961.6245507228066</v>
      </c>
    </row>
    <row r="21" spans="10:22" x14ac:dyDescent="0.15">
      <c r="J21" s="69" t="s">
        <v>259</v>
      </c>
      <c r="K21">
        <v>312.65000000000003</v>
      </c>
      <c r="L21">
        <v>359.09</v>
      </c>
      <c r="M21">
        <v>363.12178066097823</v>
      </c>
      <c r="N21">
        <v>366.94218234852872</v>
      </c>
      <c r="O21">
        <v>370.36005608612896</v>
      </c>
      <c r="P21">
        <v>373.3885439118917</v>
      </c>
      <c r="Q21">
        <v>376.10593747425054</v>
      </c>
      <c r="R21">
        <v>378.46717773229773</v>
      </c>
      <c r="S21">
        <v>380.86047801311906</v>
      </c>
      <c r="T21">
        <v>383.00406049912027</v>
      </c>
      <c r="U21">
        <v>384.89651764042469</v>
      </c>
      <c r="V21">
        <v>386.55347693036617</v>
      </c>
    </row>
    <row r="22" spans="10:22" x14ac:dyDescent="0.15">
      <c r="J22" s="69" t="s">
        <v>260</v>
      </c>
      <c r="K22">
        <v>407.3</v>
      </c>
      <c r="L22">
        <v>397.81400000000002</v>
      </c>
      <c r="M22">
        <v>398.53763552197535</v>
      </c>
      <c r="N22">
        <v>398.51262507405653</v>
      </c>
      <c r="O22">
        <v>399.00990724315051</v>
      </c>
      <c r="P22">
        <v>399.74961803039412</v>
      </c>
      <c r="Q22">
        <v>400.49762632647332</v>
      </c>
      <c r="R22">
        <v>401.26732836594857</v>
      </c>
      <c r="S22">
        <v>402.07464464693498</v>
      </c>
      <c r="T22">
        <v>402.91760457127322</v>
      </c>
      <c r="U22">
        <v>403.7954304185518</v>
      </c>
      <c r="V22">
        <v>404.70701942008174</v>
      </c>
    </row>
    <row r="23" spans="10:22" x14ac:dyDescent="0.15">
      <c r="J23" s="69" t="s">
        <v>261</v>
      </c>
      <c r="K23">
        <v>877.2</v>
      </c>
      <c r="L23">
        <v>768.1</v>
      </c>
      <c r="M23">
        <v>799.44594853743718</v>
      </c>
      <c r="N23">
        <v>804.15007924417159</v>
      </c>
      <c r="O23">
        <v>808.72993684291703</v>
      </c>
      <c r="P23">
        <v>813.18797126696165</v>
      </c>
      <c r="Q23">
        <v>817.58307352566806</v>
      </c>
      <c r="R23">
        <v>821.88133547129996</v>
      </c>
      <c r="S23">
        <v>826.135760530531</v>
      </c>
      <c r="T23">
        <v>830.32541527483374</v>
      </c>
      <c r="U23">
        <v>834.43033220623875</v>
      </c>
      <c r="V23">
        <v>838.44665236373316</v>
      </c>
    </row>
    <row r="24" spans="10:22" x14ac:dyDescent="0.15">
      <c r="J24" s="69" t="s">
        <v>262</v>
      </c>
      <c r="K24">
        <v>1456</v>
      </c>
      <c r="L24">
        <v>1562</v>
      </c>
      <c r="M24">
        <v>1572.3112454730149</v>
      </c>
      <c r="N24">
        <v>1582.0668314619368</v>
      </c>
      <c r="O24">
        <v>1591.1978344071711</v>
      </c>
      <c r="P24">
        <v>1599.7384152531799</v>
      </c>
      <c r="Q24">
        <v>1607.8327555108353</v>
      </c>
      <c r="R24">
        <v>1615.4051239677972</v>
      </c>
      <c r="S24">
        <v>1622.9806604406006</v>
      </c>
      <c r="T24">
        <v>1630.1735900395656</v>
      </c>
      <c r="U24">
        <v>1636.9569630411663</v>
      </c>
      <c r="V24">
        <v>1643.3496135903943</v>
      </c>
    </row>
    <row r="25" spans="10:22" x14ac:dyDescent="0.15">
      <c r="J25" s="69" t="s">
        <v>263</v>
      </c>
      <c r="K25">
        <v>882</v>
      </c>
      <c r="L25">
        <v>960</v>
      </c>
      <c r="M25">
        <v>963.42414437726757</v>
      </c>
      <c r="N25">
        <v>966.84373702253311</v>
      </c>
      <c r="O25">
        <v>970.25796050038639</v>
      </c>
      <c r="P25">
        <v>973.66812101995367</v>
      </c>
      <c r="Q25">
        <v>977.11868260719473</v>
      </c>
      <c r="R25">
        <v>980.46899104193437</v>
      </c>
      <c r="S25">
        <v>983.73378088333675</v>
      </c>
      <c r="T25">
        <v>986.93327619131492</v>
      </c>
      <c r="U25">
        <v>990.07817432130355</v>
      </c>
      <c r="V25">
        <v>993.18177812798763</v>
      </c>
    </row>
    <row r="26" spans="10:22" x14ac:dyDescent="0.15">
      <c r="J26" s="69" t="s">
        <v>264</v>
      </c>
      <c r="K26">
        <v>114</v>
      </c>
      <c r="L26">
        <v>156</v>
      </c>
      <c r="M26">
        <v>156</v>
      </c>
      <c r="N26">
        <v>156</v>
      </c>
      <c r="O26">
        <v>155.99999999999997</v>
      </c>
      <c r="P26">
        <v>156.00000000000011</v>
      </c>
      <c r="Q26">
        <v>156.00000000000003</v>
      </c>
      <c r="R26">
        <v>156.00000000000009</v>
      </c>
      <c r="S26">
        <v>156.00000000000009</v>
      </c>
      <c r="T26">
        <v>156.00000000000009</v>
      </c>
      <c r="U26">
        <v>156.00000000000006</v>
      </c>
      <c r="V26">
        <v>156.00000000000011</v>
      </c>
    </row>
    <row r="27" spans="10:22" x14ac:dyDescent="0.15">
      <c r="J27" s="69" t="s">
        <v>265</v>
      </c>
      <c r="K27">
        <v>34609.86</v>
      </c>
      <c r="L27">
        <v>32330.809999999998</v>
      </c>
      <c r="M27">
        <v>32392.363700896989</v>
      </c>
      <c r="N27">
        <v>32441.268639232872</v>
      </c>
      <c r="O27">
        <v>32476.281532402169</v>
      </c>
      <c r="P27">
        <v>32498.393571918361</v>
      </c>
      <c r="Q27">
        <v>32508.640463342759</v>
      </c>
      <c r="R27">
        <v>32506.960122532739</v>
      </c>
      <c r="S27">
        <v>32505.978106874445</v>
      </c>
      <c r="T27">
        <v>32495.240843313382</v>
      </c>
      <c r="U27">
        <v>32475.184184522797</v>
      </c>
      <c r="V27">
        <v>32446.757696458615</v>
      </c>
    </row>
    <row r="28" spans="10:22" x14ac:dyDescent="0.15">
      <c r="J28" s="69" t="s">
        <v>266</v>
      </c>
      <c r="K28">
        <v>84681.158181818202</v>
      </c>
      <c r="L28">
        <v>84677.430761818221</v>
      </c>
      <c r="M28">
        <v>84958.230539497017</v>
      </c>
      <c r="N28">
        <v>85228.824686684617</v>
      </c>
      <c r="O28">
        <v>85484.337661449448</v>
      </c>
      <c r="P28">
        <v>85728.864922101347</v>
      </c>
      <c r="Q28">
        <v>85963.880487685004</v>
      </c>
      <c r="R28">
        <v>86179.376307428858</v>
      </c>
      <c r="S28">
        <v>86390.428689319873</v>
      </c>
      <c r="T28">
        <v>86588.625526285061</v>
      </c>
      <c r="U28">
        <v>86774.011618002871</v>
      </c>
      <c r="V28">
        <v>86948.254343204739</v>
      </c>
    </row>
    <row r="29" spans="10:22" x14ac:dyDescent="0.15">
      <c r="J29" s="69" t="s">
        <v>267</v>
      </c>
      <c r="K29">
        <v>5810.54</v>
      </c>
      <c r="L29">
        <v>6031.0399999999945</v>
      </c>
      <c r="M29">
        <v>5971.3701662024541</v>
      </c>
      <c r="N29">
        <v>5937.064252492265</v>
      </c>
      <c r="O29">
        <v>5902.1642593445995</v>
      </c>
      <c r="P29">
        <v>5866.5580269312859</v>
      </c>
      <c r="Q29">
        <v>5830.1045083927092</v>
      </c>
      <c r="R29">
        <v>5795.1600719525613</v>
      </c>
      <c r="S29">
        <v>5762.2910168070503</v>
      </c>
      <c r="T29">
        <v>5728.8088839360171</v>
      </c>
      <c r="U29">
        <v>5694.6827831433347</v>
      </c>
      <c r="V29">
        <v>5659.9881493815537</v>
      </c>
    </row>
    <row r="30" spans="10:22" x14ac:dyDescent="0.15">
      <c r="J30" s="69" t="s">
        <v>268</v>
      </c>
      <c r="K30">
        <v>1066.4100000000001</v>
      </c>
      <c r="L30">
        <v>1080.8800000000001</v>
      </c>
      <c r="M30">
        <v>1042.7232354101852</v>
      </c>
      <c r="N30">
        <v>1020.2261936993597</v>
      </c>
      <c r="O30">
        <v>1023.7498567300104</v>
      </c>
      <c r="P30">
        <v>1037.4243861974132</v>
      </c>
      <c r="Q30">
        <v>1050.487539283816</v>
      </c>
      <c r="R30">
        <v>1063.0585630393464</v>
      </c>
      <c r="S30">
        <v>1076.3111843435238</v>
      </c>
      <c r="T30">
        <v>1089.3643615854451</v>
      </c>
      <c r="U30">
        <v>1102.1856741005679</v>
      </c>
      <c r="V30">
        <v>1114.7648960740714</v>
      </c>
    </row>
    <row r="31" spans="10:22" x14ac:dyDescent="0.15">
      <c r="J31" s="69" t="s">
        <v>269</v>
      </c>
      <c r="K31">
        <v>554.53</v>
      </c>
      <c r="L31">
        <v>529.67800000000011</v>
      </c>
      <c r="M31">
        <v>535.20411876319713</v>
      </c>
      <c r="N31">
        <v>540.84605282265545</v>
      </c>
      <c r="O31">
        <v>546.14638656562579</v>
      </c>
      <c r="P31">
        <v>551.08215172781149</v>
      </c>
      <c r="Q31">
        <v>555.71489577732109</v>
      </c>
      <c r="R31">
        <v>560.03700090199709</v>
      </c>
      <c r="S31">
        <v>564.69813938695586</v>
      </c>
      <c r="T31">
        <v>569.21719233090005</v>
      </c>
      <c r="U31">
        <v>573.57319062768681</v>
      </c>
      <c r="V31">
        <v>577.76152717058437</v>
      </c>
    </row>
    <row r="32" spans="10:22" x14ac:dyDescent="0.15">
      <c r="J32" s="69" t="s">
        <v>270</v>
      </c>
      <c r="K32">
        <v>2660.7696469695802</v>
      </c>
      <c r="L32">
        <v>2762.5683313000009</v>
      </c>
      <c r="M32">
        <v>2865.5337373497359</v>
      </c>
      <c r="N32">
        <v>2942.3417451865189</v>
      </c>
      <c r="O32">
        <v>2979.0519558204332</v>
      </c>
      <c r="P32">
        <v>3013.9624428350503</v>
      </c>
      <c r="Q32">
        <v>3047.0811778410593</v>
      </c>
      <c r="R32">
        <v>3078.1792319444398</v>
      </c>
      <c r="S32">
        <v>3110.9262881354271</v>
      </c>
      <c r="T32">
        <v>3142.6481896684509</v>
      </c>
      <c r="U32">
        <v>3173.2064301894779</v>
      </c>
      <c r="V32">
        <v>3202.6061735322101</v>
      </c>
    </row>
    <row r="33" spans="10:22" x14ac:dyDescent="0.15">
      <c r="J33" s="69" t="s">
        <v>271</v>
      </c>
      <c r="K33">
        <v>3031.9088576999998</v>
      </c>
      <c r="L33">
        <v>2953.4849967</v>
      </c>
      <c r="M33">
        <v>2977.8108869156349</v>
      </c>
      <c r="N33">
        <v>3001.4163685583731</v>
      </c>
      <c r="O33">
        <v>3023.9135631229906</v>
      </c>
      <c r="P33">
        <v>3042.6893272640355</v>
      </c>
      <c r="Q33">
        <v>3057.9948337664314</v>
      </c>
      <c r="R33">
        <v>3070.4868065780474</v>
      </c>
      <c r="S33">
        <v>3082.9918265975734</v>
      </c>
      <c r="T33">
        <v>3095.5628165648614</v>
      </c>
      <c r="U33">
        <v>3108.1830976440851</v>
      </c>
      <c r="V33">
        <v>3120.8175713466803</v>
      </c>
    </row>
    <row r="34" spans="10:22" x14ac:dyDescent="0.15">
      <c r="J34" s="69" t="s">
        <v>272</v>
      </c>
      <c r="K34">
        <v>5637.2999999999993</v>
      </c>
      <c r="L34">
        <v>5681.7999999999965</v>
      </c>
      <c r="M34">
        <v>5749.8918640800857</v>
      </c>
      <c r="N34">
        <v>5817.7592107556247</v>
      </c>
      <c r="O34">
        <v>5881.8091074182366</v>
      </c>
      <c r="P34">
        <v>5942.3334975256284</v>
      </c>
      <c r="Q34">
        <v>5999.9143103901506</v>
      </c>
      <c r="R34">
        <v>6054.3856298555711</v>
      </c>
      <c r="S34">
        <v>6110.5773557825887</v>
      </c>
      <c r="T34">
        <v>6165.3292456552317</v>
      </c>
      <c r="U34">
        <v>6218.3818130787977</v>
      </c>
      <c r="V34">
        <v>6269.7759075390477</v>
      </c>
    </row>
    <row r="35" spans="10:22" x14ac:dyDescent="0.15">
      <c r="J35" s="69" t="s">
        <v>273</v>
      </c>
      <c r="K35">
        <v>7635.0000000000045</v>
      </c>
      <c r="L35">
        <v>7906.35</v>
      </c>
      <c r="M35">
        <v>7993.7838109350887</v>
      </c>
      <c r="N35">
        <v>8080.800393428337</v>
      </c>
      <c r="O35">
        <v>8165.2322017429206</v>
      </c>
      <c r="P35">
        <v>8247.0351324677595</v>
      </c>
      <c r="Q35">
        <v>8326.5835628303194</v>
      </c>
      <c r="R35">
        <v>8404.6506720099696</v>
      </c>
      <c r="S35">
        <v>8484.8280847880324</v>
      </c>
      <c r="T35">
        <v>8564.4089349435217</v>
      </c>
      <c r="U35">
        <v>8643.2345698404824</v>
      </c>
      <c r="V35">
        <v>8721.3065849118557</v>
      </c>
    </row>
    <row r="36" spans="10:22" x14ac:dyDescent="0.15">
      <c r="J36" s="69" t="s">
        <v>274</v>
      </c>
      <c r="K36">
        <v>4007.0127460000003</v>
      </c>
      <c r="L36">
        <v>4007.2770479999999</v>
      </c>
      <c r="M36">
        <v>4017.213761655034</v>
      </c>
      <c r="N36">
        <v>4021.0419889192881</v>
      </c>
      <c r="O36">
        <v>4028.6841652106341</v>
      </c>
      <c r="P36">
        <v>4037.9999483547026</v>
      </c>
      <c r="Q36">
        <v>4047.2951402963336</v>
      </c>
      <c r="R36">
        <v>4056.6476642374678</v>
      </c>
      <c r="S36">
        <v>4066.3112094959688</v>
      </c>
      <c r="T36">
        <v>4076.1742386704541</v>
      </c>
      <c r="U36">
        <v>4086.2079726903844</v>
      </c>
      <c r="V36">
        <v>4096.4006540251667</v>
      </c>
    </row>
  </sheetData>
  <phoneticPr fontId="1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J6:V36"/>
  <sheetViews>
    <sheetView workbookViewId="0">
      <selection activeCell="G52" sqref="G52"/>
    </sheetView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2803.71</v>
      </c>
      <c r="L8">
        <v>2694.96</v>
      </c>
      <c r="M8">
        <v>2637.5639851677834</v>
      </c>
      <c r="N8">
        <v>2581.954486881983</v>
      </c>
      <c r="O8">
        <v>2528.3422055138585</v>
      </c>
      <c r="P8">
        <v>2476.1560983839458</v>
      </c>
      <c r="Q8">
        <v>2425.5110066485631</v>
      </c>
      <c r="R8">
        <v>2376.5189693262782</v>
      </c>
      <c r="S8">
        <v>2329.2519804457129</v>
      </c>
      <c r="T8">
        <v>2283.8596801285689</v>
      </c>
      <c r="U8">
        <v>2240.3372447568559</v>
      </c>
      <c r="V8">
        <v>2198.7188505158811</v>
      </c>
    </row>
    <row r="9" spans="10:22" x14ac:dyDescent="0.15">
      <c r="J9" s="69" t="s">
        <v>247</v>
      </c>
      <c r="K9">
        <v>2566.86</v>
      </c>
      <c r="L9">
        <v>2449.34</v>
      </c>
      <c r="M9">
        <v>2395.456122507926</v>
      </c>
      <c r="N9">
        <v>2343.1052670815407</v>
      </c>
      <c r="O9">
        <v>2292.4665857227424</v>
      </c>
      <c r="P9">
        <v>2243.9591014118282</v>
      </c>
      <c r="Q9">
        <v>2197.6435197991877</v>
      </c>
      <c r="R9">
        <v>2152.8635715009077</v>
      </c>
      <c r="S9">
        <v>2109.6813535005313</v>
      </c>
      <c r="T9">
        <v>2068.2294520247178</v>
      </c>
      <c r="U9">
        <v>2028.5007160151445</v>
      </c>
      <c r="V9">
        <v>1990.5235016180548</v>
      </c>
    </row>
    <row r="10" spans="10:22" x14ac:dyDescent="0.15">
      <c r="J10" s="69" t="s">
        <v>248</v>
      </c>
      <c r="K10">
        <v>2803.71</v>
      </c>
      <c r="L10">
        <v>2250</v>
      </c>
      <c r="M10">
        <v>2204.2141361846557</v>
      </c>
      <c r="N10">
        <v>2159.3537409922374</v>
      </c>
      <c r="O10">
        <v>2115.8772528728773</v>
      </c>
      <c r="P10">
        <v>2073.538192252016</v>
      </c>
      <c r="Q10">
        <v>2032.4350398407287</v>
      </c>
      <c r="R10">
        <v>1992.6000803536592</v>
      </c>
      <c r="S10">
        <v>1954.1031941237679</v>
      </c>
      <c r="T10">
        <v>1917.0789279747833</v>
      </c>
      <c r="U10">
        <v>1881.5317551294825</v>
      </c>
      <c r="V10">
        <v>1847.4983192950813</v>
      </c>
    </row>
    <row r="11" spans="10:22" x14ac:dyDescent="0.15">
      <c r="J11" s="69" t="s">
        <v>249</v>
      </c>
      <c r="K11">
        <v>2130</v>
      </c>
      <c r="L11">
        <v>2232.67</v>
      </c>
      <c r="M11">
        <v>2191.6451787712244</v>
      </c>
      <c r="N11">
        <v>2151.507960109559</v>
      </c>
      <c r="O11">
        <v>2112.4343738390589</v>
      </c>
      <c r="P11">
        <v>2074.8111788046026</v>
      </c>
      <c r="Q11">
        <v>2038.2478741850573</v>
      </c>
      <c r="R11">
        <v>2002.5604295945393</v>
      </c>
      <c r="S11">
        <v>1967.849798724583</v>
      </c>
      <c r="T11">
        <v>1934.2807854375537</v>
      </c>
      <c r="U11">
        <v>1901.8858384179059</v>
      </c>
      <c r="V11">
        <v>1870.7281817002795</v>
      </c>
    </row>
    <row r="12" spans="10:22" x14ac:dyDescent="0.15">
      <c r="J12" s="69" t="s">
        <v>250</v>
      </c>
      <c r="K12">
        <v>3400</v>
      </c>
      <c r="L12">
        <v>3200</v>
      </c>
      <c r="M12">
        <v>3163.2877677354995</v>
      </c>
      <c r="N12">
        <v>3127.2000974790681</v>
      </c>
      <c r="O12">
        <v>3091.9653705020869</v>
      </c>
      <c r="P12">
        <v>3058.0698366336114</v>
      </c>
      <c r="Q12">
        <v>3025.1244260817816</v>
      </c>
      <c r="R12">
        <v>2991.8463987567088</v>
      </c>
      <c r="S12">
        <v>2958.4922688148454</v>
      </c>
      <c r="T12">
        <v>2925.4137829339666</v>
      </c>
      <c r="U12">
        <v>2892.7619503029809</v>
      </c>
      <c r="V12">
        <v>2860.7305830060373</v>
      </c>
    </row>
    <row r="13" spans="10:22" x14ac:dyDescent="0.15">
      <c r="J13" s="69" t="s">
        <v>251</v>
      </c>
      <c r="K13">
        <v>2480</v>
      </c>
      <c r="L13">
        <v>2430</v>
      </c>
      <c r="M13">
        <v>2395.0204976938785</v>
      </c>
      <c r="N13">
        <v>2360.6387766625194</v>
      </c>
      <c r="O13">
        <v>2327.0276061761965</v>
      </c>
      <c r="P13">
        <v>2294.5602550242097</v>
      </c>
      <c r="Q13">
        <v>2262.9786847670916</v>
      </c>
      <c r="R13">
        <v>2231.6542538769149</v>
      </c>
      <c r="S13">
        <v>2200.7488475438336</v>
      </c>
      <c r="T13">
        <v>2170.4947806055352</v>
      </c>
      <c r="U13">
        <v>2140.9750180824271</v>
      </c>
      <c r="V13">
        <v>2112.3049564679081</v>
      </c>
    </row>
    <row r="14" spans="10:22" x14ac:dyDescent="0.15">
      <c r="J14" s="69" t="s">
        <v>252</v>
      </c>
      <c r="K14">
        <v>4721</v>
      </c>
      <c r="L14">
        <v>4300</v>
      </c>
      <c r="M14">
        <v>4223.3385111067237</v>
      </c>
      <c r="N14">
        <v>4148.3166462464651</v>
      </c>
      <c r="O14">
        <v>4075.28994535725</v>
      </c>
      <c r="P14">
        <v>4005.0131604214594</v>
      </c>
      <c r="Q14">
        <v>3936.7011522715129</v>
      </c>
      <c r="R14">
        <v>3869.8906244220593</v>
      </c>
      <c r="S14">
        <v>3804.7906724942122</v>
      </c>
      <c r="T14">
        <v>3741.7333961236513</v>
      </c>
      <c r="U14">
        <v>3680.7944723178307</v>
      </c>
      <c r="V14">
        <v>3622.1084182469099</v>
      </c>
    </row>
    <row r="15" spans="10:22" x14ac:dyDescent="0.15">
      <c r="J15" s="69" t="s">
        <v>253</v>
      </c>
      <c r="K15">
        <v>8081.99</v>
      </c>
      <c r="L15">
        <v>8367.34</v>
      </c>
      <c r="M15">
        <v>8218.1649436101707</v>
      </c>
      <c r="N15">
        <v>8072.1804201869536</v>
      </c>
      <c r="O15">
        <v>7930.0782724152414</v>
      </c>
      <c r="P15">
        <v>7793.3271669118349</v>
      </c>
      <c r="Q15">
        <v>7660.399306848255</v>
      </c>
      <c r="R15">
        <v>7530.3931668259702</v>
      </c>
      <c r="S15">
        <v>7403.7156245552815</v>
      </c>
      <c r="T15">
        <v>7281.0129104002926</v>
      </c>
      <c r="U15">
        <v>7162.4322837218306</v>
      </c>
      <c r="V15">
        <v>7048.2355005428126</v>
      </c>
    </row>
    <row r="16" spans="10:22" x14ac:dyDescent="0.15">
      <c r="J16" s="69" t="s">
        <v>254</v>
      </c>
      <c r="K16">
        <v>3220.03</v>
      </c>
      <c r="L16">
        <v>3142.71</v>
      </c>
      <c r="M16">
        <v>3086.680970288422</v>
      </c>
      <c r="N16">
        <v>3031.8502807733094</v>
      </c>
      <c r="O16">
        <v>2978.4777823659733</v>
      </c>
      <c r="P16">
        <v>2927.1150952065409</v>
      </c>
      <c r="Q16">
        <v>2877.1883902919071</v>
      </c>
      <c r="R16">
        <v>2828.359061459872</v>
      </c>
      <c r="S16">
        <v>2780.7799289196014</v>
      </c>
      <c r="T16">
        <v>2734.6937119376184</v>
      </c>
      <c r="U16">
        <v>2690.1557200227835</v>
      </c>
      <c r="V16">
        <v>2647.2642667694759</v>
      </c>
    </row>
    <row r="17" spans="10:22" x14ac:dyDescent="0.15">
      <c r="J17" s="69" t="s">
        <v>255</v>
      </c>
      <c r="K17">
        <v>6302.0254999999997</v>
      </c>
      <c r="L17">
        <v>5015.6499999999996</v>
      </c>
      <c r="M17">
        <v>4889.9212574055964</v>
      </c>
      <c r="N17">
        <v>4766.9190301865774</v>
      </c>
      <c r="O17">
        <v>4647.0910431441762</v>
      </c>
      <c r="P17">
        <v>4531.3548039370808</v>
      </c>
      <c r="Q17">
        <v>4419.3461719577645</v>
      </c>
      <c r="R17">
        <v>4312.1689453043045</v>
      </c>
      <c r="S17">
        <v>4209.7943705583193</v>
      </c>
      <c r="T17">
        <v>4112.3440353336264</v>
      </c>
      <c r="U17">
        <v>4019.6701686321235</v>
      </c>
      <c r="V17">
        <v>3931.7058200849169</v>
      </c>
    </row>
    <row r="18" spans="10:22" x14ac:dyDescent="0.15">
      <c r="J18" s="69" t="s">
        <v>256</v>
      </c>
      <c r="K18">
        <v>17247.254901960801</v>
      </c>
      <c r="L18">
        <v>9356.83</v>
      </c>
      <c r="M18">
        <v>9122.2796484863211</v>
      </c>
      <c r="N18">
        <v>8892.8156847508653</v>
      </c>
      <c r="O18">
        <v>8669.2733514544962</v>
      </c>
      <c r="P18">
        <v>8453.3642838161722</v>
      </c>
      <c r="Q18">
        <v>8244.4091677368961</v>
      </c>
      <c r="R18">
        <v>8044.4671682616781</v>
      </c>
      <c r="S18">
        <v>7853.4846451150333</v>
      </c>
      <c r="T18">
        <v>7671.6884232613429</v>
      </c>
      <c r="U18">
        <v>7498.8028319284849</v>
      </c>
      <c r="V18">
        <v>7334.7029734022835</v>
      </c>
    </row>
    <row r="19" spans="10:22" x14ac:dyDescent="0.15">
      <c r="J19" s="69" t="s">
        <v>257</v>
      </c>
      <c r="K19">
        <v>2531.46432</v>
      </c>
      <c r="L19">
        <v>2481.67</v>
      </c>
      <c r="M19">
        <v>2419.4612636180254</v>
      </c>
      <c r="N19">
        <v>2358.6015670238403</v>
      </c>
      <c r="O19">
        <v>2299.3124378773659</v>
      </c>
      <c r="P19">
        <v>2242.0478455008897</v>
      </c>
      <c r="Q19">
        <v>2186.6276184666845</v>
      </c>
      <c r="R19">
        <v>2133.5978998720675</v>
      </c>
      <c r="S19">
        <v>2082.9444629476675</v>
      </c>
      <c r="T19">
        <v>2034.7274674601313</v>
      </c>
      <c r="U19">
        <v>1988.8737984885881</v>
      </c>
      <c r="V19">
        <v>1945.3503299732108</v>
      </c>
    </row>
    <row r="20" spans="10:22" x14ac:dyDescent="0.15">
      <c r="J20" s="69" t="s">
        <v>258</v>
      </c>
      <c r="K20">
        <v>1149.49</v>
      </c>
      <c r="L20">
        <v>1056.8</v>
      </c>
      <c r="M20">
        <v>1043.083899607718</v>
      </c>
      <c r="N20">
        <v>1029.6644382804038</v>
      </c>
      <c r="O20">
        <v>1016.6407236330961</v>
      </c>
      <c r="P20">
        <v>1004.2177445442829</v>
      </c>
      <c r="Q20">
        <v>992.13631251432741</v>
      </c>
      <c r="R20">
        <v>980.03682362961263</v>
      </c>
      <c r="S20">
        <v>967.99826252109904</v>
      </c>
      <c r="T20">
        <v>956.13064688583177</v>
      </c>
      <c r="U20">
        <v>944.47826372248596</v>
      </c>
      <c r="V20">
        <v>933.09947265758717</v>
      </c>
    </row>
    <row r="21" spans="10:22" x14ac:dyDescent="0.15">
      <c r="J21" s="69" t="s">
        <v>259</v>
      </c>
      <c r="K21">
        <v>16122.5</v>
      </c>
      <c r="L21">
        <v>15121.25</v>
      </c>
      <c r="M21">
        <v>14924.992824510979</v>
      </c>
      <c r="N21">
        <v>14732.980116717974</v>
      </c>
      <c r="O21">
        <v>14546.629960481598</v>
      </c>
      <c r="P21">
        <v>14368.875444445723</v>
      </c>
      <c r="Q21">
        <v>14196.007963292268</v>
      </c>
      <c r="R21">
        <v>14022.882115167751</v>
      </c>
      <c r="S21">
        <v>13850.628053697166</v>
      </c>
      <c r="T21">
        <v>13680.819969930331</v>
      </c>
      <c r="U21">
        <v>13514.091545527668</v>
      </c>
      <c r="V21">
        <v>13351.27782070735</v>
      </c>
    </row>
    <row r="22" spans="10:22" x14ac:dyDescent="0.15">
      <c r="J22" s="69" t="s">
        <v>260</v>
      </c>
      <c r="K22">
        <v>3396.65289256198</v>
      </c>
      <c r="L22">
        <v>3227.07818930041</v>
      </c>
      <c r="M22">
        <v>3185.1942676329345</v>
      </c>
      <c r="N22">
        <v>3144.2161724762955</v>
      </c>
      <c r="O22">
        <v>3104.4465420050619</v>
      </c>
      <c r="P22">
        <v>3066.5113367972231</v>
      </c>
      <c r="Q22">
        <v>3029.6190905828162</v>
      </c>
      <c r="R22">
        <v>2992.6717053807479</v>
      </c>
      <c r="S22">
        <v>2955.9103711795333</v>
      </c>
      <c r="T22">
        <v>2919.6710415281591</v>
      </c>
      <c r="U22">
        <v>2884.0889526184278</v>
      </c>
      <c r="V22">
        <v>2849.3423132674234</v>
      </c>
    </row>
    <row r="23" spans="10:22" x14ac:dyDescent="0.15">
      <c r="J23" s="69" t="s">
        <v>261</v>
      </c>
      <c r="K23">
        <v>13947.4</v>
      </c>
      <c r="L23">
        <v>14423.2</v>
      </c>
      <c r="M23">
        <v>14240.97960988997</v>
      </c>
      <c r="N23">
        <v>14062.458109667868</v>
      </c>
      <c r="O23">
        <v>13888.686481625386</v>
      </c>
      <c r="P23">
        <v>13721.747889357326</v>
      </c>
      <c r="Q23">
        <v>13559.409049922982</v>
      </c>
      <c r="R23">
        <v>13396.6226598707</v>
      </c>
      <c r="S23">
        <v>13234.479876994472</v>
      </c>
      <c r="T23">
        <v>13074.496353395043</v>
      </c>
      <c r="U23">
        <v>12917.289121576279</v>
      </c>
      <c r="V23">
        <v>12763.667413808926</v>
      </c>
    </row>
    <row r="24" spans="10:22" x14ac:dyDescent="0.15">
      <c r="J24" s="69" t="s">
        <v>262</v>
      </c>
      <c r="K24">
        <v>6493</v>
      </c>
      <c r="L24">
        <v>5993</v>
      </c>
      <c r="M24">
        <v>5962.7592425685461</v>
      </c>
      <c r="N24">
        <v>5932.6539353645649</v>
      </c>
      <c r="O24">
        <v>5902.9174651772009</v>
      </c>
      <c r="P24">
        <v>5874.0724574671794</v>
      </c>
      <c r="Q24">
        <v>5846.4865240253584</v>
      </c>
      <c r="R24">
        <v>5815.9331446743554</v>
      </c>
      <c r="S24">
        <v>5783.0102516921042</v>
      </c>
      <c r="T24">
        <v>5748.5108931188279</v>
      </c>
      <c r="U24">
        <v>5712.8421464528801</v>
      </c>
      <c r="V24">
        <v>5676.4973504584013</v>
      </c>
    </row>
    <row r="25" spans="10:22" x14ac:dyDescent="0.15">
      <c r="J25" s="69" t="s">
        <v>263</v>
      </c>
      <c r="K25">
        <v>510</v>
      </c>
      <c r="L25">
        <v>502</v>
      </c>
      <c r="M25">
        <v>503.83825163993225</v>
      </c>
      <c r="N25">
        <v>505.68851828715196</v>
      </c>
      <c r="O25">
        <v>507.57126941979618</v>
      </c>
      <c r="P25">
        <v>509.5319171111023</v>
      </c>
      <c r="Q25">
        <v>511.58653540906562</v>
      </c>
      <c r="R25">
        <v>513.4213686592758</v>
      </c>
      <c r="S25">
        <v>515.07659952482265</v>
      </c>
      <c r="T25">
        <v>516.6094191878118</v>
      </c>
      <c r="U25">
        <v>518.04826354383442</v>
      </c>
      <c r="V25">
        <v>519.42964810700732</v>
      </c>
    </row>
    <row r="26" spans="10:22" x14ac:dyDescent="0.15">
      <c r="J26" s="69" t="s">
        <v>264</v>
      </c>
      <c r="K26">
        <v>680</v>
      </c>
      <c r="L26">
        <v>598</v>
      </c>
      <c r="M26">
        <v>594.98248407408494</v>
      </c>
      <c r="N26">
        <v>591.97848378908884</v>
      </c>
      <c r="O26">
        <v>589.01128719772498</v>
      </c>
      <c r="P26">
        <v>586.13304347828671</v>
      </c>
      <c r="Q26">
        <v>583.38043406760619</v>
      </c>
      <c r="R26">
        <v>580.33172376360142</v>
      </c>
      <c r="S26">
        <v>577.04657609075218</v>
      </c>
      <c r="T26">
        <v>573.60412382530592</v>
      </c>
      <c r="U26">
        <v>570.04498641395321</v>
      </c>
      <c r="V26">
        <v>566.41839071819163</v>
      </c>
    </row>
    <row r="27" spans="10:22" x14ac:dyDescent="0.15">
      <c r="J27" s="69" t="s">
        <v>265</v>
      </c>
      <c r="K27">
        <v>2121</v>
      </c>
      <c r="L27">
        <v>2133.73</v>
      </c>
      <c r="M27">
        <v>2113.1827886006722</v>
      </c>
      <c r="N27">
        <v>2092.9212639944344</v>
      </c>
      <c r="O27">
        <v>2073.0995832808962</v>
      </c>
      <c r="P27">
        <v>2054.0364983276213</v>
      </c>
      <c r="Q27">
        <v>2035.5379969320338</v>
      </c>
      <c r="R27">
        <v>2016.5644183741811</v>
      </c>
      <c r="S27">
        <v>1997.3012982545704</v>
      </c>
      <c r="T27">
        <v>1977.9990668902278</v>
      </c>
      <c r="U27">
        <v>1958.7730002128583</v>
      </c>
      <c r="V27">
        <v>1939.7672728576802</v>
      </c>
    </row>
    <row r="28" spans="10:22" x14ac:dyDescent="0.15">
      <c r="J28" s="69" t="s">
        <v>266</v>
      </c>
      <c r="K28">
        <v>2835.2409600000001</v>
      </c>
      <c r="L28">
        <v>2753.01897216</v>
      </c>
      <c r="M28">
        <v>2711.7718807669089</v>
      </c>
      <c r="N28">
        <v>2671.3037164677012</v>
      </c>
      <c r="O28">
        <v>2631.8379556127547</v>
      </c>
      <c r="P28">
        <v>2593.8215866808623</v>
      </c>
      <c r="Q28">
        <v>2556.8433443553522</v>
      </c>
      <c r="R28">
        <v>2520.2543638554275</v>
      </c>
      <c r="S28">
        <v>2484.2311707407684</v>
      </c>
      <c r="T28">
        <v>2449.0298209447478</v>
      </c>
      <c r="U28">
        <v>2414.7378733191285</v>
      </c>
      <c r="V28">
        <v>2381.479691946492</v>
      </c>
    </row>
    <row r="29" spans="10:22" x14ac:dyDescent="0.15">
      <c r="J29" s="69" t="s">
        <v>267</v>
      </c>
      <c r="K29">
        <v>17310</v>
      </c>
      <c r="L29">
        <v>15040</v>
      </c>
      <c r="M29">
        <v>15114.710380008486</v>
      </c>
      <c r="N29">
        <v>15179.447719107637</v>
      </c>
      <c r="O29">
        <v>15234.853848579953</v>
      </c>
      <c r="P29">
        <v>15283.62587416325</v>
      </c>
      <c r="Q29">
        <v>15335.48689689091</v>
      </c>
      <c r="R29">
        <v>15373.226433939601</v>
      </c>
      <c r="S29">
        <v>15398.49871093245</v>
      </c>
      <c r="T29">
        <v>15413.536799649006</v>
      </c>
      <c r="U29">
        <v>15419.595424697871</v>
      </c>
      <c r="V29">
        <v>15418.193523082522</v>
      </c>
    </row>
    <row r="30" spans="10:22" x14ac:dyDescent="0.15">
      <c r="J30" s="69" t="s">
        <v>268</v>
      </c>
      <c r="K30">
        <v>25260</v>
      </c>
      <c r="L30">
        <v>24870</v>
      </c>
      <c r="M30">
        <v>25090.901092153821</v>
      </c>
      <c r="N30">
        <v>25305.226885577824</v>
      </c>
      <c r="O30">
        <v>25513.198948067911</v>
      </c>
      <c r="P30">
        <v>25716.400483499528</v>
      </c>
      <c r="Q30">
        <v>25926.178726578171</v>
      </c>
      <c r="R30">
        <v>26107.34983107643</v>
      </c>
      <c r="S30">
        <v>26262.581299709749</v>
      </c>
      <c r="T30">
        <v>26395.603619137968</v>
      </c>
      <c r="U30">
        <v>26508.545132303476</v>
      </c>
      <c r="V30">
        <v>26604.036458256563</v>
      </c>
    </row>
    <row r="31" spans="10:22" x14ac:dyDescent="0.15">
      <c r="J31" s="69" t="s">
        <v>269</v>
      </c>
      <c r="K31">
        <v>18959.573700000001</v>
      </c>
      <c r="L31">
        <v>19356.21</v>
      </c>
      <c r="M31">
        <v>19503.22361093594</v>
      </c>
      <c r="N31">
        <v>19645.012234291185</v>
      </c>
      <c r="O31">
        <v>19782.613000526329</v>
      </c>
      <c r="P31">
        <v>19919.300137315073</v>
      </c>
      <c r="Q31">
        <v>20060.768263617356</v>
      </c>
      <c r="R31">
        <v>20180.835403325214</v>
      </c>
      <c r="S31">
        <v>20281.597408573809</v>
      </c>
      <c r="T31">
        <v>20365.957527314895</v>
      </c>
      <c r="U31">
        <v>20435.569743744902</v>
      </c>
      <c r="V31">
        <v>20492.466433317808</v>
      </c>
    </row>
    <row r="32" spans="10:22" x14ac:dyDescent="0.15">
      <c r="J32" s="69" t="s">
        <v>270</v>
      </c>
      <c r="K32">
        <v>11320.7187179666</v>
      </c>
      <c r="L32">
        <v>10364.0575101546</v>
      </c>
      <c r="M32">
        <v>10418.474375579672</v>
      </c>
      <c r="N32">
        <v>10468.338857474018</v>
      </c>
      <c r="O32">
        <v>10513.850018578849</v>
      </c>
      <c r="P32">
        <v>10556.046267330876</v>
      </c>
      <c r="Q32">
        <v>10600.439165226384</v>
      </c>
      <c r="R32">
        <v>10634.707348976093</v>
      </c>
      <c r="S32">
        <v>10659.98957696875</v>
      </c>
      <c r="T32">
        <v>10677.830307840602</v>
      </c>
      <c r="U32">
        <v>10689.101025019374</v>
      </c>
      <c r="V32">
        <v>10694.859390731965</v>
      </c>
    </row>
    <row r="33" spans="10:22" x14ac:dyDescent="0.15">
      <c r="J33" s="69" t="s">
        <v>271</v>
      </c>
      <c r="K33">
        <v>8441.1265710668595</v>
      </c>
      <c r="L33">
        <v>7036.27</v>
      </c>
      <c r="M33">
        <v>7086.3204555149669</v>
      </c>
      <c r="N33">
        <v>7132.7749506060427</v>
      </c>
      <c r="O33">
        <v>7175.6887389724752</v>
      </c>
      <c r="P33">
        <v>7215.70655807811</v>
      </c>
      <c r="Q33">
        <v>7257.335492367295</v>
      </c>
      <c r="R33">
        <v>7291.5803361313456</v>
      </c>
      <c r="S33">
        <v>7319.2110450940208</v>
      </c>
      <c r="T33">
        <v>7341.2829386833555</v>
      </c>
      <c r="U33">
        <v>7358.3952086143299</v>
      </c>
      <c r="V33">
        <v>7371.2794553595277</v>
      </c>
    </row>
    <row r="34" spans="10:22" x14ac:dyDescent="0.15">
      <c r="J34" s="69" t="s">
        <v>272</v>
      </c>
      <c r="K34">
        <v>3440</v>
      </c>
      <c r="L34">
        <v>3180</v>
      </c>
      <c r="M34">
        <v>3213.872266755578</v>
      </c>
      <c r="N34">
        <v>3247.2913220481905</v>
      </c>
      <c r="O34">
        <v>3280.3080383235961</v>
      </c>
      <c r="P34">
        <v>3313.1476364671844</v>
      </c>
      <c r="Q34">
        <v>3346.9560904388395</v>
      </c>
      <c r="R34">
        <v>3376.8546053190485</v>
      </c>
      <c r="S34">
        <v>3403.1747577871038</v>
      </c>
      <c r="T34">
        <v>3426.3903782265174</v>
      </c>
      <c r="U34">
        <v>3446.7717269361183</v>
      </c>
      <c r="V34">
        <v>3464.6573953733559</v>
      </c>
    </row>
    <row r="35" spans="10:22" x14ac:dyDescent="0.15">
      <c r="J35" s="69" t="s">
        <v>273</v>
      </c>
      <c r="K35">
        <v>22642.402529781899</v>
      </c>
      <c r="L35">
        <v>23412.244215794501</v>
      </c>
      <c r="M35">
        <v>23593.662420387376</v>
      </c>
      <c r="N35">
        <v>23767.247526672825</v>
      </c>
      <c r="O35">
        <v>23934.138745091586</v>
      </c>
      <c r="P35">
        <v>24098.193886366564</v>
      </c>
      <c r="Q35">
        <v>24268.014711327749</v>
      </c>
      <c r="R35">
        <v>24411.993989916431</v>
      </c>
      <c r="S35">
        <v>24532.66895711386</v>
      </c>
      <c r="T35">
        <v>24633.552632931609</v>
      </c>
      <c r="U35">
        <v>24716.646179316838</v>
      </c>
      <c r="V35">
        <v>24784.407873646505</v>
      </c>
    </row>
    <row r="36" spans="10:22" x14ac:dyDescent="0.15">
      <c r="J36" s="69" t="s">
        <v>274</v>
      </c>
      <c r="K36">
        <v>1000</v>
      </c>
      <c r="L36">
        <v>1000</v>
      </c>
      <c r="M36">
        <v>989.63524295274806</v>
      </c>
      <c r="N36">
        <v>979.63860177144227</v>
      </c>
      <c r="O36">
        <v>970.10272518505417</v>
      </c>
      <c r="P36">
        <v>961.20408315319673</v>
      </c>
      <c r="Q36">
        <v>952.56924306473366</v>
      </c>
      <c r="R36">
        <v>943.71061953050798</v>
      </c>
      <c r="S36">
        <v>934.71510820258572</v>
      </c>
      <c r="T36">
        <v>925.69997914932264</v>
      </c>
      <c r="U36">
        <v>916.71925458647866</v>
      </c>
      <c r="V36">
        <v>907.84048169601544</v>
      </c>
    </row>
  </sheetData>
  <phoneticPr fontId="1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C6:V36"/>
  <sheetViews>
    <sheetView workbookViewId="0">
      <selection activeCell="L19" sqref="L19:L22"/>
    </sheetView>
  </sheetViews>
  <sheetFormatPr defaultColWidth="9" defaultRowHeight="13.5" x14ac:dyDescent="0.15"/>
  <sheetData>
    <row r="6" spans="3:22" x14ac:dyDescent="0.15">
      <c r="D6" s="69" t="s">
        <v>73</v>
      </c>
      <c r="E6" s="69" t="s">
        <v>73</v>
      </c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3:22" x14ac:dyDescent="0.15">
      <c r="D7" s="69" t="s">
        <v>332</v>
      </c>
      <c r="E7" s="69" t="s">
        <v>75</v>
      </c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3:22" x14ac:dyDescent="0.15">
      <c r="C8" s="69" t="s">
        <v>246</v>
      </c>
      <c r="D8">
        <v>20760.900000000001</v>
      </c>
      <c r="E8">
        <v>20832.07</v>
      </c>
      <c r="J8" s="69" t="s">
        <v>246</v>
      </c>
      <c r="K8">
        <v>141</v>
      </c>
      <c r="L8">
        <v>142</v>
      </c>
      <c r="M8">
        <v>141.92468427635407</v>
      </c>
      <c r="N8">
        <v>141.85465810897767</v>
      </c>
      <c r="O8">
        <v>141.78845536873391</v>
      </c>
      <c r="P8">
        <v>141.71902844014878</v>
      </c>
      <c r="Q8">
        <v>141.64915500342801</v>
      </c>
      <c r="R8">
        <v>141.58280021908845</v>
      </c>
      <c r="S8">
        <v>141.51978571194158</v>
      </c>
      <c r="T8">
        <v>141.45994226470407</v>
      </c>
      <c r="U8">
        <v>141.40310933664307</v>
      </c>
      <c r="V8">
        <v>141.34913460859792</v>
      </c>
    </row>
    <row r="9" spans="3:22" x14ac:dyDescent="0.15">
      <c r="C9" s="69" t="s">
        <v>247</v>
      </c>
      <c r="D9">
        <v>14848.41</v>
      </c>
      <c r="E9">
        <v>15116.16</v>
      </c>
      <c r="J9" s="69" t="s">
        <v>247</v>
      </c>
      <c r="K9">
        <v>650</v>
      </c>
      <c r="L9">
        <v>700</v>
      </c>
      <c r="M9">
        <v>699.48096686756776</v>
      </c>
      <c r="N9">
        <v>698.99036689124841</v>
      </c>
      <c r="O9">
        <v>698.52348745367237</v>
      </c>
      <c r="P9">
        <v>698.09498849899524</v>
      </c>
      <c r="Q9">
        <v>697.73775477646052</v>
      </c>
      <c r="R9">
        <v>697.39842649123671</v>
      </c>
      <c r="S9">
        <v>697.0761041683827</v>
      </c>
      <c r="T9">
        <v>696.76993370752768</v>
      </c>
      <c r="U9">
        <v>696.47910407635038</v>
      </c>
      <c r="V9">
        <v>696.20284512288208</v>
      </c>
    </row>
    <row r="10" spans="3:22" x14ac:dyDescent="0.15">
      <c r="C10" s="69" t="s">
        <v>248</v>
      </c>
      <c r="D10">
        <v>31596.1</v>
      </c>
      <c r="E10">
        <v>30855.599999999999</v>
      </c>
      <c r="J10" s="69" t="s">
        <v>248</v>
      </c>
      <c r="K10">
        <v>127</v>
      </c>
      <c r="L10">
        <v>124.5</v>
      </c>
      <c r="M10">
        <v>124.41515381031162</v>
      </c>
      <c r="N10">
        <v>124.32463695781884</v>
      </c>
      <c r="O10">
        <v>124.23455185971531</v>
      </c>
      <c r="P10">
        <v>124.13538323693955</v>
      </c>
      <c r="Q10">
        <v>124.03419001224974</v>
      </c>
      <c r="R10">
        <v>123.93811104327388</v>
      </c>
      <c r="S10">
        <v>123.84688527790145</v>
      </c>
      <c r="T10">
        <v>123.76026523954523</v>
      </c>
      <c r="U10">
        <v>123.67801629704758</v>
      </c>
      <c r="V10">
        <v>123.59991597614258</v>
      </c>
    </row>
    <row r="11" spans="3:22" x14ac:dyDescent="0.15">
      <c r="C11" s="69" t="s">
        <v>249</v>
      </c>
      <c r="D11">
        <v>9150</v>
      </c>
      <c r="E11">
        <v>9500</v>
      </c>
      <c r="J11" s="69" t="s">
        <v>249</v>
      </c>
      <c r="K11">
        <v>855.27</v>
      </c>
      <c r="L11">
        <v>884.79</v>
      </c>
      <c r="M11">
        <v>885.00015820219437</v>
      </c>
      <c r="N11">
        <v>885.20705854995856</v>
      </c>
      <c r="O11">
        <v>885.40467010392535</v>
      </c>
      <c r="P11">
        <v>885.61730245417357</v>
      </c>
      <c r="Q11">
        <v>885.81796629889129</v>
      </c>
      <c r="R11">
        <v>886.00858511446643</v>
      </c>
      <c r="S11">
        <v>886.18966226343912</v>
      </c>
      <c r="T11">
        <v>886.36167583799374</v>
      </c>
      <c r="U11">
        <v>886.52507993257723</v>
      </c>
      <c r="V11">
        <v>886.68030585212659</v>
      </c>
    </row>
    <row r="12" spans="3:22" x14ac:dyDescent="0.15">
      <c r="C12" s="69" t="s">
        <v>250</v>
      </c>
      <c r="D12">
        <v>803.8</v>
      </c>
      <c r="E12">
        <v>1179.5</v>
      </c>
      <c r="J12" s="69" t="s">
        <v>250</v>
      </c>
      <c r="K12">
        <v>3.6</v>
      </c>
      <c r="L12">
        <v>3.4</v>
      </c>
      <c r="M12">
        <v>3.4022199472003098</v>
      </c>
      <c r="N12">
        <v>3.4044598975756997</v>
      </c>
      <c r="O12">
        <v>3.4067139301124492</v>
      </c>
      <c r="P12">
        <v>3.4089874256206452</v>
      </c>
      <c r="Q12">
        <v>3.4112624383627304</v>
      </c>
      <c r="R12">
        <v>3.413425925004371</v>
      </c>
      <c r="S12">
        <v>3.415483247741089</v>
      </c>
      <c r="T12">
        <v>3.4174395211415485</v>
      </c>
      <c r="U12">
        <v>3.4192996225870571</v>
      </c>
      <c r="V12">
        <v>3.4210682023707091</v>
      </c>
    </row>
    <row r="13" spans="3:22" x14ac:dyDescent="0.15">
      <c r="C13" s="69" t="s">
        <v>251</v>
      </c>
      <c r="D13">
        <v>1789.8</v>
      </c>
      <c r="E13">
        <v>1624</v>
      </c>
      <c r="J13" s="69" t="s">
        <v>251</v>
      </c>
      <c r="K13">
        <v>8.1199999999999992</v>
      </c>
      <c r="L13">
        <v>6.4</v>
      </c>
      <c r="M13">
        <v>6.3964315529884113</v>
      </c>
      <c r="N13">
        <v>6.39282037982559</v>
      </c>
      <c r="O13">
        <v>6.3891611838900282</v>
      </c>
      <c r="P13">
        <v>6.38545233011578</v>
      </c>
      <c r="Q13">
        <v>6.3817456292995303</v>
      </c>
      <c r="R13">
        <v>6.3782242433918626</v>
      </c>
      <c r="S13">
        <v>6.3748789090960498</v>
      </c>
      <c r="T13">
        <v>6.3717008259726384</v>
      </c>
      <c r="U13">
        <v>6.3686816333359664</v>
      </c>
      <c r="V13">
        <v>6.3658133883011496</v>
      </c>
    </row>
    <row r="14" spans="3:22" x14ac:dyDescent="0.15">
      <c r="C14" s="69" t="s">
        <v>252</v>
      </c>
      <c r="D14">
        <v>2084.17</v>
      </c>
      <c r="E14">
        <v>2065</v>
      </c>
      <c r="J14" s="69" t="s">
        <v>252</v>
      </c>
      <c r="K14">
        <v>83.699973</v>
      </c>
      <c r="L14">
        <v>83.105999999999995</v>
      </c>
      <c r="M14">
        <v>84.679593019443857</v>
      </c>
      <c r="N14">
        <v>86.28378143096684</v>
      </c>
      <c r="O14">
        <v>87.918088923635182</v>
      </c>
      <c r="P14">
        <v>89.58586546068473</v>
      </c>
      <c r="Q14">
        <v>91.285279156953848</v>
      </c>
      <c r="R14">
        <v>93.017056901694929</v>
      </c>
      <c r="S14">
        <v>94.78181213772254</v>
      </c>
      <c r="T14">
        <v>96.580169936716985</v>
      </c>
      <c r="U14">
        <v>98.41276722682214</v>
      </c>
      <c r="V14">
        <v>100.28025302390313</v>
      </c>
    </row>
    <row r="15" spans="3:22" x14ac:dyDescent="0.15">
      <c r="C15" s="69" t="s">
        <v>253</v>
      </c>
      <c r="D15">
        <v>1587.5</v>
      </c>
      <c r="E15">
        <v>1817</v>
      </c>
      <c r="J15" s="69" t="s">
        <v>274</v>
      </c>
      <c r="K15">
        <v>104.670241060148</v>
      </c>
      <c r="L15">
        <v>79.027332431086805</v>
      </c>
      <c r="M15">
        <v>78.974068139966704</v>
      </c>
      <c r="N15">
        <v>78.925389936371261</v>
      </c>
      <c r="O15">
        <v>78.882037801911082</v>
      </c>
      <c r="P15">
        <v>78.84507692003308</v>
      </c>
      <c r="Q15">
        <v>78.808221504126024</v>
      </c>
      <c r="R15">
        <v>78.771150395556219</v>
      </c>
      <c r="S15">
        <v>78.733907675981428</v>
      </c>
      <c r="T15">
        <v>78.696553643449334</v>
      </c>
      <c r="U15">
        <v>78.659118666689565</v>
      </c>
      <c r="V15">
        <v>78.621640695741661</v>
      </c>
    </row>
    <row r="16" spans="3:22" x14ac:dyDescent="0.15">
      <c r="C16" s="69" t="s">
        <v>254</v>
      </c>
      <c r="D16">
        <v>7932.5</v>
      </c>
      <c r="E16">
        <v>7729.4</v>
      </c>
    </row>
    <row r="17" spans="3:5" x14ac:dyDescent="0.15">
      <c r="C17" s="69" t="s">
        <v>255</v>
      </c>
      <c r="D17">
        <v>2151.5500000000002</v>
      </c>
      <c r="E17">
        <v>1880</v>
      </c>
    </row>
    <row r="18" spans="3:5" x14ac:dyDescent="0.15">
      <c r="C18" s="69" t="s">
        <v>256</v>
      </c>
      <c r="D18">
        <v>926.3</v>
      </c>
      <c r="E18">
        <v>935.5</v>
      </c>
    </row>
    <row r="19" spans="3:5" x14ac:dyDescent="0.15">
      <c r="C19" s="69" t="s">
        <v>257</v>
      </c>
      <c r="D19">
        <v>1351.5</v>
      </c>
      <c r="E19">
        <v>1449.7</v>
      </c>
    </row>
    <row r="20" spans="3:5" x14ac:dyDescent="0.15">
      <c r="C20" s="69" t="s">
        <v>258</v>
      </c>
      <c r="D20">
        <v>1880</v>
      </c>
      <c r="E20">
        <v>1961.49</v>
      </c>
    </row>
    <row r="21" spans="3:5" x14ac:dyDescent="0.15">
      <c r="C21" s="69" t="s">
        <v>259</v>
      </c>
      <c r="D21">
        <v>345.2</v>
      </c>
      <c r="E21">
        <v>344.45</v>
      </c>
    </row>
    <row r="22" spans="3:5" x14ac:dyDescent="0.15">
      <c r="C22" s="69" t="s">
        <v>260</v>
      </c>
      <c r="D22">
        <v>391.74</v>
      </c>
      <c r="E22">
        <v>407.3</v>
      </c>
    </row>
    <row r="23" spans="3:5" x14ac:dyDescent="0.15">
      <c r="C23" s="69" t="s">
        <v>261</v>
      </c>
      <c r="D23">
        <v>752.8</v>
      </c>
      <c r="E23">
        <v>783.4</v>
      </c>
    </row>
    <row r="24" spans="3:5" x14ac:dyDescent="0.15">
      <c r="C24" s="69" t="s">
        <v>262</v>
      </c>
      <c r="D24">
        <v>1267.0999999999999</v>
      </c>
      <c r="E24">
        <v>1456</v>
      </c>
    </row>
    <row r="25" spans="3:5" x14ac:dyDescent="0.15">
      <c r="C25" s="69" t="s">
        <v>263</v>
      </c>
      <c r="D25">
        <v>789</v>
      </c>
      <c r="E25">
        <v>882</v>
      </c>
    </row>
    <row r="26" spans="3:5" x14ac:dyDescent="0.15">
      <c r="C26" s="69" t="s">
        <v>264</v>
      </c>
      <c r="D26">
        <v>108</v>
      </c>
      <c r="E26">
        <v>114</v>
      </c>
    </row>
    <row r="27" spans="3:5" x14ac:dyDescent="0.15">
      <c r="C27" s="69" t="s">
        <v>265</v>
      </c>
      <c r="D27">
        <v>33109.9</v>
      </c>
      <c r="E27">
        <v>34609.86</v>
      </c>
    </row>
    <row r="28" spans="3:5" x14ac:dyDescent="0.15">
      <c r="C28" s="69" t="s">
        <v>266</v>
      </c>
      <c r="D28">
        <v>82868.11</v>
      </c>
      <c r="E28">
        <v>83696.791100000002</v>
      </c>
    </row>
    <row r="29" spans="3:5" x14ac:dyDescent="0.15">
      <c r="C29" s="69" t="s">
        <v>267</v>
      </c>
      <c r="D29">
        <v>5946.32</v>
      </c>
      <c r="E29">
        <v>5810.23</v>
      </c>
    </row>
    <row r="30" spans="3:5" x14ac:dyDescent="0.15">
      <c r="C30" s="69" t="s">
        <v>268</v>
      </c>
      <c r="D30">
        <v>1026.73</v>
      </c>
      <c r="E30">
        <v>1066.4100000000001</v>
      </c>
    </row>
    <row r="31" spans="3:5" x14ac:dyDescent="0.15">
      <c r="C31" s="69" t="s">
        <v>269</v>
      </c>
      <c r="D31">
        <v>574.24</v>
      </c>
      <c r="E31">
        <v>554.53</v>
      </c>
    </row>
    <row r="32" spans="3:5" x14ac:dyDescent="0.15">
      <c r="C32" s="69" t="s">
        <v>270</v>
      </c>
      <c r="D32">
        <v>2684.0192315221202</v>
      </c>
      <c r="E32">
        <v>2658.02930387177</v>
      </c>
    </row>
    <row r="33" spans="3:5" x14ac:dyDescent="0.15">
      <c r="C33" s="69" t="s">
        <v>271</v>
      </c>
      <c r="D33">
        <v>3028.55</v>
      </c>
      <c r="E33">
        <v>3049.8</v>
      </c>
    </row>
    <row r="34" spans="3:5" x14ac:dyDescent="0.15">
      <c r="C34" s="69" t="s">
        <v>272</v>
      </c>
      <c r="D34">
        <v>5891.13</v>
      </c>
      <c r="E34">
        <v>5595.0086899999997</v>
      </c>
    </row>
    <row r="35" spans="3:5" x14ac:dyDescent="0.15">
      <c r="C35" s="69" t="s">
        <v>273</v>
      </c>
      <c r="D35">
        <v>7419.52</v>
      </c>
      <c r="E35">
        <v>7638.4</v>
      </c>
    </row>
    <row r="36" spans="3:5" x14ac:dyDescent="0.15">
      <c r="C36" s="69" t="s">
        <v>274</v>
      </c>
      <c r="D36">
        <v>4124.6000000000004</v>
      </c>
      <c r="E36">
        <v>4007.67</v>
      </c>
    </row>
  </sheetData>
  <phoneticPr fontId="1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J6:BC29"/>
  <sheetViews>
    <sheetView topLeftCell="H1" workbookViewId="0">
      <pane xSplit="3" ySplit="7" topLeftCell="K11" activePane="bottomRight" state="frozen"/>
      <selection pane="topRight"/>
      <selection pane="bottomLeft"/>
      <selection pane="bottomRight" activeCell="L6" sqref="L6"/>
    </sheetView>
  </sheetViews>
  <sheetFormatPr defaultColWidth="9" defaultRowHeight="13.5" x14ac:dyDescent="0.15"/>
  <cols>
    <col min="47" max="52" width="9" style="4"/>
    <col min="53" max="53" width="12.625" style="7" customWidth="1"/>
    <col min="54" max="55" width="9" style="4"/>
  </cols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246</v>
      </c>
      <c r="K8">
        <v>304.4615582751095</v>
      </c>
      <c r="L8">
        <v>303.24608849110894</v>
      </c>
      <c r="M8">
        <v>300.74020519192101</v>
      </c>
      <c r="N8">
        <v>298.36935242448146</v>
      </c>
      <c r="O8">
        <v>296.15644313044675</v>
      </c>
      <c r="P8">
        <v>294.11639317274228</v>
      </c>
      <c r="Q8">
        <v>292.2215381835025</v>
      </c>
      <c r="R8">
        <v>290.45321631878119</v>
      </c>
      <c r="S8">
        <v>288.77639835822845</v>
      </c>
      <c r="T8">
        <v>287.19685623816054</v>
      </c>
      <c r="U8">
        <v>285.70508395843632</v>
      </c>
      <c r="V8">
        <v>284.29562083243735</v>
      </c>
    </row>
    <row r="9" spans="10:22" x14ac:dyDescent="0.15">
      <c r="J9" s="69" t="s">
        <v>247</v>
      </c>
      <c r="K9">
        <v>177.03515529095824</v>
      </c>
      <c r="L9">
        <v>172.58700213159577</v>
      </c>
      <c r="M9">
        <v>171.084556287071</v>
      </c>
      <c r="N9">
        <v>169.66462936018473</v>
      </c>
      <c r="O9">
        <v>168.34096981678613</v>
      </c>
      <c r="P9">
        <v>167.10150957266586</v>
      </c>
      <c r="Q9">
        <v>165.93089512951383</v>
      </c>
      <c r="R9">
        <v>164.8342067058897</v>
      </c>
      <c r="S9">
        <v>163.79173449280901</v>
      </c>
      <c r="T9">
        <v>162.80711874941008</v>
      </c>
      <c r="U9">
        <v>161.87502141946379</v>
      </c>
      <c r="V9">
        <v>160.9924943511902</v>
      </c>
    </row>
    <row r="10" spans="10:22" x14ac:dyDescent="0.15">
      <c r="J10" s="69" t="s">
        <v>248</v>
      </c>
      <c r="K10">
        <v>36.768839945045173</v>
      </c>
      <c r="L10">
        <v>37.442603852278395</v>
      </c>
      <c r="M10">
        <v>37.318695394244173</v>
      </c>
      <c r="N10">
        <v>37.212690955560547</v>
      </c>
      <c r="O10">
        <v>37.120750948431279</v>
      </c>
      <c r="P10">
        <v>37.043397344141958</v>
      </c>
      <c r="Q10">
        <v>36.978392748525927</v>
      </c>
      <c r="R10">
        <v>36.922399519841193</v>
      </c>
      <c r="S10">
        <v>36.875170692592903</v>
      </c>
      <c r="T10">
        <v>36.835317847671206</v>
      </c>
      <c r="U10">
        <v>36.802063180828988</v>
      </c>
      <c r="V10">
        <v>36.774603520679662</v>
      </c>
    </row>
    <row r="11" spans="10:22" x14ac:dyDescent="0.15">
      <c r="J11" s="69" t="s">
        <v>249</v>
      </c>
      <c r="K11">
        <v>118.32018150188843</v>
      </c>
      <c r="L11">
        <v>122.6994128239163</v>
      </c>
      <c r="M11">
        <v>122.51815022970123</v>
      </c>
      <c r="N11">
        <v>122.40320264849834</v>
      </c>
      <c r="O11">
        <v>122.33277651665742</v>
      </c>
      <c r="P11">
        <v>122.29417626065565</v>
      </c>
      <c r="Q11">
        <v>122.29354993267138</v>
      </c>
      <c r="R11">
        <v>122.31889105662461</v>
      </c>
      <c r="S11">
        <v>122.38029753007069</v>
      </c>
      <c r="T11">
        <v>122.46636703084052</v>
      </c>
      <c r="U11">
        <v>122.57403607366797</v>
      </c>
      <c r="V11">
        <v>122.69982936501231</v>
      </c>
    </row>
    <row r="12" spans="10:22" x14ac:dyDescent="0.15">
      <c r="J12" s="69" t="s">
        <v>250</v>
      </c>
      <c r="K12">
        <v>11.672647601601639</v>
      </c>
      <c r="L12">
        <v>7.8005424692246654</v>
      </c>
      <c r="M12">
        <v>7.8142583321350685</v>
      </c>
      <c r="N12">
        <v>7.830562617888317</v>
      </c>
      <c r="O12">
        <v>7.8478902906776726</v>
      </c>
      <c r="P12">
        <v>7.8657526370763202</v>
      </c>
      <c r="Q12">
        <v>7.8847375037011203</v>
      </c>
      <c r="R12">
        <v>7.904739341493344</v>
      </c>
      <c r="S12">
        <v>7.9265520626643209</v>
      </c>
      <c r="T12">
        <v>7.949347565614203</v>
      </c>
      <c r="U12">
        <v>7.972920459568595</v>
      </c>
      <c r="V12">
        <v>7.9970506910577654</v>
      </c>
    </row>
    <row r="13" spans="10:22" x14ac:dyDescent="0.15">
      <c r="J13" s="69" t="s">
        <v>251</v>
      </c>
      <c r="K13">
        <v>1.7376681396250975</v>
      </c>
      <c r="L13">
        <v>0.74885207704556789</v>
      </c>
      <c r="M13">
        <v>0.74601122261078268</v>
      </c>
      <c r="N13">
        <v>0.74369942509187292</v>
      </c>
      <c r="O13">
        <v>0.74177621582454201</v>
      </c>
      <c r="P13">
        <v>0.74017568649162013</v>
      </c>
      <c r="Q13">
        <v>0.738892026908614</v>
      </c>
      <c r="R13">
        <v>0.7378768465923965</v>
      </c>
      <c r="S13">
        <v>0.73717295010056672</v>
      </c>
      <c r="T13">
        <v>0.73670602009746189</v>
      </c>
      <c r="U13">
        <v>0.73645143703590188</v>
      </c>
      <c r="V13">
        <v>0.73638019946515154</v>
      </c>
    </row>
    <row r="14" spans="10:22" x14ac:dyDescent="0.15">
      <c r="J14" s="69" t="s">
        <v>252</v>
      </c>
      <c r="K14">
        <v>32.586141221137922</v>
      </c>
      <c r="L14">
        <v>33.152305494204832</v>
      </c>
      <c r="M14">
        <v>33.324775515871131</v>
      </c>
      <c r="N14">
        <v>33.510225467261179</v>
      </c>
      <c r="O14">
        <v>33.696844449477155</v>
      </c>
      <c r="P14">
        <v>33.882851254718112</v>
      </c>
      <c r="Q14">
        <v>34.070998216701646</v>
      </c>
      <c r="R14">
        <v>34.256063100584846</v>
      </c>
      <c r="S14">
        <v>34.447016934754501</v>
      </c>
      <c r="T14">
        <v>34.638254954439283</v>
      </c>
      <c r="U14">
        <v>34.82907863989854</v>
      </c>
      <c r="V14">
        <v>35.018863340446998</v>
      </c>
    </row>
    <row r="15" spans="10:22" x14ac:dyDescent="0.15">
      <c r="J15" s="69" t="s">
        <v>253</v>
      </c>
      <c r="K15">
        <v>34.979033979466259</v>
      </c>
      <c r="L15">
        <v>36.052937211386016</v>
      </c>
      <c r="M15">
        <v>36.220342704598714</v>
      </c>
      <c r="N15">
        <v>36.403025056184319</v>
      </c>
      <c r="O15">
        <v>36.589435814597799</v>
      </c>
      <c r="P15">
        <v>36.776943157084027</v>
      </c>
      <c r="Q15">
        <v>36.96821147545041</v>
      </c>
      <c r="R15">
        <v>37.159064341260439</v>
      </c>
      <c r="S15">
        <v>37.357177195664292</v>
      </c>
      <c r="T15">
        <v>37.557164831956783</v>
      </c>
      <c r="U15">
        <v>37.758592381732264</v>
      </c>
      <c r="V15">
        <v>37.96050341194934</v>
      </c>
    </row>
    <row r="16" spans="10:22" x14ac:dyDescent="0.15">
      <c r="J16" s="69" t="s">
        <v>256</v>
      </c>
      <c r="K16">
        <v>19.269595748977398</v>
      </c>
      <c r="L16">
        <v>19.501356173061669</v>
      </c>
      <c r="M16">
        <v>19.644696006086928</v>
      </c>
      <c r="N16">
        <v>19.797775206254872</v>
      </c>
      <c r="O16">
        <v>19.954296909994969</v>
      </c>
      <c r="P16">
        <v>20.112879168782158</v>
      </c>
      <c r="Q16">
        <v>20.274153065206491</v>
      </c>
      <c r="R16">
        <v>20.433059357902536</v>
      </c>
      <c r="S16">
        <v>20.593917325684412</v>
      </c>
      <c r="T16">
        <v>20.753856689887741</v>
      </c>
      <c r="U16">
        <v>20.912717701526095</v>
      </c>
      <c r="V16">
        <v>21.07004871741383</v>
      </c>
    </row>
    <row r="17" spans="10:22" x14ac:dyDescent="0.15">
      <c r="J17" s="69" t="s">
        <v>258</v>
      </c>
      <c r="K17">
        <v>15.612166167142197</v>
      </c>
      <c r="L17">
        <v>16.283632404506491</v>
      </c>
      <c r="M17">
        <v>16.581852061287528</v>
      </c>
      <c r="N17">
        <v>16.89334914713297</v>
      </c>
      <c r="O17">
        <v>17.20209258343624</v>
      </c>
      <c r="P17">
        <v>17.506755018994731</v>
      </c>
      <c r="Q17">
        <v>17.811495679221995</v>
      </c>
      <c r="R17">
        <v>18.110514372510316</v>
      </c>
      <c r="S17">
        <v>18.417387180439881</v>
      </c>
      <c r="T17">
        <v>18.724301398174568</v>
      </c>
      <c r="U17">
        <v>19.030435755440557</v>
      </c>
      <c r="V17">
        <v>19.335132470146334</v>
      </c>
    </row>
    <row r="18" spans="10:22" x14ac:dyDescent="0.15">
      <c r="J18" s="69" t="s">
        <v>259</v>
      </c>
      <c r="K18">
        <v>6.2254120541875428</v>
      </c>
      <c r="L18">
        <v>7.0204882223021992</v>
      </c>
      <c r="M18">
        <v>7.1069409152623404</v>
      </c>
      <c r="N18">
        <v>7.1929671703873819</v>
      </c>
      <c r="O18">
        <v>7.2748431696274665</v>
      </c>
      <c r="P18">
        <v>7.3526994107602794</v>
      </c>
      <c r="Q18">
        <v>7.4278593402349236</v>
      </c>
      <c r="R18">
        <v>7.4994613777470143</v>
      </c>
      <c r="S18">
        <v>7.5710403081527717</v>
      </c>
      <c r="T18">
        <v>7.6408859657771657</v>
      </c>
      <c r="U18">
        <v>7.7088877643326654</v>
      </c>
      <c r="V18">
        <v>7.7750822354462326</v>
      </c>
    </row>
    <row r="19" spans="10:22" x14ac:dyDescent="0.15">
      <c r="J19" s="69" t="s">
        <v>262</v>
      </c>
      <c r="K19">
        <v>12.061541310861671</v>
      </c>
      <c r="L19">
        <v>13.847913018491088</v>
      </c>
      <c r="M19">
        <v>13.893072469762719</v>
      </c>
      <c r="N19">
        <v>13.937703494125605</v>
      </c>
      <c r="O19">
        <v>13.980524671769169</v>
      </c>
      <c r="P19">
        <v>14.021409974248712</v>
      </c>
      <c r="Q19">
        <v>14.060801869141292</v>
      </c>
      <c r="R19">
        <v>14.098654543635725</v>
      </c>
      <c r="S19">
        <v>14.136058771318577</v>
      </c>
      <c r="T19">
        <v>14.172477876555133</v>
      </c>
      <c r="U19">
        <v>14.208024421589842</v>
      </c>
      <c r="V19">
        <v>14.242671795068119</v>
      </c>
    </row>
    <row r="20" spans="10:22" x14ac:dyDescent="0.15">
      <c r="J20" s="69" t="s">
        <v>265</v>
      </c>
      <c r="K20">
        <v>318.66262079731189</v>
      </c>
      <c r="L20">
        <v>367.96094892429051</v>
      </c>
      <c r="M20">
        <v>369.16652980881952</v>
      </c>
      <c r="N20">
        <v>370.3182600307349</v>
      </c>
      <c r="O20">
        <v>371.38958626486493</v>
      </c>
      <c r="P20">
        <v>372.38972696932808</v>
      </c>
      <c r="Q20">
        <v>373.32094278938564</v>
      </c>
      <c r="R20">
        <v>374.18078200606953</v>
      </c>
      <c r="S20">
        <v>375.00460103065853</v>
      </c>
      <c r="T20">
        <v>375.78171769842868</v>
      </c>
      <c r="U20">
        <v>376.51525241818734</v>
      </c>
      <c r="V20">
        <v>377.20871319760215</v>
      </c>
    </row>
    <row r="21" spans="10:22" x14ac:dyDescent="0.15">
      <c r="J21" s="69" t="s">
        <v>266</v>
      </c>
      <c r="K21">
        <v>397.17220463941055</v>
      </c>
      <c r="L21">
        <v>365.96644385392045</v>
      </c>
      <c r="M21">
        <v>367.23746101690682</v>
      </c>
      <c r="N21">
        <v>368.51395602879609</v>
      </c>
      <c r="O21">
        <v>369.76104209345209</v>
      </c>
      <c r="P21">
        <v>370.97369257731964</v>
      </c>
      <c r="Q21">
        <v>372.17071463231832</v>
      </c>
      <c r="R21">
        <v>373.32630251345716</v>
      </c>
      <c r="S21">
        <v>374.46772421366364</v>
      </c>
      <c r="T21">
        <v>375.58003669168056</v>
      </c>
      <c r="U21">
        <v>376.66328045834439</v>
      </c>
      <c r="V21">
        <v>377.71674679577666</v>
      </c>
    </row>
    <row r="22" spans="10:22" x14ac:dyDescent="0.15">
      <c r="J22" s="69" t="s">
        <v>267</v>
      </c>
      <c r="K22">
        <v>86.458717152683292</v>
      </c>
      <c r="L22">
        <v>89.95975602633348</v>
      </c>
      <c r="M22">
        <v>89.425296867492975</v>
      </c>
      <c r="N22">
        <v>88.968299367677133</v>
      </c>
      <c r="O22">
        <v>88.526154705931077</v>
      </c>
      <c r="P22">
        <v>88.093977013189701</v>
      </c>
      <c r="Q22">
        <v>87.664528761005201</v>
      </c>
      <c r="R22">
        <v>87.240957630629893</v>
      </c>
      <c r="S22">
        <v>86.833398536532087</v>
      </c>
      <c r="T22">
        <v>86.433609405193238</v>
      </c>
      <c r="U22">
        <v>86.040627217324854</v>
      </c>
      <c r="V22">
        <v>85.652683925459101</v>
      </c>
    </row>
    <row r="23" spans="10:22" x14ac:dyDescent="0.15">
      <c r="J23" s="69" t="s">
        <v>268</v>
      </c>
      <c r="K23">
        <v>18.567096907487652</v>
      </c>
      <c r="L23">
        <v>18.869707246616198</v>
      </c>
      <c r="M23">
        <v>18.22663143586658</v>
      </c>
      <c r="N23">
        <v>17.888983121696022</v>
      </c>
      <c r="O23">
        <v>18.001935168086057</v>
      </c>
      <c r="P23">
        <v>18.289495441562842</v>
      </c>
      <c r="Q23">
        <v>18.573793306055784</v>
      </c>
      <c r="R23">
        <v>18.857438176723264</v>
      </c>
      <c r="S23">
        <v>19.153330573583336</v>
      </c>
      <c r="T23">
        <v>19.453976288648228</v>
      </c>
      <c r="U23">
        <v>19.758749564572113</v>
      </c>
      <c r="V23">
        <v>20.066971590215889</v>
      </c>
    </row>
    <row r="24" spans="10:22" x14ac:dyDescent="0.15">
      <c r="J24" s="69" t="s">
        <v>269</v>
      </c>
      <c r="K24">
        <v>9.6389971094633644</v>
      </c>
      <c r="L24">
        <v>9.2115194120887143</v>
      </c>
      <c r="M24">
        <v>9.3176367974559948</v>
      </c>
      <c r="N24">
        <v>9.4307776204583931</v>
      </c>
      <c r="O24">
        <v>9.5419841921971376</v>
      </c>
      <c r="P24">
        <v>9.6506474806968683</v>
      </c>
      <c r="Q24">
        <v>9.7577810999167767</v>
      </c>
      <c r="R24">
        <v>9.8633200580381857</v>
      </c>
      <c r="S24">
        <v>9.9746788968799045</v>
      </c>
      <c r="T24">
        <v>10.087499944133977</v>
      </c>
      <c r="U24">
        <v>10.201317380301493</v>
      </c>
      <c r="V24">
        <v>10.315735336236857</v>
      </c>
    </row>
    <row r="25" spans="10:22" x14ac:dyDescent="0.15">
      <c r="J25" s="69" t="s">
        <v>270</v>
      </c>
      <c r="K25">
        <v>48.681918319002548</v>
      </c>
      <c r="L25">
        <v>51.033451887020455</v>
      </c>
      <c r="M25">
        <v>52.179955266008122</v>
      </c>
      <c r="N25">
        <v>52.995644614355641</v>
      </c>
      <c r="O25">
        <v>53.803180985754153</v>
      </c>
      <c r="P25">
        <v>54.603161355579985</v>
      </c>
      <c r="Q25">
        <v>55.394620043792884</v>
      </c>
      <c r="R25">
        <v>56.173436267074621</v>
      </c>
      <c r="S25">
        <v>56.981343725034506</v>
      </c>
      <c r="T25">
        <v>57.794922037554535</v>
      </c>
      <c r="U25">
        <v>58.61130655450247</v>
      </c>
      <c r="V25">
        <v>59.429007740549991</v>
      </c>
    </row>
    <row r="26" spans="10:22" x14ac:dyDescent="0.15">
      <c r="J26" s="69" t="s">
        <v>271</v>
      </c>
      <c r="K26">
        <v>46.430610136496057</v>
      </c>
      <c r="L26">
        <v>44.876520825449511</v>
      </c>
      <c r="M26">
        <v>45.124721059108559</v>
      </c>
      <c r="N26">
        <v>45.378124176925972</v>
      </c>
      <c r="O26">
        <v>45.630300892167135</v>
      </c>
      <c r="P26">
        <v>45.88089891787336</v>
      </c>
      <c r="Q26">
        <v>46.128647131577331</v>
      </c>
      <c r="R26">
        <v>46.374204782258609</v>
      </c>
      <c r="S26">
        <v>46.622958835199277</v>
      </c>
      <c r="T26">
        <v>46.871822304604116</v>
      </c>
      <c r="U26">
        <v>47.120756503499535</v>
      </c>
      <c r="V26">
        <v>47.369472686794886</v>
      </c>
    </row>
    <row r="27" spans="10:22" x14ac:dyDescent="0.15">
      <c r="J27" s="69" t="s">
        <v>272</v>
      </c>
      <c r="K27">
        <v>55.912166678041523</v>
      </c>
      <c r="L27">
        <v>57.327099169723894</v>
      </c>
      <c r="M27">
        <v>58.172571588945424</v>
      </c>
      <c r="N27">
        <v>59.041899898525187</v>
      </c>
      <c r="O27">
        <v>59.872957343080571</v>
      </c>
      <c r="P27">
        <v>60.669545512148247</v>
      </c>
      <c r="Q27">
        <v>61.43824958934335</v>
      </c>
      <c r="R27">
        <v>62.176895491434209</v>
      </c>
      <c r="S27">
        <v>62.943300330766377</v>
      </c>
      <c r="T27">
        <v>63.707110464821803</v>
      </c>
      <c r="U27">
        <v>64.464878970123976</v>
      </c>
      <c r="V27">
        <v>65.215838028045084</v>
      </c>
    </row>
    <row r="28" spans="10:22" x14ac:dyDescent="0.15">
      <c r="J28" s="69" t="s">
        <v>273</v>
      </c>
      <c r="K28">
        <v>64.612193742098881</v>
      </c>
      <c r="L28">
        <v>69.799589437948498</v>
      </c>
      <c r="M28">
        <v>70.336275725287891</v>
      </c>
      <c r="N28">
        <v>70.884245537369736</v>
      </c>
      <c r="O28">
        <v>71.411176374042782</v>
      </c>
      <c r="P28">
        <v>71.913304505761957</v>
      </c>
      <c r="Q28">
        <v>72.392106740251364</v>
      </c>
      <c r="R28">
        <v>72.864495238167351</v>
      </c>
      <c r="S28">
        <v>73.356543060747242</v>
      </c>
      <c r="T28">
        <v>73.852042710760742</v>
      </c>
      <c r="U28">
        <v>74.349970900386282</v>
      </c>
      <c r="V28">
        <v>74.848406848069686</v>
      </c>
    </row>
    <row r="29" spans="10:22" x14ac:dyDescent="0.15">
      <c r="J29" s="69" t="s">
        <v>274</v>
      </c>
      <c r="K29">
        <v>3.2008780800348315</v>
      </c>
      <c r="L29">
        <v>2.4225342227670921</v>
      </c>
      <c r="M29">
        <v>2.4157046290370645</v>
      </c>
      <c r="N29">
        <v>2.4100323559951686</v>
      </c>
      <c r="O29">
        <v>2.4050698655941831</v>
      </c>
      <c r="P29">
        <v>2.4006501573296748</v>
      </c>
      <c r="Q29">
        <v>2.3969209868940418</v>
      </c>
      <c r="R29">
        <v>2.3938480407670197</v>
      </c>
      <c r="S29">
        <v>2.391623232484823</v>
      </c>
      <c r="T29">
        <v>2.3900177435688099</v>
      </c>
      <c r="U29">
        <v>2.3889636030966983</v>
      </c>
      <c r="V29">
        <v>2.3883885930683832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J6:V10"/>
  <sheetViews>
    <sheetView tabSelected="1" workbookViewId="0">
      <selection activeCell="AD44" sqref="AD44"/>
    </sheetView>
  </sheetViews>
  <sheetFormatPr defaultColWidth="9" defaultRowHeight="13.5" x14ac:dyDescent="0.15"/>
  <sheetData>
    <row r="6" spans="10:22" x14ac:dyDescent="0.15">
      <c r="K6" s="69" t="s">
        <v>73</v>
      </c>
      <c r="L6" s="69" t="s">
        <v>73</v>
      </c>
      <c r="M6" s="69" t="s">
        <v>73</v>
      </c>
      <c r="N6" s="69" t="s">
        <v>73</v>
      </c>
      <c r="O6" s="69" t="s">
        <v>73</v>
      </c>
      <c r="P6" s="69" t="s">
        <v>73</v>
      </c>
      <c r="Q6" s="69" t="s">
        <v>73</v>
      </c>
      <c r="R6" s="69" t="s">
        <v>73</v>
      </c>
      <c r="S6" s="69" t="s">
        <v>73</v>
      </c>
      <c r="T6" s="69" t="s">
        <v>73</v>
      </c>
      <c r="U6" s="69" t="s">
        <v>73</v>
      </c>
      <c r="V6" s="69" t="s">
        <v>73</v>
      </c>
    </row>
    <row r="7" spans="10:22" x14ac:dyDescent="0.15">
      <c r="K7" s="69" t="s">
        <v>75</v>
      </c>
      <c r="L7" s="69" t="s">
        <v>76</v>
      </c>
      <c r="M7" s="69" t="s">
        <v>77</v>
      </c>
      <c r="N7" s="69" t="s">
        <v>78</v>
      </c>
      <c r="O7" s="69" t="s">
        <v>79</v>
      </c>
      <c r="P7" s="69" t="s">
        <v>80</v>
      </c>
      <c r="Q7" s="69" t="s">
        <v>81</v>
      </c>
      <c r="R7" s="69" t="s">
        <v>82</v>
      </c>
      <c r="S7" s="69" t="s">
        <v>83</v>
      </c>
      <c r="T7" s="69" t="s">
        <v>84</v>
      </c>
      <c r="U7" s="69" t="s">
        <v>85</v>
      </c>
      <c r="V7" s="69" t="s">
        <v>86</v>
      </c>
    </row>
    <row r="8" spans="10:22" x14ac:dyDescent="0.15">
      <c r="J8" s="69" t="s">
        <v>252</v>
      </c>
      <c r="K8">
        <v>10240</v>
      </c>
      <c r="L8">
        <v>10650</v>
      </c>
      <c r="M8">
        <v>10423.10757607533</v>
      </c>
      <c r="N8">
        <v>10418.995152139289</v>
      </c>
      <c r="O8">
        <v>10447.838297179367</v>
      </c>
      <c r="P8">
        <v>10492.532085794348</v>
      </c>
      <c r="Q8">
        <v>10537.433509895269</v>
      </c>
      <c r="R8">
        <v>10582.902774406246</v>
      </c>
      <c r="S8">
        <v>10629.463245094987</v>
      </c>
      <c r="T8">
        <v>10677.06672055142</v>
      </c>
      <c r="U8">
        <v>10725.696184794591</v>
      </c>
      <c r="V8">
        <v>10775.325642619937</v>
      </c>
    </row>
    <row r="9" spans="10:22" x14ac:dyDescent="0.15">
      <c r="J9" s="69" t="s">
        <v>255</v>
      </c>
      <c r="K9">
        <v>1963.34</v>
      </c>
      <c r="L9">
        <v>1980</v>
      </c>
      <c r="M9">
        <v>2130.4879554549075</v>
      </c>
      <c r="N9">
        <v>2130.324620487957</v>
      </c>
      <c r="O9">
        <v>2133.5722059337008</v>
      </c>
      <c r="P9">
        <v>2138.4030125381037</v>
      </c>
      <c r="Q9">
        <v>2143.2880074295699</v>
      </c>
      <c r="R9">
        <v>2148.314676987246</v>
      </c>
      <c r="S9">
        <v>2153.5869927210265</v>
      </c>
      <c r="T9">
        <v>2159.0920853058124</v>
      </c>
      <c r="U9">
        <v>2164.824875706709</v>
      </c>
      <c r="V9">
        <v>2170.7781621059808</v>
      </c>
    </row>
    <row r="10" spans="10:22" x14ac:dyDescent="0.15">
      <c r="J10" s="69" t="s">
        <v>258</v>
      </c>
      <c r="K10">
        <v>970</v>
      </c>
      <c r="L10">
        <v>980</v>
      </c>
      <c r="M10">
        <v>992.21755146220289</v>
      </c>
      <c r="N10">
        <v>992.15531335243406</v>
      </c>
      <c r="O10">
        <v>993.39279227830275</v>
      </c>
      <c r="P10">
        <v>995.23355104131974</v>
      </c>
      <c r="Q10">
        <v>997.09495802572712</v>
      </c>
      <c r="R10">
        <v>999.01034955240186</v>
      </c>
      <c r="S10">
        <v>1001.0193435327243</v>
      </c>
      <c r="T10">
        <v>1003.1170361638941</v>
      </c>
      <c r="U10">
        <v>1005.3014921007907</v>
      </c>
      <c r="V10">
        <v>1007.5699671207224</v>
      </c>
    </row>
  </sheetData>
  <phoneticPr fontId="14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31"/>
  <sheetViews>
    <sheetView workbookViewId="0">
      <selection activeCell="I39" sqref="I39"/>
    </sheetView>
  </sheetViews>
  <sheetFormatPr defaultColWidth="9" defaultRowHeight="13.5" x14ac:dyDescent="0.15"/>
  <sheetData>
    <row r="1" spans="1:15" x14ac:dyDescent="0.15">
      <c r="A1" s="84" t="s">
        <v>333</v>
      </c>
      <c r="B1" s="84"/>
      <c r="C1" s="84"/>
      <c r="D1" s="84"/>
      <c r="E1" s="84"/>
      <c r="F1" s="84"/>
      <c r="G1" s="84"/>
      <c r="H1" s="2"/>
    </row>
    <row r="2" spans="1:15" x14ac:dyDescent="0.15">
      <c r="A2" s="1" t="s">
        <v>334</v>
      </c>
      <c r="B2" s="1" t="s">
        <v>277</v>
      </c>
      <c r="C2" s="1" t="s">
        <v>150</v>
      </c>
      <c r="D2" s="1" t="s">
        <v>152</v>
      </c>
      <c r="E2" s="1" t="s">
        <v>154</v>
      </c>
      <c r="F2" s="1" t="s">
        <v>278</v>
      </c>
      <c r="G2" s="1" t="s">
        <v>335</v>
      </c>
      <c r="H2" s="2"/>
    </row>
    <row r="3" spans="1:15" x14ac:dyDescent="0.15">
      <c r="A3" s="1"/>
      <c r="B3" s="1"/>
      <c r="C3" s="1" t="s">
        <v>151</v>
      </c>
      <c r="D3" s="1" t="s">
        <v>153</v>
      </c>
      <c r="E3" s="1" t="s">
        <v>336</v>
      </c>
      <c r="F3" s="1"/>
      <c r="G3" s="1"/>
      <c r="H3" s="2"/>
      <c r="K3" s="1" t="str">
        <f>B2</f>
        <v>能量</v>
      </c>
      <c r="L3" s="1" t="str">
        <f t="shared" ref="L3:O3" si="0">C2</f>
        <v>蛋白质</v>
      </c>
      <c r="M3" s="1" t="str">
        <f t="shared" si="0"/>
        <v>脂肪</v>
      </c>
      <c r="N3" s="1" t="str">
        <f t="shared" si="0"/>
        <v>碳水化合物</v>
      </c>
      <c r="O3" s="3" t="str">
        <f t="shared" si="0"/>
        <v>可食比例</v>
      </c>
    </row>
    <row r="4" spans="1:15" x14ac:dyDescent="0.15">
      <c r="A4" s="1"/>
      <c r="B4" s="1" t="s">
        <v>337</v>
      </c>
      <c r="C4" s="1" t="s">
        <v>338</v>
      </c>
      <c r="D4" s="1" t="s">
        <v>338</v>
      </c>
      <c r="E4" s="1" t="s">
        <v>338</v>
      </c>
      <c r="F4" s="1" t="s">
        <v>339</v>
      </c>
      <c r="G4" s="1"/>
      <c r="H4" s="2"/>
      <c r="I4" t="s">
        <v>246</v>
      </c>
      <c r="J4" t="s">
        <v>340</v>
      </c>
      <c r="K4">
        <f t="shared" ref="K4:N5" si="1">B6*0.7</f>
        <v>242.9</v>
      </c>
      <c r="L4">
        <f t="shared" si="1"/>
        <v>5.18</v>
      </c>
      <c r="M4">
        <f t="shared" si="1"/>
        <v>0.56000000000000005</v>
      </c>
      <c r="N4">
        <f t="shared" si="1"/>
        <v>54.53</v>
      </c>
      <c r="O4" s="4">
        <v>70</v>
      </c>
    </row>
    <row r="5" spans="1:15" x14ac:dyDescent="0.15">
      <c r="A5" s="5" t="s">
        <v>341</v>
      </c>
      <c r="B5" s="5"/>
      <c r="C5" s="5"/>
      <c r="D5" s="5"/>
      <c r="E5" s="5"/>
      <c r="F5" s="5"/>
      <c r="G5" s="1" t="s">
        <v>335</v>
      </c>
      <c r="H5" s="2"/>
      <c r="I5" t="s">
        <v>247</v>
      </c>
      <c r="J5" t="s">
        <v>280</v>
      </c>
      <c r="K5">
        <f t="shared" si="1"/>
        <v>244.3</v>
      </c>
      <c r="L5">
        <f t="shared" si="1"/>
        <v>7.84</v>
      </c>
      <c r="M5">
        <f t="shared" si="1"/>
        <v>1.05</v>
      </c>
      <c r="N5">
        <f t="shared" si="1"/>
        <v>51.52</v>
      </c>
      <c r="O5" s="4">
        <v>70</v>
      </c>
    </row>
    <row r="6" spans="1:15" x14ac:dyDescent="0.15">
      <c r="A6" s="5" t="s">
        <v>340</v>
      </c>
      <c r="B6" s="5">
        <v>347</v>
      </c>
      <c r="C6" s="5">
        <v>7.4</v>
      </c>
      <c r="D6" s="5">
        <v>0.8</v>
      </c>
      <c r="E6" s="5">
        <v>77.900000000000006</v>
      </c>
      <c r="F6" s="5">
        <v>70</v>
      </c>
      <c r="G6" s="5" t="s">
        <v>342</v>
      </c>
      <c r="H6" s="2"/>
      <c r="I6" t="s">
        <v>248</v>
      </c>
      <c r="J6" t="s">
        <v>281</v>
      </c>
      <c r="K6" s="6">
        <v>112</v>
      </c>
      <c r="L6" s="6">
        <v>16.5</v>
      </c>
      <c r="M6" s="6">
        <v>7.1</v>
      </c>
      <c r="N6" s="6">
        <v>71</v>
      </c>
      <c r="O6" s="6">
        <v>46</v>
      </c>
    </row>
    <row r="7" spans="1:15" x14ac:dyDescent="0.15">
      <c r="A7" s="5" t="s">
        <v>280</v>
      </c>
      <c r="B7" s="5">
        <v>349</v>
      </c>
      <c r="C7" s="5">
        <v>11.2</v>
      </c>
      <c r="D7" s="5">
        <v>1.5</v>
      </c>
      <c r="E7" s="5">
        <v>73.599999999999994</v>
      </c>
      <c r="F7" s="5">
        <v>80</v>
      </c>
      <c r="G7" s="5" t="s">
        <v>343</v>
      </c>
      <c r="H7" s="2"/>
      <c r="I7" t="s">
        <v>252</v>
      </c>
      <c r="J7" t="s">
        <v>283</v>
      </c>
      <c r="K7" s="6">
        <v>390</v>
      </c>
      <c r="L7" s="6">
        <v>35</v>
      </c>
      <c r="M7" s="6">
        <v>16</v>
      </c>
      <c r="N7" s="6">
        <v>34.200000000000003</v>
      </c>
      <c r="O7" s="6">
        <v>100</v>
      </c>
    </row>
    <row r="8" spans="1:15" x14ac:dyDescent="0.15">
      <c r="A8" s="5" t="s">
        <v>344</v>
      </c>
      <c r="B8" s="5"/>
      <c r="C8" s="5"/>
      <c r="D8" s="5"/>
      <c r="E8" s="5"/>
      <c r="F8" s="5"/>
      <c r="G8" s="5"/>
      <c r="H8" s="2"/>
      <c r="I8" t="s">
        <v>251</v>
      </c>
      <c r="J8" t="s">
        <v>282</v>
      </c>
      <c r="K8">
        <f>B31</f>
        <v>228.9</v>
      </c>
      <c r="L8">
        <f t="shared" ref="L8:O8" si="2">C31</f>
        <v>2.36</v>
      </c>
      <c r="M8">
        <f t="shared" si="2"/>
        <v>0.21</v>
      </c>
      <c r="N8">
        <f t="shared" si="2"/>
        <v>58.49</v>
      </c>
      <c r="O8">
        <f t="shared" si="2"/>
        <v>94</v>
      </c>
    </row>
    <row r="9" spans="1:15" x14ac:dyDescent="0.15">
      <c r="A9" s="5" t="s">
        <v>345</v>
      </c>
      <c r="B9" s="5">
        <v>899</v>
      </c>
      <c r="C9" s="5">
        <v>0</v>
      </c>
      <c r="D9" s="5">
        <v>99.9</v>
      </c>
      <c r="E9" s="5">
        <v>0</v>
      </c>
      <c r="F9" s="5">
        <v>100</v>
      </c>
      <c r="G9" s="5" t="s">
        <v>346</v>
      </c>
      <c r="H9" s="2"/>
      <c r="I9" t="s">
        <v>347</v>
      </c>
      <c r="J9" t="s">
        <v>71</v>
      </c>
    </row>
    <row r="10" spans="1:15" x14ac:dyDescent="0.15">
      <c r="A10" s="5" t="s">
        <v>348</v>
      </c>
      <c r="B10" s="5">
        <v>862</v>
      </c>
      <c r="C10" s="5">
        <v>0</v>
      </c>
      <c r="D10" s="5">
        <v>94.15</v>
      </c>
      <c r="E10" s="5">
        <v>3.7</v>
      </c>
      <c r="F10" s="5">
        <v>100</v>
      </c>
      <c r="G10" s="5" t="s">
        <v>346</v>
      </c>
      <c r="H10" s="2"/>
      <c r="I10" t="s">
        <v>253</v>
      </c>
      <c r="J10" t="s">
        <v>284</v>
      </c>
      <c r="K10">
        <f>B9</f>
        <v>899</v>
      </c>
      <c r="L10">
        <f t="shared" ref="L10:O10" si="3">C9</f>
        <v>0</v>
      </c>
      <c r="M10">
        <f t="shared" si="3"/>
        <v>99.9</v>
      </c>
      <c r="N10">
        <f t="shared" si="3"/>
        <v>0</v>
      </c>
      <c r="O10">
        <f t="shared" si="3"/>
        <v>100</v>
      </c>
    </row>
    <row r="11" spans="1:15" x14ac:dyDescent="0.15">
      <c r="A11" s="5" t="s">
        <v>349</v>
      </c>
      <c r="B11" s="5"/>
      <c r="C11" s="5"/>
      <c r="D11" s="5"/>
      <c r="E11" s="5"/>
      <c r="F11" s="5"/>
      <c r="G11" s="5"/>
      <c r="H11" s="2"/>
      <c r="I11" t="s">
        <v>256</v>
      </c>
      <c r="J11" t="s">
        <v>285</v>
      </c>
      <c r="K11">
        <f>B9</f>
        <v>899</v>
      </c>
      <c r="L11">
        <f t="shared" ref="L11:O11" si="4">C9</f>
        <v>0</v>
      </c>
      <c r="M11">
        <f t="shared" si="4"/>
        <v>99.9</v>
      </c>
      <c r="N11">
        <f t="shared" si="4"/>
        <v>0</v>
      </c>
      <c r="O11">
        <f t="shared" si="4"/>
        <v>100</v>
      </c>
    </row>
    <row r="12" spans="1:15" x14ac:dyDescent="0.15">
      <c r="A12" s="5" t="s">
        <v>350</v>
      </c>
      <c r="B12" s="5">
        <v>143</v>
      </c>
      <c r="C12" s="5">
        <v>20.3</v>
      </c>
      <c r="D12" s="5">
        <v>6.2</v>
      </c>
      <c r="E12" s="5">
        <v>1.5</v>
      </c>
      <c r="F12" s="5">
        <v>100</v>
      </c>
      <c r="G12" s="5" t="s">
        <v>351</v>
      </c>
      <c r="H12" s="2"/>
      <c r="I12" t="s">
        <v>258</v>
      </c>
      <c r="J12" t="s">
        <v>286</v>
      </c>
    </row>
    <row r="13" spans="1:15" x14ac:dyDescent="0.15">
      <c r="A13" s="5" t="s">
        <v>352</v>
      </c>
      <c r="B13" s="5">
        <v>106</v>
      </c>
      <c r="C13" s="5">
        <v>20.2</v>
      </c>
      <c r="D13" s="5">
        <v>2.2999999999999998</v>
      </c>
      <c r="E13" s="5">
        <v>1.2</v>
      </c>
      <c r="F13" s="5">
        <v>99</v>
      </c>
      <c r="G13" s="5" t="s">
        <v>353</v>
      </c>
      <c r="H13" s="2"/>
      <c r="I13" t="s">
        <v>259</v>
      </c>
      <c r="J13" t="s">
        <v>287</v>
      </c>
      <c r="K13">
        <f>B9</f>
        <v>899</v>
      </c>
      <c r="L13">
        <f t="shared" ref="L13:O13" si="5">C9</f>
        <v>0</v>
      </c>
      <c r="M13">
        <f t="shared" si="5"/>
        <v>99.9</v>
      </c>
      <c r="N13">
        <f t="shared" si="5"/>
        <v>0</v>
      </c>
      <c r="O13">
        <f t="shared" si="5"/>
        <v>100</v>
      </c>
    </row>
    <row r="14" spans="1:15" x14ac:dyDescent="0.15">
      <c r="A14" s="5" t="s">
        <v>294</v>
      </c>
      <c r="B14" s="5">
        <v>203</v>
      </c>
      <c r="C14" s="5">
        <v>19</v>
      </c>
      <c r="D14" s="5">
        <v>14.1</v>
      </c>
      <c r="E14" s="5">
        <v>0</v>
      </c>
      <c r="F14" s="5">
        <v>90</v>
      </c>
      <c r="G14" s="5" t="s">
        <v>354</v>
      </c>
      <c r="H14" s="2"/>
      <c r="I14" t="s">
        <v>355</v>
      </c>
      <c r="J14" t="s">
        <v>345</v>
      </c>
    </row>
    <row r="15" spans="1:15" x14ac:dyDescent="0.15">
      <c r="A15" s="5" t="s">
        <v>356</v>
      </c>
      <c r="B15" s="5"/>
      <c r="C15" s="5"/>
      <c r="D15" s="5"/>
      <c r="E15" s="5"/>
      <c r="F15" s="5"/>
      <c r="G15" s="5"/>
      <c r="H15" s="2"/>
      <c r="I15" t="s">
        <v>262</v>
      </c>
      <c r="J15" t="s">
        <v>288</v>
      </c>
      <c r="K15" s="6">
        <v>400</v>
      </c>
      <c r="N15">
        <v>99.9</v>
      </c>
      <c r="O15">
        <v>100</v>
      </c>
    </row>
    <row r="16" spans="1:15" x14ac:dyDescent="0.15">
      <c r="A16" s="5" t="s">
        <v>357</v>
      </c>
      <c r="B16" s="5">
        <v>167</v>
      </c>
      <c r="C16" s="5">
        <v>19.3</v>
      </c>
      <c r="D16" s="5">
        <v>9.4</v>
      </c>
      <c r="E16" s="5">
        <v>1.3</v>
      </c>
      <c r="F16" s="5">
        <v>66</v>
      </c>
      <c r="G16" s="5" t="s">
        <v>358</v>
      </c>
      <c r="H16" s="2"/>
      <c r="I16" t="s">
        <v>265</v>
      </c>
      <c r="J16" s="4" t="s">
        <v>290</v>
      </c>
      <c r="K16" s="4">
        <f>B30</f>
        <v>53.889000000000003</v>
      </c>
      <c r="L16" s="4">
        <f>C30</f>
        <v>0.81699999999999995</v>
      </c>
      <c r="M16" s="4">
        <f>D30</f>
        <v>0.183</v>
      </c>
      <c r="N16" s="4">
        <f>E30</f>
        <v>12.922000000000001</v>
      </c>
      <c r="O16" s="4">
        <f>F30</f>
        <v>82</v>
      </c>
    </row>
    <row r="17" spans="1:15" x14ac:dyDescent="0.15">
      <c r="A17" s="5" t="s">
        <v>359</v>
      </c>
      <c r="B17" s="5">
        <v>240</v>
      </c>
      <c r="C17" s="5">
        <v>15.5</v>
      </c>
      <c r="D17" s="5">
        <v>19.7</v>
      </c>
      <c r="E17" s="5">
        <v>0.2</v>
      </c>
      <c r="F17" s="5">
        <v>68</v>
      </c>
      <c r="G17" s="5" t="s">
        <v>360</v>
      </c>
      <c r="H17" s="2"/>
      <c r="I17" t="s">
        <v>266</v>
      </c>
      <c r="J17" t="s">
        <v>291</v>
      </c>
      <c r="K17">
        <f>B29</f>
        <v>31.347999999999999</v>
      </c>
      <c r="L17">
        <f t="shared" ref="L17:O17" si="6">C29</f>
        <v>1.746</v>
      </c>
      <c r="M17">
        <f t="shared" si="6"/>
        <v>0.26700000000000002</v>
      </c>
      <c r="N17">
        <f t="shared" si="6"/>
        <v>6.2519999999999998</v>
      </c>
      <c r="O17">
        <f t="shared" si="6"/>
        <v>87</v>
      </c>
    </row>
    <row r="18" spans="1:15" x14ac:dyDescent="0.15">
      <c r="A18" s="5" t="s">
        <v>361</v>
      </c>
      <c r="B18" s="5"/>
      <c r="C18" s="5"/>
      <c r="D18" s="5"/>
      <c r="E18" s="5"/>
      <c r="F18" s="5"/>
      <c r="G18" s="5"/>
      <c r="H18" s="2"/>
      <c r="I18" t="s">
        <v>267</v>
      </c>
      <c r="J18" t="s">
        <v>292</v>
      </c>
      <c r="K18">
        <f>B12</f>
        <v>143</v>
      </c>
      <c r="L18">
        <f t="shared" ref="L18:O20" si="7">C12</f>
        <v>20.3</v>
      </c>
      <c r="M18">
        <f t="shared" si="7"/>
        <v>6.2</v>
      </c>
      <c r="N18">
        <f t="shared" si="7"/>
        <v>1.5</v>
      </c>
      <c r="O18">
        <f t="shared" si="7"/>
        <v>100</v>
      </c>
    </row>
    <row r="19" spans="1:15" x14ac:dyDescent="0.15">
      <c r="A19" s="5" t="s">
        <v>296</v>
      </c>
      <c r="B19" s="5">
        <v>144</v>
      </c>
      <c r="C19" s="5">
        <v>13.3</v>
      </c>
      <c r="D19" s="5">
        <v>8.8000000000000007</v>
      </c>
      <c r="E19" s="5">
        <v>2.8</v>
      </c>
      <c r="F19" s="5">
        <v>88</v>
      </c>
      <c r="G19" s="5" t="s">
        <v>362</v>
      </c>
      <c r="H19" s="2"/>
      <c r="I19" t="s">
        <v>268</v>
      </c>
      <c r="J19" t="s">
        <v>293</v>
      </c>
      <c r="K19">
        <f t="shared" ref="K19:K20" si="8">B13</f>
        <v>106</v>
      </c>
      <c r="L19">
        <f t="shared" si="7"/>
        <v>20.2</v>
      </c>
      <c r="M19">
        <f t="shared" si="7"/>
        <v>2.2999999999999998</v>
      </c>
      <c r="N19">
        <f t="shared" si="7"/>
        <v>1.2</v>
      </c>
      <c r="O19">
        <f t="shared" si="7"/>
        <v>99</v>
      </c>
    </row>
    <row r="20" spans="1:15" x14ac:dyDescent="0.15">
      <c r="A20" s="5" t="s">
        <v>363</v>
      </c>
      <c r="B20" s="5">
        <v>180</v>
      </c>
      <c r="C20" s="5">
        <v>12.6</v>
      </c>
      <c r="D20" s="5">
        <v>13</v>
      </c>
      <c r="E20" s="5">
        <v>3.1</v>
      </c>
      <c r="F20" s="5">
        <v>87</v>
      </c>
      <c r="G20" s="5" t="s">
        <v>364</v>
      </c>
      <c r="H20" s="2"/>
      <c r="I20" t="s">
        <v>269</v>
      </c>
      <c r="J20" t="s">
        <v>294</v>
      </c>
      <c r="K20">
        <f t="shared" si="8"/>
        <v>203</v>
      </c>
      <c r="L20">
        <f t="shared" si="7"/>
        <v>19</v>
      </c>
      <c r="M20">
        <f t="shared" si="7"/>
        <v>14.1</v>
      </c>
      <c r="N20">
        <f t="shared" si="7"/>
        <v>0</v>
      </c>
      <c r="O20">
        <f t="shared" si="7"/>
        <v>90</v>
      </c>
    </row>
    <row r="21" spans="1:15" x14ac:dyDescent="0.15">
      <c r="A21" s="5" t="s">
        <v>365</v>
      </c>
      <c r="B21" s="5"/>
      <c r="C21" s="5"/>
      <c r="D21" s="5"/>
      <c r="E21" s="5"/>
      <c r="F21" s="5"/>
      <c r="G21" s="5"/>
      <c r="H21" s="2"/>
      <c r="I21" t="s">
        <v>270</v>
      </c>
      <c r="J21" t="s">
        <v>295</v>
      </c>
      <c r="K21">
        <f>B16</f>
        <v>167</v>
      </c>
      <c r="L21">
        <f t="shared" ref="L21:O21" si="9">C16</f>
        <v>19.3</v>
      </c>
      <c r="M21">
        <f t="shared" si="9"/>
        <v>9.4</v>
      </c>
      <c r="N21">
        <f t="shared" si="9"/>
        <v>1.3</v>
      </c>
      <c r="O21">
        <f t="shared" si="9"/>
        <v>66</v>
      </c>
    </row>
    <row r="22" spans="1:15" x14ac:dyDescent="0.15">
      <c r="A22" s="5" t="s">
        <v>366</v>
      </c>
      <c r="B22" s="5">
        <v>103</v>
      </c>
      <c r="C22" s="5">
        <v>16.600000000000001</v>
      </c>
      <c r="D22" s="5">
        <v>3.3</v>
      </c>
      <c r="E22" s="5">
        <v>1.6</v>
      </c>
      <c r="F22" s="5">
        <v>59</v>
      </c>
      <c r="G22" s="5" t="s">
        <v>367</v>
      </c>
      <c r="H22" s="2"/>
      <c r="I22" t="s">
        <v>271</v>
      </c>
      <c r="J22" t="s">
        <v>296</v>
      </c>
      <c r="K22">
        <f>B19</f>
        <v>144</v>
      </c>
      <c r="L22">
        <f t="shared" ref="L22:O22" si="10">C19</f>
        <v>13.3</v>
      </c>
      <c r="M22">
        <f t="shared" si="10"/>
        <v>8.8000000000000007</v>
      </c>
      <c r="N22">
        <f t="shared" si="10"/>
        <v>2.8</v>
      </c>
      <c r="O22">
        <f t="shared" si="10"/>
        <v>88</v>
      </c>
    </row>
    <row r="23" spans="1:15" x14ac:dyDescent="0.15">
      <c r="A23" s="5" t="s">
        <v>368</v>
      </c>
      <c r="B23" s="5">
        <v>81</v>
      </c>
      <c r="C23" s="5">
        <v>17.3</v>
      </c>
      <c r="D23" s="5">
        <v>0.4</v>
      </c>
      <c r="E23" s="5">
        <v>2</v>
      </c>
      <c r="F23" s="5">
        <v>57</v>
      </c>
      <c r="G23" s="5" t="s">
        <v>369</v>
      </c>
      <c r="H23" s="2"/>
      <c r="I23" t="s">
        <v>272</v>
      </c>
      <c r="J23" t="s">
        <v>297</v>
      </c>
      <c r="K23">
        <f>B25</f>
        <v>54</v>
      </c>
      <c r="L23">
        <f t="shared" ref="L23:O23" si="11">C25</f>
        <v>3</v>
      </c>
      <c r="M23">
        <f t="shared" si="11"/>
        <v>3.2</v>
      </c>
      <c r="N23">
        <f t="shared" si="11"/>
        <v>3.4</v>
      </c>
      <c r="O23">
        <f t="shared" si="11"/>
        <v>100</v>
      </c>
    </row>
    <row r="24" spans="1:15" x14ac:dyDescent="0.15">
      <c r="A24" s="5" t="s">
        <v>370</v>
      </c>
      <c r="B24" s="5"/>
      <c r="C24" s="5"/>
      <c r="D24" s="5"/>
      <c r="E24" s="5"/>
      <c r="F24" s="5"/>
      <c r="G24" s="5"/>
      <c r="H24" s="2"/>
      <c r="I24" t="s">
        <v>273</v>
      </c>
      <c r="J24" t="s">
        <v>298</v>
      </c>
      <c r="K24">
        <f>B22</f>
        <v>103</v>
      </c>
      <c r="L24">
        <f t="shared" ref="L24:O24" si="12">C22</f>
        <v>16.600000000000001</v>
      </c>
      <c r="M24">
        <f t="shared" si="12"/>
        <v>3.3</v>
      </c>
      <c r="N24">
        <f t="shared" si="12"/>
        <v>1.6</v>
      </c>
      <c r="O24">
        <f t="shared" si="12"/>
        <v>59</v>
      </c>
    </row>
    <row r="25" spans="1:15" x14ac:dyDescent="0.15">
      <c r="A25" s="5" t="s">
        <v>371</v>
      </c>
      <c r="B25" s="5">
        <v>54</v>
      </c>
      <c r="C25" s="5">
        <v>3</v>
      </c>
      <c r="D25" s="5">
        <v>3.2</v>
      </c>
      <c r="E25" s="5">
        <v>3.4</v>
      </c>
      <c r="F25" s="5">
        <v>100</v>
      </c>
      <c r="G25" s="5" t="s">
        <v>372</v>
      </c>
      <c r="H25" s="2"/>
    </row>
    <row r="26" spans="1:15" x14ac:dyDescent="0.15">
      <c r="A26" s="5" t="s">
        <v>373</v>
      </c>
      <c r="B26" s="5">
        <v>484</v>
      </c>
      <c r="C26" s="5">
        <v>19.899999999999999</v>
      </c>
      <c r="D26" s="5">
        <v>22.7</v>
      </c>
      <c r="E26" s="5">
        <v>49.9</v>
      </c>
      <c r="F26" s="5">
        <v>100</v>
      </c>
      <c r="G26" s="5" t="s">
        <v>374</v>
      </c>
      <c r="H26" s="2"/>
    </row>
    <row r="27" spans="1:15" x14ac:dyDescent="0.15">
      <c r="A27" s="5" t="s">
        <v>375</v>
      </c>
      <c r="B27" s="5">
        <v>72</v>
      </c>
      <c r="C27" s="5">
        <v>2.5</v>
      </c>
      <c r="D27" s="5">
        <v>2.7</v>
      </c>
      <c r="E27" s="5">
        <v>9.3000000000000007</v>
      </c>
      <c r="F27" s="5">
        <v>100</v>
      </c>
      <c r="G27" s="5" t="s">
        <v>376</v>
      </c>
      <c r="H27" s="2"/>
    </row>
    <row r="28" spans="1:15" x14ac:dyDescent="0.15">
      <c r="A28" s="5" t="s">
        <v>377</v>
      </c>
      <c r="B28" s="5"/>
      <c r="C28" s="5"/>
      <c r="D28" s="5"/>
      <c r="E28" s="5"/>
      <c r="F28" s="5"/>
      <c r="G28" s="5"/>
      <c r="H28" s="2"/>
    </row>
    <row r="29" spans="1:15" x14ac:dyDescent="0.15">
      <c r="A29" s="5" t="s">
        <v>378</v>
      </c>
      <c r="B29" s="5">
        <v>31.347999999999999</v>
      </c>
      <c r="C29" s="5">
        <v>1.746</v>
      </c>
      <c r="D29" s="5">
        <v>0.26700000000000002</v>
      </c>
      <c r="E29" s="5">
        <v>6.2519999999999998</v>
      </c>
      <c r="F29" s="5">
        <v>87</v>
      </c>
      <c r="G29" s="5" t="s">
        <v>379</v>
      </c>
      <c r="H29" s="2"/>
    </row>
    <row r="30" spans="1:15" x14ac:dyDescent="0.15">
      <c r="A30" s="5" t="s">
        <v>380</v>
      </c>
      <c r="B30" s="5">
        <v>53.889000000000003</v>
      </c>
      <c r="C30" s="5">
        <v>0.81699999999999995</v>
      </c>
      <c r="D30" s="5">
        <v>0.183</v>
      </c>
      <c r="E30" s="5">
        <v>12.922000000000001</v>
      </c>
      <c r="F30" s="5">
        <v>82</v>
      </c>
      <c r="G30" s="5" t="s">
        <v>381</v>
      </c>
      <c r="H30" s="2"/>
    </row>
    <row r="31" spans="1:15" x14ac:dyDescent="0.15">
      <c r="A31" s="5" t="s">
        <v>382</v>
      </c>
      <c r="B31" s="5">
        <v>228.9</v>
      </c>
      <c r="C31" s="5">
        <v>2.36</v>
      </c>
      <c r="D31" s="5">
        <v>0.21</v>
      </c>
      <c r="E31" s="5">
        <v>58.49</v>
      </c>
      <c r="F31" s="5">
        <v>94</v>
      </c>
      <c r="G31" s="5"/>
      <c r="H31" s="2"/>
    </row>
  </sheetData>
  <mergeCells count="1">
    <mergeCell ref="A1:G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64</vt:i4>
      </vt:variant>
      <vt:variant>
        <vt:lpstr>命名范围</vt:lpstr>
      </vt:variant>
      <vt:variant>
        <vt:i4>1</vt:i4>
      </vt:variant>
    </vt:vector>
  </HeadingPairs>
  <TitlesOfParts>
    <vt:vector size="65" baseType="lpstr">
      <vt:lpstr>INDEX</vt:lpstr>
      <vt:lpstr>结果整理</vt:lpstr>
      <vt:lpstr>结果</vt:lpstr>
      <vt:lpstr>KOULX</vt:lpstr>
      <vt:lpstr>GUWUX</vt:lpstr>
      <vt:lpstr>LISHX</vt:lpstr>
      <vt:lpstr>PGDPX</vt:lpstr>
      <vt:lpstr>CO2EX</vt:lpstr>
      <vt:lpstr>POPUX</vt:lpstr>
      <vt:lpstr>ENGYX</vt:lpstr>
      <vt:lpstr>RICEX</vt:lpstr>
      <vt:lpstr>WHEAX</vt:lpstr>
      <vt:lpstr>MAIZX</vt:lpstr>
      <vt:lpstr>BARLX</vt:lpstr>
      <vt:lpstr>POTAX</vt:lpstr>
      <vt:lpstr>SOYSX</vt:lpstr>
      <vt:lpstr>SOYOX</vt:lpstr>
      <vt:lpstr>SOYMX</vt:lpstr>
      <vt:lpstr>RAPSX</vt:lpstr>
      <vt:lpstr>RAPOX</vt:lpstr>
      <vt:lpstr>RAPMX</vt:lpstr>
      <vt:lpstr>GRDSX</vt:lpstr>
      <vt:lpstr>GRDOX</vt:lpstr>
      <vt:lpstr>GRDMX</vt:lpstr>
      <vt:lpstr>COTTX</vt:lpstr>
      <vt:lpstr>SUGAX</vt:lpstr>
      <vt:lpstr>VEGTX</vt:lpstr>
      <vt:lpstr>SORGX</vt:lpstr>
      <vt:lpstr>OTGRX</vt:lpstr>
      <vt:lpstr>FRTOX</vt:lpstr>
      <vt:lpstr>BEEFX</vt:lpstr>
      <vt:lpstr>CATBX</vt:lpstr>
      <vt:lpstr>CATOX</vt:lpstr>
      <vt:lpstr>CATTX</vt:lpstr>
      <vt:lpstr>PORKX</vt:lpstr>
      <vt:lpstr>PIGBX</vt:lpstr>
      <vt:lpstr>PIGOX</vt:lpstr>
      <vt:lpstr>PIGTX</vt:lpstr>
      <vt:lpstr>SHGMX</vt:lpstr>
      <vt:lpstr>CHKMX</vt:lpstr>
      <vt:lpstr>EGGSX</vt:lpstr>
      <vt:lpstr>MILKX</vt:lpstr>
      <vt:lpstr>FISHX</vt:lpstr>
      <vt:lpstr>TOSLX</vt:lpstr>
      <vt:lpstr>PRODX</vt:lpstr>
      <vt:lpstr>AREAX</vt:lpstr>
      <vt:lpstr>YILDX</vt:lpstr>
      <vt:lpstr>NIMPX</vt:lpstr>
      <vt:lpstr>TODMX</vt:lpstr>
      <vt:lpstr>FOODX</vt:lpstr>
      <vt:lpstr>PFODX</vt:lpstr>
      <vt:lpstr>FEEDX</vt:lpstr>
      <vt:lpstr>PROCX</vt:lpstr>
      <vt:lpstr>SEED</vt:lpstr>
      <vt:lpstr>WASTX</vt:lpstr>
      <vt:lpstr>OTHEX</vt:lpstr>
      <vt:lpstr>STOCX</vt:lpstr>
      <vt:lpstr>NEXPX</vt:lpstr>
      <vt:lpstr>DOMDX</vt:lpstr>
      <vt:lpstr>PRICX</vt:lpstr>
      <vt:lpstr>SEEDX</vt:lpstr>
      <vt:lpstr>DFODX</vt:lpstr>
      <vt:lpstr>CRSHX</vt:lpstr>
      <vt:lpstr>能量</vt:lpstr>
      <vt:lpstr>INDEX!新建文本文档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XDIAO</dc:creator>
  <cp:lastModifiedBy>Xinru Han</cp:lastModifiedBy>
  <dcterms:created xsi:type="dcterms:W3CDTF">2008-05-18T14:28:00Z</dcterms:created>
  <dcterms:modified xsi:type="dcterms:W3CDTF">2026-05-14T08:56:11Z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34B5160D4CE54437BBAC2671A176220B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