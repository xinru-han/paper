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594f4e7d3a245fde/科研/2026农科院/10产业报告/3机械化/CASM20260410MACHINE2/"/>
    </mc:Choice>
  </mc:AlternateContent>
  <xr:revisionPtr revIDLastSave="14" documentId="11_C7917A23B06607273DAF2CB7F21FA5BA7D11A687" xr6:coauthVersionLast="47" xr6:coauthVersionMax="47" xr10:uidLastSave="{D8A869F7-802D-475D-8CA7-646322B36294}"/>
  <bookViews>
    <workbookView xWindow="-120" yWindow="-120" windowWidth="29040" windowHeight="15840" tabRatio="806" firstSheet="44" activeTab="62" xr2:uid="{00000000-000D-0000-FFFF-FFFF00000000}"/>
  </bookViews>
  <sheets>
    <sheet name="INDEX" sheetId="1" r:id="rId1"/>
    <sheet name="结果整理" sheetId="152" state="hidden" r:id="rId2"/>
    <sheet name="结果" sheetId="151" state="hidden" r:id="rId3"/>
    <sheet name="KOULX" sheetId="117" r:id="rId4"/>
    <sheet name="GUWUX" sheetId="118" r:id="rId5"/>
    <sheet name="LISHX" sheetId="119" r:id="rId6"/>
    <sheet name="PGDPX" sheetId="175" r:id="rId7"/>
    <sheet name="CO2EX" sheetId="174" r:id="rId8"/>
    <sheet name="POPUX" sheetId="173" r:id="rId9"/>
    <sheet name="ENGYX" sheetId="154" r:id="rId10"/>
    <sheet name="RICEX" sheetId="66" r:id="rId11"/>
    <sheet name="WHEAX" sheetId="69" r:id="rId12"/>
    <sheet name="MAIZX" sheetId="68" r:id="rId13"/>
    <sheet name="BARLX" sheetId="120" r:id="rId14"/>
    <sheet name="POTAX" sheetId="150" r:id="rId15"/>
    <sheet name="SOYSX" sheetId="72" r:id="rId16"/>
    <sheet name="SOYOX" sheetId="121" r:id="rId17"/>
    <sheet name="SOYMX" sheetId="122" r:id="rId18"/>
    <sheet name="RAPSX" sheetId="123" r:id="rId19"/>
    <sheet name="RAPOX" sheetId="124" r:id="rId20"/>
    <sheet name="RAPMX" sheetId="125" r:id="rId21"/>
    <sheet name="GRDSX" sheetId="126" r:id="rId22"/>
    <sheet name="GRDOX" sheetId="127" r:id="rId23"/>
    <sheet name="GRDMX" sheetId="128" r:id="rId24"/>
    <sheet name="COTTX" sheetId="129" r:id="rId25"/>
    <sheet name="SUGAX" sheetId="130" r:id="rId26"/>
    <sheet name="VEGTX" sheetId="133" r:id="rId27"/>
    <sheet name="SORGX" sheetId="134" r:id="rId28"/>
    <sheet name="OTGRX" sheetId="177" r:id="rId29"/>
    <sheet name="FRTOX" sheetId="135" r:id="rId30"/>
    <sheet name="BEEFX" sheetId="136" r:id="rId31"/>
    <sheet name="CATBX" sheetId="137" r:id="rId32"/>
    <sheet name="CATOX" sheetId="138" r:id="rId33"/>
    <sheet name="CATTX" sheetId="139" r:id="rId34"/>
    <sheet name="PORKX" sheetId="140" r:id="rId35"/>
    <sheet name="PIGBX" sheetId="141" r:id="rId36"/>
    <sheet name="PIGOX" sheetId="142" r:id="rId37"/>
    <sheet name="PIGTX" sheetId="143" r:id="rId38"/>
    <sheet name="SHGMX" sheetId="144" r:id="rId39"/>
    <sheet name="CHKMX" sheetId="145" r:id="rId40"/>
    <sheet name="EGGSX" sheetId="146" r:id="rId41"/>
    <sheet name="MILKX" sheetId="147" r:id="rId42"/>
    <sheet name="FISHX" sheetId="149" r:id="rId43"/>
    <sheet name="TOSLX" sheetId="155" r:id="rId44"/>
    <sheet name="PRODX" sheetId="156" r:id="rId45"/>
    <sheet name="AREAX" sheetId="157" r:id="rId46"/>
    <sheet name="YILDX" sheetId="158" r:id="rId47"/>
    <sheet name="NIMPX" sheetId="159" r:id="rId48"/>
    <sheet name="TODMX" sheetId="160" r:id="rId49"/>
    <sheet name="FOODX" sheetId="161" r:id="rId50"/>
    <sheet name="PFODX" sheetId="162" r:id="rId51"/>
    <sheet name="FEEDX" sheetId="163" r:id="rId52"/>
    <sheet name="PROCX" sheetId="164" r:id="rId53"/>
    <sheet name="SEED" sheetId="165" r:id="rId54"/>
    <sheet name="WASTX" sheetId="166" r:id="rId55"/>
    <sheet name="OTHEX" sheetId="167" r:id="rId56"/>
    <sheet name="STOCX" sheetId="168" r:id="rId57"/>
    <sheet name="NEXPX" sheetId="169" r:id="rId58"/>
    <sheet name="DOMDX" sheetId="170" r:id="rId59"/>
    <sheet name="PRICX" sheetId="171" r:id="rId60"/>
    <sheet name="SEEDX" sheetId="172" r:id="rId61"/>
    <sheet name="DFODX" sheetId="176" r:id="rId62"/>
    <sheet name="CRSHX" sheetId="178" r:id="rId63"/>
    <sheet name="能量" sheetId="153" r:id="rId64"/>
  </sheets>
  <definedNames>
    <definedName name="新建文本文档" localSheetId="0">INDEX!$G$6:$H$21</definedName>
  </definedNames>
  <calcPr calcId="191029"/>
</workbook>
</file>

<file path=xl/calcChain.xml><?xml version="1.0" encoding="utf-8"?>
<calcChain xmlns="http://schemas.openxmlformats.org/spreadsheetml/2006/main">
  <c r="O24" i="153" l="1"/>
  <c r="N24" i="153"/>
  <c r="M24" i="153"/>
  <c r="L24" i="153"/>
  <c r="K24" i="153"/>
  <c r="O23" i="153"/>
  <c r="N23" i="153"/>
  <c r="M23" i="153"/>
  <c r="L23" i="153"/>
  <c r="K23" i="153"/>
  <c r="O22" i="153"/>
  <c r="N22" i="153"/>
  <c r="M22" i="153"/>
  <c r="L22" i="153"/>
  <c r="K22" i="153"/>
  <c r="O21" i="153"/>
  <c r="N21" i="153"/>
  <c r="M21" i="153"/>
  <c r="L21" i="153"/>
  <c r="K21" i="153"/>
  <c r="O20" i="153"/>
  <c r="N20" i="153"/>
  <c r="M20" i="153"/>
  <c r="L20" i="153"/>
  <c r="K20" i="153"/>
  <c r="O19" i="153"/>
  <c r="N19" i="153"/>
  <c r="M19" i="153"/>
  <c r="L19" i="153"/>
  <c r="K19" i="153"/>
  <c r="O18" i="153"/>
  <c r="N18" i="153"/>
  <c r="M18" i="153"/>
  <c r="L18" i="153"/>
  <c r="K18" i="153"/>
  <c r="O17" i="153"/>
  <c r="N17" i="153"/>
  <c r="M17" i="153"/>
  <c r="L17" i="153"/>
  <c r="K17" i="153"/>
  <c r="O16" i="153"/>
  <c r="N16" i="153"/>
  <c r="M16" i="153"/>
  <c r="L16" i="153"/>
  <c r="K16" i="153"/>
  <c r="O13" i="153"/>
  <c r="N13" i="153"/>
  <c r="M13" i="153"/>
  <c r="L13" i="153"/>
  <c r="K13" i="153"/>
  <c r="O11" i="153"/>
  <c r="N11" i="153"/>
  <c r="M11" i="153"/>
  <c r="L11" i="153"/>
  <c r="K11" i="153"/>
  <c r="O10" i="153"/>
  <c r="N10" i="153"/>
  <c r="M10" i="153"/>
  <c r="L10" i="153"/>
  <c r="K10" i="153"/>
  <c r="O8" i="153"/>
  <c r="N8" i="153"/>
  <c r="M8" i="153"/>
  <c r="L8" i="153"/>
  <c r="K8" i="153"/>
  <c r="N5" i="153"/>
  <c r="M5" i="153"/>
  <c r="L5" i="153"/>
  <c r="K5" i="153"/>
  <c r="N4" i="153"/>
  <c r="M4" i="153"/>
  <c r="L4" i="153"/>
  <c r="K4" i="153"/>
  <c r="O3" i="153"/>
  <c r="N3" i="153"/>
  <c r="M3" i="153"/>
  <c r="L3" i="153"/>
  <c r="K3" i="153"/>
  <c r="H17" i="163"/>
  <c r="H16" i="163"/>
  <c r="H15" i="163"/>
  <c r="H14" i="163"/>
  <c r="H13" i="163"/>
  <c r="H12" i="163"/>
  <c r="H11" i="163"/>
  <c r="H10" i="163"/>
  <c r="H9" i="163"/>
  <c r="H8" i="163"/>
  <c r="I122" i="162"/>
  <c r="I121" i="162"/>
  <c r="I120" i="162"/>
  <c r="H74" i="162"/>
  <c r="I74" i="162" s="1"/>
  <c r="H73" i="162"/>
  <c r="I73" i="162" s="1"/>
  <c r="H72" i="162"/>
  <c r="I72" i="162" s="1"/>
  <c r="H71" i="162"/>
  <c r="I71" i="162" s="1"/>
  <c r="H70" i="162"/>
  <c r="I70" i="162" s="1"/>
  <c r="H69" i="162"/>
  <c r="I69" i="162" s="1"/>
  <c r="F40" i="162"/>
  <c r="E40" i="162"/>
  <c r="F39" i="162"/>
  <c r="E39" i="162"/>
  <c r="F38" i="162"/>
  <c r="E38" i="162"/>
  <c r="F37" i="162"/>
  <c r="E37" i="162"/>
  <c r="F36" i="162"/>
  <c r="E36" i="162"/>
  <c r="F35" i="162"/>
  <c r="E35" i="162"/>
  <c r="F34" i="162"/>
  <c r="E34" i="162"/>
  <c r="F33" i="162"/>
  <c r="E33" i="162"/>
  <c r="F32" i="162"/>
  <c r="E32" i="162"/>
  <c r="F31" i="162"/>
  <c r="E31" i="162"/>
  <c r="P5" i="162"/>
  <c r="M5" i="162"/>
  <c r="K5" i="162"/>
  <c r="BL4" i="162"/>
  <c r="BK4" i="162"/>
  <c r="BJ4" i="162"/>
  <c r="BI4" i="162"/>
  <c r="BH4" i="162"/>
  <c r="BG4" i="162"/>
  <c r="BF4" i="162"/>
  <c r="BE4" i="162"/>
  <c r="BD4" i="162"/>
  <c r="BC4" i="162"/>
  <c r="BB4" i="162"/>
  <c r="BA4" i="162"/>
  <c r="AZ4" i="162"/>
  <c r="AY4" i="162"/>
  <c r="AX4" i="162"/>
  <c r="AW4" i="162"/>
  <c r="AV4" i="162"/>
  <c r="AU4" i="162"/>
  <c r="AT4" i="162"/>
  <c r="AS4" i="162"/>
  <c r="AR4" i="162"/>
  <c r="AQ4" i="162"/>
  <c r="AP4" i="162"/>
  <c r="AO4" i="162"/>
  <c r="AN4" i="162"/>
  <c r="AM4" i="162"/>
  <c r="AL4" i="162"/>
  <c r="AK4" i="162"/>
  <c r="AJ4" i="162"/>
  <c r="AI4" i="162"/>
  <c r="AH4" i="162"/>
  <c r="AG4" i="162"/>
  <c r="AF4" i="162"/>
  <c r="AE4" i="162"/>
  <c r="AD4" i="162"/>
  <c r="AC4" i="162"/>
  <c r="AB4" i="162"/>
  <c r="AA4" i="162"/>
  <c r="Z4" i="162"/>
  <c r="Y4" i="162"/>
  <c r="X4" i="162"/>
  <c r="W4" i="162"/>
  <c r="V4" i="162"/>
  <c r="U4" i="162"/>
  <c r="T4" i="162"/>
  <c r="S4" i="162"/>
  <c r="R4" i="162"/>
  <c r="Q4" i="162"/>
  <c r="P4" i="162"/>
  <c r="O4" i="162"/>
  <c r="N4" i="162"/>
  <c r="M4" i="162"/>
  <c r="L4" i="162"/>
  <c r="K4" i="162"/>
  <c r="K4" i="161"/>
  <c r="M5" i="149"/>
  <c r="L5" i="149"/>
  <c r="M4" i="149"/>
  <c r="M3" i="149"/>
  <c r="L5" i="147"/>
  <c r="V4" i="146"/>
  <c r="U4" i="146"/>
  <c r="T4" i="146"/>
  <c r="S4" i="146"/>
  <c r="R4" i="146"/>
  <c r="Q4" i="146"/>
  <c r="P4" i="146"/>
  <c r="O4" i="146"/>
  <c r="N4" i="146"/>
  <c r="M4" i="146"/>
  <c r="L5" i="145"/>
  <c r="V4" i="145"/>
  <c r="U4" i="145"/>
  <c r="T4" i="145"/>
  <c r="S4" i="145"/>
  <c r="R4" i="145"/>
  <c r="Q4" i="145"/>
  <c r="P4" i="145"/>
  <c r="O4" i="145"/>
  <c r="N4" i="145"/>
  <c r="M4" i="145"/>
  <c r="L5" i="144"/>
  <c r="AB1" i="141"/>
  <c r="AA1" i="141"/>
  <c r="Z1" i="141"/>
  <c r="Y1" i="141"/>
  <c r="X1" i="141"/>
  <c r="W1" i="141"/>
  <c r="V1" i="141"/>
  <c r="U1" i="141"/>
  <c r="T1" i="141"/>
  <c r="S1" i="141"/>
  <c r="R1" i="141"/>
  <c r="Q1" i="141"/>
  <c r="P1" i="141"/>
  <c r="O1" i="141"/>
  <c r="N1" i="141"/>
  <c r="M1" i="141"/>
  <c r="L1" i="141"/>
  <c r="M5" i="140"/>
  <c r="L5" i="140"/>
  <c r="L5" i="136"/>
  <c r="M3" i="136"/>
  <c r="M4" i="136" s="1"/>
  <c r="L5" i="135"/>
  <c r="L5" i="130"/>
  <c r="X5" i="129"/>
  <c r="W5" i="129"/>
  <c r="V5" i="129"/>
  <c r="U5" i="129"/>
  <c r="T5" i="129"/>
  <c r="S5" i="129"/>
  <c r="R5" i="129"/>
  <c r="Q5" i="129"/>
  <c r="P5" i="129"/>
  <c r="O5" i="129"/>
  <c r="N5" i="129"/>
  <c r="M5" i="129"/>
  <c r="L5" i="129"/>
  <c r="W3" i="129"/>
  <c r="V3" i="129"/>
  <c r="U3" i="129"/>
  <c r="T3" i="129"/>
  <c r="S3" i="129"/>
  <c r="R3" i="129"/>
  <c r="Q3" i="129"/>
  <c r="P3" i="129"/>
  <c r="O3" i="129"/>
  <c r="N3" i="129"/>
  <c r="M3" i="129"/>
  <c r="L3" i="129"/>
  <c r="K3" i="129"/>
  <c r="L5" i="126"/>
  <c r="L5" i="123"/>
  <c r="W3" i="123"/>
  <c r="V3" i="123"/>
  <c r="U3" i="123"/>
  <c r="T3" i="123"/>
  <c r="S3" i="123"/>
  <c r="R3" i="123"/>
  <c r="Q3" i="123"/>
  <c r="P3" i="123"/>
  <c r="O3" i="123"/>
  <c r="N3" i="123"/>
  <c r="M3" i="123"/>
  <c r="L3" i="123"/>
  <c r="K3" i="123"/>
  <c r="B28" i="72"/>
  <c r="B27" i="72"/>
  <c r="B26" i="72"/>
  <c r="B25" i="72"/>
  <c r="B24" i="72"/>
  <c r="B23" i="72"/>
  <c r="B22" i="72"/>
  <c r="B21" i="72"/>
  <c r="B20" i="72"/>
  <c r="B19" i="72"/>
  <c r="B18" i="72"/>
  <c r="B17" i="72"/>
  <c r="B16" i="72"/>
  <c r="B15" i="72"/>
  <c r="B14" i="72"/>
  <c r="B13" i="72"/>
  <c r="B12" i="72"/>
  <c r="B11" i="72"/>
  <c r="B10" i="72"/>
  <c r="B9" i="72"/>
  <c r="B8" i="72"/>
  <c r="X5" i="72"/>
  <c r="S5" i="72"/>
  <c r="N5" i="72"/>
  <c r="L5" i="72"/>
  <c r="W3" i="72"/>
  <c r="V3" i="72"/>
  <c r="U3" i="72"/>
  <c r="T3" i="72"/>
  <c r="S3" i="72"/>
  <c r="R3" i="72"/>
  <c r="Q3" i="72"/>
  <c r="P3" i="72"/>
  <c r="O3" i="72"/>
  <c r="N3" i="72"/>
  <c r="M3" i="72"/>
  <c r="L3" i="72"/>
  <c r="K3" i="72"/>
  <c r="W2" i="72"/>
  <c r="B28" i="120"/>
  <c r="B27" i="120"/>
  <c r="B26" i="120"/>
  <c r="B25" i="120"/>
  <c r="B24" i="120"/>
  <c r="B23" i="120"/>
  <c r="B22" i="120"/>
  <c r="B21" i="120"/>
  <c r="B20" i="120"/>
  <c r="B19" i="120"/>
  <c r="B18" i="120"/>
  <c r="B17" i="120"/>
  <c r="B16" i="120"/>
  <c r="B15" i="120"/>
  <c r="B14" i="120"/>
  <c r="B13" i="120"/>
  <c r="B12" i="120"/>
  <c r="B11" i="120"/>
  <c r="B10" i="120"/>
  <c r="B9" i="120"/>
  <c r="B8" i="120"/>
  <c r="B35" i="68"/>
  <c r="B34" i="68"/>
  <c r="B33" i="68"/>
  <c r="B32" i="68"/>
  <c r="B31" i="68"/>
  <c r="B30" i="68"/>
  <c r="B29" i="68"/>
  <c r="B24" i="68"/>
  <c r="B23" i="68"/>
  <c r="B22" i="68"/>
  <c r="B21" i="68"/>
  <c r="B20" i="68"/>
  <c r="B19" i="68"/>
  <c r="B18" i="68"/>
  <c r="B17" i="68"/>
  <c r="B16" i="68"/>
  <c r="B15" i="68"/>
  <c r="B14" i="68"/>
  <c r="B13" i="68"/>
  <c r="B12" i="68"/>
  <c r="B11" i="68"/>
  <c r="B10" i="68"/>
  <c r="B9" i="68"/>
  <c r="B8" i="68"/>
  <c r="L5" i="68"/>
  <c r="W3" i="68"/>
  <c r="V3" i="68"/>
  <c r="U3" i="68"/>
  <c r="T3" i="68"/>
  <c r="S3" i="68"/>
  <c r="R3" i="68"/>
  <c r="Q3" i="68"/>
  <c r="P3" i="68"/>
  <c r="O3" i="68"/>
  <c r="N3" i="68"/>
  <c r="M3" i="68"/>
  <c r="L3" i="68"/>
  <c r="K3" i="68"/>
  <c r="L5" i="69"/>
  <c r="W3" i="69"/>
  <c r="V3" i="69"/>
  <c r="U3" i="69"/>
  <c r="T3" i="69"/>
  <c r="S3" i="69"/>
  <c r="R3" i="69"/>
  <c r="Q3" i="69"/>
  <c r="P3" i="69"/>
  <c r="O3" i="69"/>
  <c r="N3" i="69"/>
  <c r="M3" i="69"/>
  <c r="L3" i="69"/>
  <c r="K3" i="69"/>
  <c r="L5" i="66"/>
  <c r="L4" i="66" s="1"/>
  <c r="W3" i="66"/>
  <c r="V3" i="66"/>
  <c r="U3" i="66"/>
  <c r="T3" i="66"/>
  <c r="S3" i="66"/>
  <c r="R3" i="66"/>
  <c r="Q3" i="66"/>
  <c r="P3" i="66"/>
  <c r="O3" i="66"/>
  <c r="N3" i="66"/>
  <c r="M3" i="66"/>
  <c r="L3" i="66"/>
  <c r="K3" i="66"/>
  <c r="B35" i="119"/>
  <c r="B34" i="119"/>
  <c r="B33" i="119"/>
  <c r="B32" i="119"/>
  <c r="B31" i="119"/>
  <c r="B30" i="119"/>
  <c r="B29" i="119"/>
  <c r="B28" i="119"/>
  <c r="B27" i="119"/>
  <c r="B26" i="119"/>
  <c r="B25" i="119"/>
  <c r="B23" i="119"/>
  <c r="B22" i="119"/>
  <c r="B21" i="119"/>
  <c r="B20" i="119"/>
  <c r="B19" i="119"/>
  <c r="B18" i="119"/>
  <c r="B17" i="119"/>
  <c r="B16" i="119"/>
  <c r="B15" i="119"/>
  <c r="B14" i="119"/>
  <c r="B13" i="119"/>
  <c r="B12" i="119"/>
  <c r="B11" i="119"/>
  <c r="B10" i="119"/>
  <c r="B9" i="119"/>
  <c r="B8" i="119"/>
  <c r="Y5" i="119"/>
  <c r="AA4" i="119"/>
  <c r="X4" i="119"/>
  <c r="W4" i="119"/>
  <c r="V4" i="119"/>
  <c r="M4" i="119"/>
  <c r="X2" i="119"/>
  <c r="X1" i="119" s="1"/>
  <c r="B34" i="118"/>
  <c r="B33" i="118"/>
  <c r="B32" i="118"/>
  <c r="B31" i="118"/>
  <c r="B30" i="118"/>
  <c r="B29" i="118"/>
  <c r="B28" i="118"/>
  <c r="B27" i="118"/>
  <c r="B26" i="118"/>
  <c r="B25" i="118"/>
  <c r="B24" i="118"/>
  <c r="B23" i="118"/>
  <c r="B22" i="118"/>
  <c r="B21" i="118"/>
  <c r="B20" i="118"/>
  <c r="B19" i="118"/>
  <c r="B18" i="118"/>
  <c r="B17" i="118"/>
  <c r="B16" i="118"/>
  <c r="B15" i="118"/>
  <c r="B14" i="118"/>
  <c r="B13" i="118"/>
  <c r="B12" i="118"/>
  <c r="B11" i="118"/>
  <c r="B10" i="118"/>
  <c r="B9" i="118"/>
  <c r="B8" i="118"/>
  <c r="Y5" i="118"/>
  <c r="L5" i="118"/>
  <c r="B34" i="117"/>
  <c r="B33" i="117"/>
  <c r="B32" i="117"/>
  <c r="B31" i="117"/>
  <c r="B30" i="117"/>
  <c r="B29" i="117"/>
  <c r="B28" i="117"/>
  <c r="B27" i="117"/>
  <c r="B26" i="117"/>
  <c r="B25" i="117"/>
  <c r="B24" i="117"/>
  <c r="B23" i="117"/>
  <c r="B22" i="117"/>
  <c r="B21" i="117"/>
  <c r="B20" i="117"/>
  <c r="B19" i="117"/>
  <c r="B18" i="117"/>
  <c r="B17" i="117"/>
  <c r="B16" i="117"/>
  <c r="B15" i="117"/>
  <c r="B14" i="117"/>
  <c r="B13" i="117"/>
  <c r="B12" i="117"/>
  <c r="B11" i="117"/>
  <c r="B10" i="117"/>
  <c r="B9" i="117"/>
  <c r="B8" i="117"/>
  <c r="T54" i="151"/>
  <c r="S54" i="151"/>
  <c r="R54" i="151"/>
  <c r="Q54" i="151"/>
  <c r="P54" i="151"/>
  <c r="O54" i="151"/>
  <c r="N54" i="151"/>
  <c r="M54" i="151"/>
  <c r="L54" i="151"/>
  <c r="K54" i="151"/>
  <c r="J54" i="151"/>
  <c r="I54" i="151"/>
  <c r="H54" i="151"/>
  <c r="G54" i="151"/>
  <c r="F54" i="151"/>
  <c r="E54" i="151"/>
  <c r="D54" i="151"/>
  <c r="C54" i="151"/>
  <c r="B54" i="151"/>
  <c r="T53" i="151"/>
  <c r="S53" i="151"/>
  <c r="R53" i="151"/>
  <c r="Q53" i="151"/>
  <c r="P53" i="151"/>
  <c r="O53" i="151"/>
  <c r="N53" i="151"/>
  <c r="M53" i="151"/>
  <c r="L53" i="151"/>
  <c r="K53" i="151"/>
  <c r="J53" i="151"/>
  <c r="I53" i="151"/>
  <c r="H53" i="151"/>
  <c r="G53" i="151"/>
  <c r="F53" i="151"/>
  <c r="E53" i="151"/>
  <c r="D53" i="151"/>
  <c r="C53" i="151"/>
  <c r="B53" i="151"/>
  <c r="T52" i="151"/>
  <c r="S52" i="151"/>
  <c r="R52" i="151"/>
  <c r="Q52" i="151"/>
  <c r="P52" i="151"/>
  <c r="O52" i="151"/>
  <c r="N52" i="151"/>
  <c r="M52" i="151"/>
  <c r="L52" i="151"/>
  <c r="K52" i="151"/>
  <c r="J52" i="151"/>
  <c r="I52" i="151"/>
  <c r="H52" i="151"/>
  <c r="G52" i="151"/>
  <c r="F52" i="151"/>
  <c r="E52" i="151"/>
  <c r="D52" i="151"/>
  <c r="C52" i="151"/>
  <c r="B52" i="151"/>
  <c r="T51" i="151"/>
  <c r="S51" i="151"/>
  <c r="R51" i="151"/>
  <c r="Q51" i="151"/>
  <c r="P51" i="151"/>
  <c r="O51" i="151"/>
  <c r="N51" i="151"/>
  <c r="M51" i="151"/>
  <c r="L51" i="151"/>
  <c r="K51" i="151"/>
  <c r="J51" i="151"/>
  <c r="I51" i="151"/>
  <c r="H51" i="151"/>
  <c r="G51" i="151"/>
  <c r="F51" i="151"/>
  <c r="E51" i="151"/>
  <c r="D51" i="151"/>
  <c r="C51" i="151"/>
  <c r="B51" i="151"/>
  <c r="T50" i="151"/>
  <c r="S50" i="151"/>
  <c r="R50" i="151"/>
  <c r="Q50" i="151"/>
  <c r="P50" i="151"/>
  <c r="O50" i="151"/>
  <c r="N50" i="151"/>
  <c r="M50" i="151"/>
  <c r="L50" i="151"/>
  <c r="K50" i="151"/>
  <c r="J50" i="151"/>
  <c r="I50" i="151"/>
  <c r="H50" i="151"/>
  <c r="G50" i="151"/>
  <c r="F50" i="151"/>
  <c r="E50" i="151"/>
  <c r="D50" i="151"/>
  <c r="C50" i="151"/>
  <c r="B50" i="151"/>
  <c r="T49" i="151"/>
  <c r="S49" i="151"/>
  <c r="R49" i="151"/>
  <c r="Q49" i="151"/>
  <c r="P49" i="151"/>
  <c r="O49" i="151"/>
  <c r="N49" i="151"/>
  <c r="M49" i="151"/>
  <c r="L49" i="151"/>
  <c r="K49" i="151"/>
  <c r="J49" i="151"/>
  <c r="I49" i="151"/>
  <c r="H49" i="151"/>
  <c r="G49" i="151"/>
  <c r="F49" i="151"/>
  <c r="E49" i="151"/>
  <c r="D49" i="151"/>
  <c r="C49" i="151"/>
  <c r="B49" i="151"/>
  <c r="T48" i="151"/>
  <c r="S48" i="151"/>
  <c r="R48" i="151"/>
  <c r="Q48" i="151"/>
  <c r="P48" i="151"/>
  <c r="O48" i="151"/>
  <c r="N48" i="151"/>
  <c r="M48" i="151"/>
  <c r="L48" i="151"/>
  <c r="K48" i="151"/>
  <c r="J48" i="151"/>
  <c r="I48" i="151"/>
  <c r="H48" i="151"/>
  <c r="G48" i="151"/>
  <c r="F48" i="151"/>
  <c r="E48" i="151"/>
  <c r="D48" i="151"/>
  <c r="C48" i="151"/>
  <c r="B48" i="151"/>
  <c r="T47" i="151"/>
  <c r="S47" i="151"/>
  <c r="R47" i="151"/>
  <c r="Q47" i="151"/>
  <c r="P47" i="151"/>
  <c r="O47" i="151"/>
  <c r="N47" i="151"/>
  <c r="M47" i="151"/>
  <c r="L47" i="151"/>
  <c r="K47" i="151"/>
  <c r="J47" i="151"/>
  <c r="I47" i="151"/>
  <c r="H47" i="151"/>
  <c r="G47" i="151"/>
  <c r="F47" i="151"/>
  <c r="E47" i="151"/>
  <c r="D47" i="151"/>
  <c r="C47" i="151"/>
  <c r="B47" i="151"/>
  <c r="T46" i="151"/>
  <c r="S46" i="151"/>
  <c r="R46" i="151"/>
  <c r="Q46" i="151"/>
  <c r="P46" i="151"/>
  <c r="O46" i="151"/>
  <c r="N46" i="151"/>
  <c r="M46" i="151"/>
  <c r="L46" i="151"/>
  <c r="K46" i="151"/>
  <c r="J46" i="151"/>
  <c r="I46" i="151"/>
  <c r="H46" i="151"/>
  <c r="G46" i="151"/>
  <c r="F46" i="151"/>
  <c r="E46" i="151"/>
  <c r="D46" i="151"/>
  <c r="C46" i="151"/>
  <c r="B46" i="151"/>
  <c r="T45" i="151"/>
  <c r="S45" i="151"/>
  <c r="R45" i="151"/>
  <c r="Q45" i="151"/>
  <c r="P45" i="151"/>
  <c r="O45" i="151"/>
  <c r="N45" i="151"/>
  <c r="M45" i="151"/>
  <c r="L45" i="151"/>
  <c r="K45" i="151"/>
  <c r="J45" i="151"/>
  <c r="I45" i="151"/>
  <c r="H45" i="151"/>
  <c r="G45" i="151"/>
  <c r="F45" i="151"/>
  <c r="E45" i="151"/>
  <c r="D45" i="151"/>
  <c r="C45" i="151"/>
  <c r="B45" i="151"/>
  <c r="T44" i="151"/>
  <c r="S44" i="151"/>
  <c r="R44" i="151"/>
  <c r="Q44" i="151"/>
  <c r="P44" i="151"/>
  <c r="O44" i="151"/>
  <c r="N44" i="151"/>
  <c r="M44" i="151"/>
  <c r="L44" i="151"/>
  <c r="K44" i="151"/>
  <c r="J44" i="151"/>
  <c r="I44" i="151"/>
  <c r="H44" i="151"/>
  <c r="G44" i="151"/>
  <c r="F44" i="151"/>
  <c r="E44" i="151"/>
  <c r="D44" i="151"/>
  <c r="C44" i="151"/>
  <c r="B44" i="151"/>
  <c r="T43" i="151"/>
  <c r="S43" i="151"/>
  <c r="R43" i="151"/>
  <c r="Q43" i="151"/>
  <c r="P43" i="151"/>
  <c r="O43" i="151"/>
  <c r="N43" i="151"/>
  <c r="M43" i="151"/>
  <c r="L43" i="151"/>
  <c r="K43" i="151"/>
  <c r="J43" i="151"/>
  <c r="I43" i="151"/>
  <c r="H43" i="151"/>
  <c r="G43" i="151"/>
  <c r="F43" i="151"/>
  <c r="E43" i="151"/>
  <c r="D43" i="151"/>
  <c r="C43" i="151"/>
  <c r="B43" i="151"/>
  <c r="T42" i="151"/>
  <c r="S42" i="151"/>
  <c r="R42" i="151"/>
  <c r="Q42" i="151"/>
  <c r="P42" i="151"/>
  <c r="O42" i="151"/>
  <c r="N42" i="151"/>
  <c r="M42" i="151"/>
  <c r="L42" i="151"/>
  <c r="K42" i="151"/>
  <c r="J42" i="151"/>
  <c r="I42" i="151"/>
  <c r="H42" i="151"/>
  <c r="G42" i="151"/>
  <c r="F42" i="151"/>
  <c r="E42" i="151"/>
  <c r="D42" i="151"/>
  <c r="C42" i="151"/>
  <c r="B42" i="151"/>
  <c r="T41" i="151"/>
  <c r="S41" i="151"/>
  <c r="R41" i="151"/>
  <c r="Q41" i="151"/>
  <c r="P41" i="151"/>
  <c r="O41" i="151"/>
  <c r="N41" i="151"/>
  <c r="M41" i="151"/>
  <c r="L41" i="151"/>
  <c r="K41" i="151"/>
  <c r="J41" i="151"/>
  <c r="I41" i="151"/>
  <c r="H41" i="151"/>
  <c r="G41" i="151"/>
  <c r="F41" i="151"/>
  <c r="E41" i="151"/>
  <c r="D41" i="151"/>
  <c r="C41" i="151"/>
  <c r="B41" i="151"/>
  <c r="T40" i="151"/>
  <c r="S40" i="151"/>
  <c r="R40" i="151"/>
  <c r="Q40" i="151"/>
  <c r="P40" i="151"/>
  <c r="O40" i="151"/>
  <c r="N40" i="151"/>
  <c r="M40" i="151"/>
  <c r="L40" i="151"/>
  <c r="K40" i="151"/>
  <c r="J40" i="151"/>
  <c r="I40" i="151"/>
  <c r="H40" i="151"/>
  <c r="G40" i="151"/>
  <c r="F40" i="151"/>
  <c r="E40" i="151"/>
  <c r="D40" i="151"/>
  <c r="C40" i="151"/>
  <c r="B40" i="151"/>
  <c r="T39" i="151"/>
  <c r="S39" i="151"/>
  <c r="R39" i="151"/>
  <c r="Q39" i="151"/>
  <c r="P39" i="151"/>
  <c r="O39" i="151"/>
  <c r="N39" i="151"/>
  <c r="M39" i="151"/>
  <c r="L39" i="151"/>
  <c r="K39" i="151"/>
  <c r="J39" i="151"/>
  <c r="I39" i="151"/>
  <c r="H39" i="151"/>
  <c r="G39" i="151"/>
  <c r="F39" i="151"/>
  <c r="E39" i="151"/>
  <c r="D39" i="151"/>
  <c r="C39" i="151"/>
  <c r="B39" i="151"/>
  <c r="T38" i="151"/>
  <c r="S38" i="151"/>
  <c r="R38" i="151"/>
  <c r="Q38" i="151"/>
  <c r="P38" i="151"/>
  <c r="O38" i="151"/>
  <c r="N38" i="151"/>
  <c r="M38" i="151"/>
  <c r="L38" i="151"/>
  <c r="K38" i="151"/>
  <c r="J38" i="151"/>
  <c r="I38" i="151"/>
  <c r="H38" i="151"/>
  <c r="G38" i="151"/>
  <c r="F38" i="151"/>
  <c r="E38" i="151"/>
  <c r="D38" i="151"/>
  <c r="C38" i="151"/>
  <c r="B38" i="151"/>
  <c r="T37" i="151"/>
  <c r="S37" i="151"/>
  <c r="R37" i="151"/>
  <c r="Q37" i="151"/>
  <c r="P37" i="151"/>
  <c r="O37" i="151"/>
  <c r="N37" i="151"/>
  <c r="M37" i="151"/>
  <c r="L37" i="151"/>
  <c r="K37" i="151"/>
  <c r="J37" i="151"/>
  <c r="I37" i="151"/>
  <c r="H37" i="151"/>
  <c r="G37" i="151"/>
  <c r="F37" i="151"/>
  <c r="E37" i="151"/>
  <c r="D37" i="151"/>
  <c r="C37" i="151"/>
  <c r="B37" i="151"/>
  <c r="T36" i="151"/>
  <c r="S36" i="151"/>
  <c r="R36" i="151"/>
  <c r="Q36" i="151"/>
  <c r="P36" i="151"/>
  <c r="O36" i="151"/>
  <c r="N36" i="151"/>
  <c r="M36" i="151"/>
  <c r="L36" i="151"/>
  <c r="K36" i="151"/>
  <c r="J36" i="151"/>
  <c r="I36" i="151"/>
  <c r="H36" i="151"/>
  <c r="G36" i="151"/>
  <c r="F36" i="151"/>
  <c r="E36" i="151"/>
  <c r="D36" i="151"/>
  <c r="C36" i="151"/>
  <c r="B36" i="151"/>
  <c r="T35" i="151"/>
  <c r="S35" i="151"/>
  <c r="R35" i="151"/>
  <c r="Q35" i="151"/>
  <c r="P35" i="151"/>
  <c r="O35" i="151"/>
  <c r="N35" i="151"/>
  <c r="M35" i="151"/>
  <c r="L35" i="151"/>
  <c r="K35" i="151"/>
  <c r="J35" i="151"/>
  <c r="I35" i="151"/>
  <c r="H35" i="151"/>
  <c r="G35" i="151"/>
  <c r="F35" i="151"/>
  <c r="E35" i="151"/>
  <c r="D35" i="151"/>
  <c r="C35" i="151"/>
  <c r="B35" i="151"/>
  <c r="T34" i="151"/>
  <c r="S34" i="151"/>
  <c r="R34" i="151"/>
  <c r="Q34" i="151"/>
  <c r="P34" i="151"/>
  <c r="O34" i="151"/>
  <c r="N34" i="151"/>
  <c r="M34" i="151"/>
  <c r="L34" i="151"/>
  <c r="K34" i="151"/>
  <c r="J34" i="151"/>
  <c r="I34" i="151"/>
  <c r="H34" i="151"/>
  <c r="G34" i="151"/>
  <c r="F34" i="151"/>
  <c r="E34" i="151"/>
  <c r="D34" i="151"/>
  <c r="C34" i="151"/>
  <c r="B34" i="151"/>
  <c r="T33" i="151"/>
  <c r="S33" i="151"/>
  <c r="R33" i="151"/>
  <c r="Q33" i="151"/>
  <c r="P33" i="151"/>
  <c r="O33" i="151"/>
  <c r="N33" i="151"/>
  <c r="M33" i="151"/>
  <c r="L33" i="151"/>
  <c r="K33" i="151"/>
  <c r="J33" i="151"/>
  <c r="I33" i="151"/>
  <c r="H33" i="151"/>
  <c r="G33" i="151"/>
  <c r="F33" i="151"/>
  <c r="E33" i="151"/>
  <c r="D33" i="151"/>
  <c r="C33" i="151"/>
  <c r="B33" i="151"/>
  <c r="T32" i="151"/>
  <c r="S32" i="151"/>
  <c r="R32" i="151"/>
  <c r="Q32" i="151"/>
  <c r="P32" i="151"/>
  <c r="O32" i="151"/>
  <c r="N32" i="151"/>
  <c r="M32" i="151"/>
  <c r="L32" i="151"/>
  <c r="K32" i="151"/>
  <c r="J32" i="151"/>
  <c r="I32" i="151"/>
  <c r="H32" i="151"/>
  <c r="G32" i="151"/>
  <c r="F32" i="151"/>
  <c r="E32" i="151"/>
  <c r="D32" i="151"/>
  <c r="C32" i="151"/>
  <c r="B32" i="151"/>
  <c r="T31" i="151"/>
  <c r="S31" i="151"/>
  <c r="R31" i="151"/>
  <c r="Q31" i="151"/>
  <c r="P31" i="151"/>
  <c r="O31" i="151"/>
  <c r="N31" i="151"/>
  <c r="M31" i="151"/>
  <c r="L31" i="151"/>
  <c r="K31" i="151"/>
  <c r="J31" i="151"/>
  <c r="I31" i="151"/>
  <c r="H31" i="151"/>
  <c r="G31" i="151"/>
  <c r="F31" i="151"/>
  <c r="E31" i="151"/>
  <c r="D31" i="151"/>
  <c r="C31" i="151"/>
  <c r="B31" i="151"/>
  <c r="T30" i="151"/>
  <c r="S30" i="151"/>
  <c r="R30" i="151"/>
  <c r="Q30" i="151"/>
  <c r="P30" i="151"/>
  <c r="O30" i="151"/>
  <c r="N30" i="151"/>
  <c r="M30" i="151"/>
  <c r="L30" i="151"/>
  <c r="K30" i="151"/>
  <c r="J30" i="151"/>
  <c r="I30" i="151"/>
  <c r="H30" i="151"/>
  <c r="G30" i="151"/>
  <c r="F30" i="151"/>
  <c r="E30" i="151"/>
  <c r="D30" i="151"/>
  <c r="C30" i="151"/>
  <c r="B30" i="151"/>
  <c r="T29" i="151"/>
  <c r="S29" i="151"/>
  <c r="R29" i="151"/>
  <c r="Q29" i="151"/>
  <c r="P29" i="151"/>
  <c r="O29" i="151"/>
  <c r="N29" i="151"/>
  <c r="M29" i="151"/>
  <c r="L29" i="151"/>
  <c r="K29" i="151"/>
  <c r="J29" i="151"/>
  <c r="I29" i="151"/>
  <c r="H29" i="151"/>
  <c r="G29" i="151"/>
  <c r="F29" i="151"/>
  <c r="E29" i="151"/>
  <c r="D29" i="151"/>
  <c r="C29" i="151"/>
  <c r="B29" i="151"/>
  <c r="T28" i="151"/>
  <c r="S28" i="151"/>
  <c r="R28" i="151"/>
  <c r="Q28" i="151"/>
  <c r="P28" i="151"/>
  <c r="O28" i="151"/>
  <c r="N28" i="151"/>
  <c r="M28" i="151"/>
  <c r="L28" i="151"/>
  <c r="K28" i="151"/>
  <c r="J28" i="151"/>
  <c r="I28" i="151"/>
  <c r="H28" i="151"/>
  <c r="G28" i="151"/>
  <c r="F28" i="151"/>
  <c r="E28" i="151"/>
  <c r="D28" i="151"/>
  <c r="C28" i="151"/>
  <c r="B28" i="151"/>
  <c r="T27" i="151"/>
  <c r="S27" i="151"/>
  <c r="R27" i="151"/>
  <c r="Q27" i="151"/>
  <c r="P27" i="151"/>
  <c r="O27" i="151"/>
  <c r="N27" i="151"/>
  <c r="M27" i="151"/>
  <c r="L27" i="151"/>
  <c r="K27" i="151"/>
  <c r="J27" i="151"/>
  <c r="I27" i="151"/>
  <c r="H27" i="151"/>
  <c r="G27" i="151"/>
  <c r="F27" i="151"/>
  <c r="E27" i="151"/>
  <c r="D27" i="151"/>
  <c r="C27" i="151"/>
  <c r="B27" i="151"/>
  <c r="T26" i="151"/>
  <c r="S26" i="151"/>
  <c r="R26" i="151"/>
  <c r="Q26" i="151"/>
  <c r="P26" i="151"/>
  <c r="O26" i="151"/>
  <c r="N26" i="151"/>
  <c r="M26" i="151"/>
  <c r="L26" i="151"/>
  <c r="K26" i="151"/>
  <c r="J26" i="151"/>
  <c r="I26" i="151"/>
  <c r="H26" i="151"/>
  <c r="G26" i="151"/>
  <c r="F26" i="151"/>
  <c r="E26" i="151"/>
  <c r="D26" i="151"/>
  <c r="C26" i="151"/>
  <c r="B26" i="151"/>
  <c r="T25" i="151"/>
  <c r="S25" i="151"/>
  <c r="R25" i="151"/>
  <c r="Q25" i="151"/>
  <c r="P25" i="151"/>
  <c r="O25" i="151"/>
  <c r="N25" i="151"/>
  <c r="M25" i="151"/>
  <c r="L25" i="151"/>
  <c r="K25" i="151"/>
  <c r="J25" i="151"/>
  <c r="I25" i="151"/>
  <c r="H25" i="151"/>
  <c r="G25" i="151"/>
  <c r="F25" i="151"/>
  <c r="E25" i="151"/>
  <c r="D25" i="151"/>
  <c r="C25" i="151"/>
  <c r="B25" i="151"/>
  <c r="T24" i="151"/>
  <c r="S24" i="151"/>
  <c r="R24" i="151"/>
  <c r="Q24" i="151"/>
  <c r="P24" i="151"/>
  <c r="O24" i="151"/>
  <c r="N24" i="151"/>
  <c r="M24" i="151"/>
  <c r="L24" i="151"/>
  <c r="K24" i="151"/>
  <c r="J24" i="151"/>
  <c r="I24" i="151"/>
  <c r="H24" i="151"/>
  <c r="G24" i="151"/>
  <c r="F24" i="151"/>
  <c r="E24" i="151"/>
  <c r="D24" i="151"/>
  <c r="C24" i="151"/>
  <c r="B24" i="151"/>
  <c r="T19" i="151"/>
  <c r="S19" i="151"/>
  <c r="R19" i="151"/>
  <c r="Q19" i="151"/>
  <c r="P19" i="151"/>
  <c r="O19" i="151"/>
  <c r="N19" i="151"/>
  <c r="M19" i="151"/>
  <c r="L19" i="151"/>
  <c r="K19" i="151"/>
  <c r="J19" i="151"/>
  <c r="I19" i="151"/>
  <c r="H19" i="151"/>
  <c r="G19" i="151"/>
  <c r="F19" i="151"/>
  <c r="E19" i="151"/>
  <c r="D19" i="151"/>
  <c r="C19" i="151"/>
  <c r="B19" i="151"/>
  <c r="T18" i="151"/>
  <c r="S18" i="151"/>
  <c r="R18" i="151"/>
  <c r="Q18" i="151"/>
  <c r="P18" i="151"/>
  <c r="O18" i="151"/>
  <c r="N18" i="151"/>
  <c r="M18" i="151"/>
  <c r="L18" i="151"/>
  <c r="K18" i="151"/>
  <c r="J18" i="151"/>
  <c r="I18" i="151"/>
  <c r="H18" i="151"/>
  <c r="G18" i="151"/>
  <c r="F18" i="151"/>
  <c r="E18" i="151"/>
  <c r="D18" i="151"/>
  <c r="C18" i="151"/>
  <c r="B18" i="151"/>
  <c r="T17" i="151"/>
  <c r="S17" i="151"/>
  <c r="R17" i="151"/>
  <c r="Q17" i="151"/>
  <c r="P17" i="151"/>
  <c r="O17" i="151"/>
  <c r="N17" i="151"/>
  <c r="M17" i="151"/>
  <c r="L17" i="151"/>
  <c r="K17" i="151"/>
  <c r="J17" i="151"/>
  <c r="I17" i="151"/>
  <c r="H17" i="151"/>
  <c r="G17" i="151"/>
  <c r="F17" i="151"/>
  <c r="E17" i="151"/>
  <c r="D17" i="151"/>
  <c r="C17" i="151"/>
  <c r="B17" i="151"/>
  <c r="T16" i="151"/>
  <c r="S16" i="151"/>
  <c r="R16" i="151"/>
  <c r="Q16" i="151"/>
  <c r="P16" i="151"/>
  <c r="O16" i="151"/>
  <c r="N16" i="151"/>
  <c r="M16" i="151"/>
  <c r="L16" i="151"/>
  <c r="K16" i="151"/>
  <c r="J16" i="151"/>
  <c r="I16" i="151"/>
  <c r="H16" i="151"/>
  <c r="G16" i="151"/>
  <c r="F16" i="151"/>
  <c r="E16" i="151"/>
  <c r="D16" i="151"/>
  <c r="C16" i="151"/>
  <c r="B16" i="151"/>
  <c r="T15" i="151"/>
  <c r="S15" i="151"/>
  <c r="R15" i="151"/>
  <c r="Q15" i="151"/>
  <c r="P15" i="151"/>
  <c r="O15" i="151"/>
  <c r="N15" i="151"/>
  <c r="M15" i="151"/>
  <c r="L15" i="151"/>
  <c r="K15" i="151"/>
  <c r="J15" i="151"/>
  <c r="I15" i="151"/>
  <c r="H15" i="151"/>
  <c r="G15" i="151"/>
  <c r="F15" i="151"/>
  <c r="E15" i="151"/>
  <c r="D15" i="151"/>
  <c r="C15" i="151"/>
  <c r="B15" i="151"/>
  <c r="T14" i="151"/>
  <c r="S14" i="151"/>
  <c r="R14" i="151"/>
  <c r="Q14" i="151"/>
  <c r="P14" i="151"/>
  <c r="O14" i="151"/>
  <c r="N14" i="151"/>
  <c r="M14" i="151"/>
  <c r="L14" i="151"/>
  <c r="K14" i="151"/>
  <c r="J14" i="151"/>
  <c r="I14" i="151"/>
  <c r="H14" i="151"/>
  <c r="G14" i="151"/>
  <c r="F14" i="151"/>
  <c r="E14" i="151"/>
  <c r="D14" i="151"/>
  <c r="C14" i="151"/>
  <c r="B14" i="151"/>
  <c r="T13" i="151"/>
  <c r="S13" i="151"/>
  <c r="R13" i="151"/>
  <c r="Q13" i="151"/>
  <c r="P13" i="151"/>
  <c r="O13" i="151"/>
  <c r="N13" i="151"/>
  <c r="M13" i="151"/>
  <c r="L13" i="151"/>
  <c r="K13" i="151"/>
  <c r="J13" i="151"/>
  <c r="I13" i="151"/>
  <c r="H13" i="151"/>
  <c r="G13" i="151"/>
  <c r="F13" i="151"/>
  <c r="E13" i="151"/>
  <c r="D13" i="151"/>
  <c r="C13" i="151"/>
  <c r="B13" i="151"/>
  <c r="T12" i="151"/>
  <c r="S12" i="151"/>
  <c r="R12" i="151"/>
  <c r="Q12" i="151"/>
  <c r="P12" i="151"/>
  <c r="O12" i="151"/>
  <c r="N12" i="151"/>
  <c r="M12" i="151"/>
  <c r="L12" i="151"/>
  <c r="K12" i="151"/>
  <c r="J12" i="151"/>
  <c r="I12" i="151"/>
  <c r="H12" i="151"/>
  <c r="G12" i="151"/>
  <c r="F12" i="151"/>
  <c r="E12" i="151"/>
  <c r="D12" i="151"/>
  <c r="C12" i="151"/>
  <c r="B12" i="151"/>
  <c r="T11" i="151"/>
  <c r="S11" i="151"/>
  <c r="R11" i="151"/>
  <c r="Q11" i="151"/>
  <c r="P11" i="151"/>
  <c r="O11" i="151"/>
  <c r="N11" i="151"/>
  <c r="M11" i="151"/>
  <c r="L11" i="151"/>
  <c r="K11" i="151"/>
  <c r="J11" i="151"/>
  <c r="I11" i="151"/>
  <c r="H11" i="151"/>
  <c r="G11" i="151"/>
  <c r="F11" i="151"/>
  <c r="E11" i="151"/>
  <c r="D11" i="151"/>
  <c r="C11" i="151"/>
  <c r="B11" i="151"/>
  <c r="T10" i="151"/>
  <c r="S10" i="151"/>
  <c r="R10" i="151"/>
  <c r="Q10" i="151"/>
  <c r="P10" i="151"/>
  <c r="O10" i="151"/>
  <c r="N10" i="151"/>
  <c r="M10" i="151"/>
  <c r="L10" i="151"/>
  <c r="K10" i="151"/>
  <c r="J10" i="151"/>
  <c r="I10" i="151"/>
  <c r="H10" i="151"/>
  <c r="G10" i="151"/>
  <c r="F10" i="151"/>
  <c r="E10" i="151"/>
  <c r="D10" i="151"/>
  <c r="C10" i="151"/>
  <c r="B10" i="151"/>
  <c r="T9" i="151"/>
  <c r="S9" i="151"/>
  <c r="R9" i="151"/>
  <c r="Q9" i="151"/>
  <c r="P9" i="151"/>
  <c r="O9" i="151"/>
  <c r="N9" i="151"/>
  <c r="M9" i="151"/>
  <c r="L9" i="151"/>
  <c r="K9" i="151"/>
  <c r="J9" i="151"/>
  <c r="I9" i="151"/>
  <c r="H9" i="151"/>
  <c r="G9" i="151"/>
  <c r="F9" i="151"/>
  <c r="E9" i="151"/>
  <c r="D9" i="151"/>
  <c r="C9" i="151"/>
  <c r="B9" i="151"/>
  <c r="T8" i="151"/>
  <c r="S8" i="151"/>
  <c r="R8" i="151"/>
  <c r="Q8" i="151"/>
  <c r="P8" i="151"/>
  <c r="O8" i="151"/>
  <c r="N8" i="151"/>
  <c r="M8" i="151"/>
  <c r="L8" i="151"/>
  <c r="K8" i="151"/>
  <c r="J8" i="151"/>
  <c r="I8" i="151"/>
  <c r="H8" i="151"/>
  <c r="G8" i="151"/>
  <c r="F8" i="151"/>
  <c r="E8" i="151"/>
  <c r="D8" i="151"/>
  <c r="C8" i="151"/>
  <c r="B8" i="151"/>
  <c r="T7" i="151"/>
  <c r="S7" i="151"/>
  <c r="R7" i="151"/>
  <c r="Q7" i="151"/>
  <c r="P7" i="151"/>
  <c r="O7" i="151"/>
  <c r="N7" i="151"/>
  <c r="M7" i="151"/>
  <c r="L7" i="151"/>
  <c r="K7" i="151"/>
  <c r="J7" i="151"/>
  <c r="I7" i="151"/>
  <c r="H7" i="151"/>
  <c r="G7" i="151"/>
  <c r="F7" i="151"/>
  <c r="E7" i="151"/>
  <c r="D7" i="151"/>
  <c r="C7" i="151"/>
  <c r="B7" i="151"/>
  <c r="T6" i="151"/>
  <c r="S6" i="151"/>
  <c r="R6" i="151"/>
  <c r="Q6" i="151"/>
  <c r="P6" i="151"/>
  <c r="O6" i="151"/>
  <c r="N6" i="151"/>
  <c r="M6" i="151"/>
  <c r="L6" i="151"/>
  <c r="K6" i="151"/>
  <c r="J6" i="151"/>
  <c r="I6" i="151"/>
  <c r="H6" i="151"/>
  <c r="G6" i="151"/>
  <c r="F6" i="151"/>
  <c r="E6" i="151"/>
  <c r="D6" i="151"/>
  <c r="C6" i="151"/>
  <c r="T5" i="151"/>
  <c r="S5" i="151"/>
  <c r="R5" i="151"/>
  <c r="Q5" i="151"/>
  <c r="P5" i="151"/>
  <c r="O5" i="151"/>
  <c r="N5" i="151"/>
  <c r="M5" i="151"/>
  <c r="L5" i="151"/>
  <c r="K5" i="151"/>
  <c r="J5" i="151"/>
  <c r="I5" i="151"/>
  <c r="H5" i="151"/>
  <c r="G5" i="151"/>
  <c r="F5" i="151"/>
  <c r="E5" i="151"/>
  <c r="D5" i="151"/>
  <c r="C5" i="151"/>
  <c r="C60" i="1"/>
  <c r="C59" i="1"/>
  <c r="C58" i="1"/>
  <c r="C57" i="1"/>
  <c r="C56" i="1"/>
  <c r="C55" i="1"/>
  <c r="C54" i="1"/>
  <c r="C53" i="1"/>
  <c r="C52" i="1"/>
  <c r="C51" i="1"/>
  <c r="C50" i="1"/>
  <c r="C49" i="1"/>
  <c r="C48" i="1"/>
  <c r="C47" i="1"/>
  <c r="C46" i="1"/>
  <c r="C45" i="1"/>
  <c r="C44" i="1"/>
  <c r="C43" i="1"/>
  <c r="C42" i="1"/>
  <c r="C41" i="1"/>
  <c r="C40" i="1"/>
  <c r="C39" i="1"/>
  <c r="C38" i="1"/>
  <c r="C37" i="1"/>
  <c r="C36" i="1"/>
  <c r="C35" i="1"/>
  <c r="C34" i="1"/>
  <c r="C33" i="1"/>
  <c r="C32" i="1"/>
  <c r="C31" i="1"/>
  <c r="C30" i="1"/>
  <c r="C29" i="1"/>
  <c r="C28" i="1"/>
  <c r="C27" i="1"/>
  <c r="C26" i="1"/>
  <c r="C25" i="1"/>
  <c r="C24" i="1"/>
  <c r="C23" i="1"/>
  <c r="C22" i="1"/>
  <c r="C21" i="1"/>
  <c r="C20" i="1"/>
  <c r="C19" i="1"/>
  <c r="C18" i="1"/>
  <c r="C17" i="1"/>
  <c r="C16" i="1"/>
  <c r="C15" i="1"/>
  <c r="C14" i="1"/>
  <c r="C13" i="1"/>
  <c r="C12" i="1"/>
  <c r="C11" i="1"/>
  <c r="C10" i="1"/>
  <c r="C9" i="1"/>
  <c r="C8" i="1"/>
  <c r="C7" i="1"/>
  <c r="C6" i="1"/>
  <c r="C5" i="1"/>
  <c r="C4" i="1"/>
  <c r="C3" i="1"/>
  <c r="C2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新建文本文档1111111111111111111111111111111111111111111111111111111111111111111111111111111111111111111111111111111111111111111111111111111111111111111111111111111111111111111111111111111111111111111111111111111111111111111111111111111111111111111" type="6" refreshedVersion="2" deleted="1" background="1" saveData="1">
    <textPr sourceFile="E:\Users\Xinru Han\Desktop\新建文本文档.txt">
      <textFields>
        <textField/>
      </textFields>
    </textPr>
  </connection>
</connections>
</file>

<file path=xl/sharedStrings.xml><?xml version="1.0" encoding="utf-8"?>
<sst xmlns="http://schemas.openxmlformats.org/spreadsheetml/2006/main" count="2278" uniqueCount="374">
  <si>
    <t>rdim</t>
  </si>
  <si>
    <t>cdim</t>
  </si>
  <si>
    <t>par</t>
  </si>
  <si>
    <r>
      <rPr>
        <sz val="11"/>
        <color indexed="8"/>
        <rFont val="宋体"/>
        <charset val="134"/>
      </rPr>
      <t>K</t>
    </r>
    <r>
      <rPr>
        <sz val="11"/>
        <color indexed="8"/>
        <rFont val="宋体"/>
        <charset val="134"/>
      </rPr>
      <t>OUL</t>
    </r>
    <r>
      <rPr>
        <sz val="11"/>
        <color indexed="8"/>
        <rFont val="宋体"/>
        <charset val="134"/>
      </rPr>
      <t>X</t>
    </r>
  </si>
  <si>
    <r>
      <rPr>
        <sz val="11"/>
        <color indexed="8"/>
        <rFont val="宋体"/>
        <charset val="134"/>
      </rPr>
      <t>G</t>
    </r>
    <r>
      <rPr>
        <sz val="11"/>
        <color indexed="8"/>
        <rFont val="宋体"/>
        <charset val="134"/>
      </rPr>
      <t>UWU</t>
    </r>
    <r>
      <rPr>
        <sz val="11"/>
        <color indexed="8"/>
        <rFont val="宋体"/>
        <charset val="134"/>
      </rPr>
      <t>X</t>
    </r>
  </si>
  <si>
    <r>
      <rPr>
        <sz val="11"/>
        <color indexed="8"/>
        <rFont val="宋体"/>
        <charset val="134"/>
      </rPr>
      <t>L</t>
    </r>
    <r>
      <rPr>
        <sz val="11"/>
        <color indexed="8"/>
        <rFont val="宋体"/>
        <charset val="134"/>
      </rPr>
      <t>ISH</t>
    </r>
    <r>
      <rPr>
        <sz val="11"/>
        <color indexed="8"/>
        <rFont val="宋体"/>
        <charset val="134"/>
      </rPr>
      <t>X</t>
    </r>
  </si>
  <si>
    <t>ENGYX</t>
  </si>
  <si>
    <t>RICEX</t>
  </si>
  <si>
    <t>WHEAX</t>
  </si>
  <si>
    <t>MAIZX</t>
  </si>
  <si>
    <t>BARLX</t>
  </si>
  <si>
    <t>SOYSX</t>
  </si>
  <si>
    <t>SOYOX</t>
  </si>
  <si>
    <t>SOYMX</t>
  </si>
  <si>
    <t>RAPSX</t>
  </si>
  <si>
    <t>RAPOX</t>
  </si>
  <si>
    <t>RAPMX</t>
  </si>
  <si>
    <t>GRDSX</t>
  </si>
  <si>
    <t>GRDOX</t>
  </si>
  <si>
    <t>GRDMX</t>
  </si>
  <si>
    <t>COTTX</t>
  </si>
  <si>
    <t>SUGAX</t>
  </si>
  <si>
    <t>VEGTX</t>
  </si>
  <si>
    <t>SORGX</t>
  </si>
  <si>
    <t>FRTOX</t>
  </si>
  <si>
    <t>OTGRX</t>
  </si>
  <si>
    <t>BEEFX</t>
  </si>
  <si>
    <t>CATBX</t>
  </si>
  <si>
    <t>CATOX</t>
  </si>
  <si>
    <t>CATTX</t>
  </si>
  <si>
    <t>PORKX</t>
  </si>
  <si>
    <t>PIGBX</t>
  </si>
  <si>
    <t>PIGOX</t>
  </si>
  <si>
    <t>PIGTX</t>
  </si>
  <si>
    <t>SHGMX</t>
  </si>
  <si>
    <t>CHKMX</t>
  </si>
  <si>
    <t>EGGSX</t>
  </si>
  <si>
    <t>MILKX</t>
  </si>
  <si>
    <t>FISHX</t>
  </si>
  <si>
    <r>
      <rPr>
        <sz val="11"/>
        <color indexed="8"/>
        <rFont val="宋体"/>
        <charset val="134"/>
      </rPr>
      <t>P</t>
    </r>
    <r>
      <rPr>
        <sz val="11"/>
        <color indexed="8"/>
        <rFont val="宋体"/>
        <charset val="134"/>
      </rPr>
      <t>OTAX</t>
    </r>
  </si>
  <si>
    <t>TOSLX</t>
  </si>
  <si>
    <t>PRODX</t>
  </si>
  <si>
    <t>AREAX</t>
  </si>
  <si>
    <t>YILDX</t>
  </si>
  <si>
    <t>NIMPX</t>
  </si>
  <si>
    <t>TODMX</t>
  </si>
  <si>
    <t>FOODX</t>
  </si>
  <si>
    <t>PFODX</t>
  </si>
  <si>
    <t>FEEDX</t>
  </si>
  <si>
    <t>PROCX</t>
  </si>
  <si>
    <t>SEEDX</t>
  </si>
  <si>
    <t>WASTX</t>
  </si>
  <si>
    <t>OTHEX</t>
  </si>
  <si>
    <t>STOCX</t>
  </si>
  <si>
    <t>NEXPX</t>
  </si>
  <si>
    <t>DOMDX</t>
  </si>
  <si>
    <t>PRICX</t>
  </si>
  <si>
    <t>CO2EX</t>
  </si>
  <si>
    <t>POPUX</t>
  </si>
  <si>
    <t>PGDPX</t>
  </si>
  <si>
    <t>DFODX</t>
  </si>
  <si>
    <t>CRSHX</t>
  </si>
  <si>
    <r>
      <rPr>
        <sz val="11"/>
        <color indexed="8"/>
        <rFont val="宋体"/>
        <charset val="134"/>
      </rPr>
      <t>变化率</t>
    </r>
  </si>
  <si>
    <r>
      <rPr>
        <sz val="11"/>
        <color indexed="8"/>
        <rFont val="宋体"/>
        <charset val="134"/>
      </rPr>
      <t>情景</t>
    </r>
    <r>
      <rPr>
        <sz val="11"/>
        <color indexed="8"/>
        <rFont val="Courier New"/>
        <family val="3"/>
      </rPr>
      <t>1</t>
    </r>
  </si>
  <si>
    <r>
      <rPr>
        <sz val="11"/>
        <color indexed="8"/>
        <rFont val="宋体"/>
        <charset val="134"/>
      </rPr>
      <t>情景</t>
    </r>
    <r>
      <rPr>
        <sz val="11"/>
        <color indexed="8"/>
        <rFont val="Courier New"/>
        <family val="3"/>
      </rPr>
      <t>2</t>
    </r>
  </si>
  <si>
    <r>
      <rPr>
        <sz val="11"/>
        <color indexed="8"/>
        <rFont val="宋体"/>
        <charset val="134"/>
      </rPr>
      <t>情景</t>
    </r>
    <r>
      <rPr>
        <sz val="11"/>
        <color indexed="8"/>
        <rFont val="Courier New"/>
        <family val="3"/>
      </rPr>
      <t>3</t>
    </r>
  </si>
  <si>
    <r>
      <rPr>
        <sz val="11"/>
        <color indexed="8"/>
        <rFont val="宋体"/>
        <charset val="134"/>
      </rPr>
      <t>情景</t>
    </r>
    <r>
      <rPr>
        <sz val="11"/>
        <color indexed="8"/>
        <rFont val="Courier New"/>
        <family val="3"/>
      </rPr>
      <t>4</t>
    </r>
  </si>
  <si>
    <r>
      <rPr>
        <sz val="11"/>
        <color indexed="8"/>
        <rFont val="宋体"/>
        <charset val="134"/>
      </rPr>
      <t>情景</t>
    </r>
    <r>
      <rPr>
        <sz val="11"/>
        <color indexed="8"/>
        <rFont val="Courier New"/>
        <family val="3"/>
      </rPr>
      <t>5</t>
    </r>
  </si>
  <si>
    <r>
      <rPr>
        <sz val="11"/>
        <color indexed="8"/>
        <rFont val="宋体"/>
        <charset val="134"/>
      </rPr>
      <t>变化量</t>
    </r>
  </si>
  <si>
    <t>人均消费量</t>
  </si>
  <si>
    <t>畜禽肉</t>
  </si>
  <si>
    <t>粮食</t>
  </si>
  <si>
    <t>水稻</t>
  </si>
  <si>
    <t>BASE</t>
  </si>
  <si>
    <t>2016-2035</t>
  </si>
  <si>
    <t>2024</t>
  </si>
  <si>
    <t>2025</t>
  </si>
  <si>
    <t>2030</t>
  </si>
  <si>
    <t>稻谷种植面积（万公顷）</t>
  </si>
  <si>
    <t>AREA</t>
  </si>
  <si>
    <t>稻谷单产（千克/公顷）</t>
  </si>
  <si>
    <t>YIELD</t>
  </si>
  <si>
    <t>总供给</t>
  </si>
  <si>
    <t>TOTAL SUPPLY</t>
  </si>
  <si>
    <t>稻谷产量（万吨）</t>
  </si>
  <si>
    <t>PRODUCTION</t>
  </si>
  <si>
    <t>稻谷净进口</t>
  </si>
  <si>
    <t>NET IMPORT</t>
  </si>
  <si>
    <t>稻谷总需求（万吨）</t>
  </si>
  <si>
    <t>TOTAL DEMAND</t>
  </si>
  <si>
    <t>稻谷人均消费量（千克/人）</t>
  </si>
  <si>
    <t>PER CAPITA FOOD DEMAND</t>
  </si>
  <si>
    <t>农村居民在家人均稻谷消费量（千克/人）</t>
  </si>
  <si>
    <t>SEED DEMAND</t>
  </si>
  <si>
    <t>农村居民在外人均稻谷消费量（千克/人）</t>
  </si>
  <si>
    <t>FEED DEMAND</t>
  </si>
  <si>
    <t>城镇居民在家人均稻谷消费量（千克/人）</t>
  </si>
  <si>
    <t>PROCESSING DEMAND</t>
  </si>
  <si>
    <t>城镇居民在外人均稻谷消费量（千克/人）</t>
  </si>
  <si>
    <t>WASTE DEMAND</t>
  </si>
  <si>
    <t>农村居民稻谷口粮总消费量（万吨）</t>
  </si>
  <si>
    <t>STOCK CHANGE</t>
  </si>
  <si>
    <t>城镇居民稻谷口粮总消费量（万吨）</t>
  </si>
  <si>
    <t>DOMESTIC DEMAND</t>
  </si>
  <si>
    <t>稻谷种子消费量（万吨）</t>
  </si>
  <si>
    <t>energy</t>
  </si>
  <si>
    <t>稻谷饲料消费量（万吨）</t>
  </si>
  <si>
    <t>TOTAL FOOD DEMAND BY ALL HOUSEHOLD</t>
  </si>
  <si>
    <t>稻谷加工消费量（万吨）</t>
  </si>
  <si>
    <t>CARBON EMISSION</t>
  </si>
  <si>
    <t>稻谷损耗量（万吨）</t>
  </si>
  <si>
    <t>稻谷库存变化(万吨）</t>
  </si>
  <si>
    <t>稻谷消费者价格（元/吨）</t>
  </si>
  <si>
    <t>稻谷生产者价格（元/吨）</t>
  </si>
  <si>
    <t>食物总需求</t>
  </si>
  <si>
    <t>农村居民人均稻谷消费量（千克/人）</t>
  </si>
  <si>
    <t>城镇居民人均稻谷消费量（千克/人）</t>
  </si>
  <si>
    <t>农村居民在家稻谷口粮总消费量（万吨）</t>
  </si>
  <si>
    <t>农村居民在外稻谷口粮总消费量（万吨）</t>
  </si>
  <si>
    <t>城镇居民在家稻谷口粮总消费量（万吨）</t>
  </si>
  <si>
    <t>城镇居民在外稻谷口粮总消费量（万吨）</t>
  </si>
  <si>
    <t>CRUSH DEMAND</t>
  </si>
  <si>
    <t>OTHER DEMAND</t>
  </si>
  <si>
    <t>总人口（千人）</t>
  </si>
  <si>
    <t>汇率</t>
  </si>
  <si>
    <t>人均GDP 元</t>
  </si>
  <si>
    <t>PER CAPITA GDP</t>
  </si>
  <si>
    <t>年度增长率</t>
  </si>
  <si>
    <t>种植业的排放当量万吨</t>
  </si>
  <si>
    <t>CROP EMISSION</t>
  </si>
  <si>
    <t>养殖业的排放当量万吨</t>
  </si>
  <si>
    <t>LIVESTOCK EMISSION</t>
  </si>
  <si>
    <t>co2排放当量万吨</t>
  </si>
  <si>
    <t>TOTAL EMISSION</t>
  </si>
  <si>
    <t>TOTAL POPULATION</t>
  </si>
  <si>
    <t>城镇人口</t>
  </si>
  <si>
    <t>URBAN POPULATION</t>
  </si>
  <si>
    <t>城镇化率</t>
  </si>
  <si>
    <t>URBANIZATION RATE</t>
  </si>
  <si>
    <t>每人每天摄入量</t>
  </si>
  <si>
    <t>膳食能量</t>
  </si>
  <si>
    <t>蛋白质</t>
  </si>
  <si>
    <t>protein</t>
  </si>
  <si>
    <t>脂肪</t>
  </si>
  <si>
    <t>fat</t>
  </si>
  <si>
    <t>碳水化合物</t>
  </si>
  <si>
    <t>CARBOHYDRATE</t>
  </si>
  <si>
    <t>膳食能量构成</t>
  </si>
  <si>
    <t>ENERGY FROM PROTEIN</t>
  </si>
  <si>
    <t>ENERGY FROM FAT</t>
  </si>
  <si>
    <t>ENERGY FROM CARBOHYDRATE</t>
  </si>
  <si>
    <t>植物类食物</t>
  </si>
  <si>
    <t>ENERGY FROM PLANT</t>
  </si>
  <si>
    <t>油脂类食物</t>
  </si>
  <si>
    <t>ENERGY FROM OIL</t>
  </si>
  <si>
    <t>动物类食物</t>
  </si>
  <si>
    <t>ENERGY FROM ANIMAL</t>
  </si>
  <si>
    <t>蛋白质构成</t>
  </si>
  <si>
    <t>PROTEIN FROM PLANT</t>
  </si>
  <si>
    <t>PROTEIN FROM ANIMAL</t>
  </si>
  <si>
    <r>
      <rPr>
        <sz val="11"/>
        <color indexed="8"/>
        <rFont val="微软雅黑"/>
        <charset val="134"/>
      </rPr>
      <t>种植面积（万公顷）</t>
    </r>
  </si>
  <si>
    <r>
      <rPr>
        <sz val="11"/>
        <color indexed="8"/>
        <rFont val="微软雅黑"/>
        <charset val="134"/>
      </rPr>
      <t>单产（千克</t>
    </r>
    <r>
      <rPr>
        <sz val="11"/>
        <color indexed="8"/>
        <rFont val="Courier New"/>
        <family val="3"/>
      </rPr>
      <t>/</t>
    </r>
    <r>
      <rPr>
        <sz val="11"/>
        <color indexed="8"/>
        <rFont val="微软雅黑"/>
        <charset val="134"/>
      </rPr>
      <t>公顷）</t>
    </r>
  </si>
  <si>
    <r>
      <rPr>
        <sz val="11"/>
        <color indexed="8"/>
        <rFont val="微软雅黑"/>
        <charset val="134"/>
      </rPr>
      <t>总供给（万吨）</t>
    </r>
  </si>
  <si>
    <r>
      <rPr>
        <sz val="11"/>
        <color indexed="8"/>
        <rFont val="微软雅黑"/>
        <charset val="134"/>
      </rPr>
      <t>产量（万吨）</t>
    </r>
  </si>
  <si>
    <r>
      <rPr>
        <sz val="11"/>
        <color indexed="8"/>
        <rFont val="微软雅黑"/>
        <charset val="134"/>
      </rPr>
      <t>净进口（万吨）</t>
    </r>
  </si>
  <si>
    <r>
      <rPr>
        <sz val="11"/>
        <color indexed="8"/>
        <rFont val="微软雅黑"/>
        <charset val="134"/>
      </rPr>
      <t>总需求（万吨）</t>
    </r>
  </si>
  <si>
    <r>
      <rPr>
        <sz val="11"/>
        <color indexed="8"/>
        <rFont val="微软雅黑"/>
        <charset val="134"/>
      </rPr>
      <t>人均食用消费量（千克</t>
    </r>
    <r>
      <rPr>
        <sz val="11"/>
        <color indexed="8"/>
        <rFont val="Courier New"/>
        <family val="3"/>
      </rPr>
      <t>/</t>
    </r>
    <r>
      <rPr>
        <sz val="11"/>
        <color indexed="8"/>
        <rFont val="微软雅黑"/>
        <charset val="134"/>
      </rPr>
      <t>人）</t>
    </r>
  </si>
  <si>
    <r>
      <rPr>
        <sz val="11"/>
        <color indexed="8"/>
        <rFont val="微软雅黑"/>
        <charset val="134"/>
      </rPr>
      <t>种子消费量（万吨）</t>
    </r>
  </si>
  <si>
    <r>
      <rPr>
        <sz val="11"/>
        <color indexed="8"/>
        <rFont val="微软雅黑"/>
        <charset val="134"/>
      </rPr>
      <t>饲料消费量（万吨）</t>
    </r>
  </si>
  <si>
    <r>
      <rPr>
        <sz val="11"/>
        <color indexed="8"/>
        <rFont val="微软雅黑"/>
        <charset val="134"/>
      </rPr>
      <t>加工消费量（万吨）</t>
    </r>
  </si>
  <si>
    <r>
      <rPr>
        <sz val="11"/>
        <color rgb="FF000000"/>
        <rFont val="微软雅黑"/>
        <charset val="134"/>
      </rPr>
      <t>损耗和浪费（万吨）</t>
    </r>
  </si>
  <si>
    <r>
      <rPr>
        <sz val="11"/>
        <color rgb="FF000000"/>
        <rFont val="微软雅黑"/>
        <charset val="134"/>
      </rPr>
      <t>库存变化（万吨）</t>
    </r>
  </si>
  <si>
    <r>
      <rPr>
        <sz val="11"/>
        <color indexed="8"/>
        <rFont val="微软雅黑"/>
        <charset val="134"/>
      </rPr>
      <t>国内消费需求（万吨）</t>
    </r>
  </si>
  <si>
    <r>
      <rPr>
        <sz val="11"/>
        <color indexed="8"/>
        <rFont val="微软雅黑"/>
        <charset val="134"/>
      </rPr>
      <t>膳食能量（千卡）</t>
    </r>
  </si>
  <si>
    <r>
      <rPr>
        <sz val="11"/>
        <color indexed="8"/>
        <rFont val="微软雅黑"/>
        <charset val="134"/>
      </rPr>
      <t>食物消费需求（万吨）</t>
    </r>
  </si>
  <si>
    <r>
      <rPr>
        <sz val="11"/>
        <color rgb="FF000000"/>
        <rFont val="微软雅黑"/>
        <charset val="134"/>
      </rPr>
      <t>碳排放（万吨）</t>
    </r>
  </si>
  <si>
    <r>
      <rPr>
        <sz val="11"/>
        <color indexed="8"/>
        <rFont val="宋体"/>
        <charset val="134"/>
      </rPr>
      <t>种植面积（万公顷）</t>
    </r>
  </si>
  <si>
    <r>
      <rPr>
        <sz val="11"/>
        <color indexed="8"/>
        <rFont val="宋体"/>
        <charset val="134"/>
      </rPr>
      <t>单产（千克</t>
    </r>
    <r>
      <rPr>
        <sz val="11"/>
        <color indexed="8"/>
        <rFont val="Courier New"/>
        <family val="3"/>
      </rPr>
      <t>/</t>
    </r>
    <r>
      <rPr>
        <sz val="11"/>
        <color indexed="8"/>
        <rFont val="宋体"/>
        <charset val="134"/>
      </rPr>
      <t>公顷）</t>
    </r>
  </si>
  <si>
    <r>
      <rPr>
        <sz val="11"/>
        <color indexed="8"/>
        <rFont val="宋体"/>
        <charset val="134"/>
      </rPr>
      <t>总供给（万吨）</t>
    </r>
  </si>
  <si>
    <r>
      <rPr>
        <sz val="11"/>
        <color indexed="8"/>
        <rFont val="宋体"/>
        <charset val="134"/>
      </rPr>
      <t>产量（万吨）</t>
    </r>
  </si>
  <si>
    <r>
      <rPr>
        <sz val="11"/>
        <color indexed="8"/>
        <rFont val="宋体"/>
        <charset val="134"/>
      </rPr>
      <t>净进口（万吨）</t>
    </r>
  </si>
  <si>
    <r>
      <rPr>
        <sz val="11"/>
        <color indexed="8"/>
        <rFont val="宋体"/>
        <charset val="134"/>
      </rPr>
      <t>总需求（万吨）</t>
    </r>
  </si>
  <si>
    <r>
      <rPr>
        <sz val="11"/>
        <color indexed="8"/>
        <rFont val="宋体"/>
        <charset val="134"/>
      </rPr>
      <t>人均食用消费量（千克</t>
    </r>
    <r>
      <rPr>
        <sz val="11"/>
        <color indexed="8"/>
        <rFont val="Courier New"/>
        <family val="3"/>
      </rPr>
      <t>/</t>
    </r>
    <r>
      <rPr>
        <sz val="11"/>
        <color indexed="8"/>
        <rFont val="宋体"/>
        <charset val="134"/>
      </rPr>
      <t>人）</t>
    </r>
  </si>
  <si>
    <r>
      <rPr>
        <sz val="11"/>
        <color indexed="8"/>
        <rFont val="宋体"/>
        <charset val="134"/>
      </rPr>
      <t>种子消费量（万吨）</t>
    </r>
  </si>
  <si>
    <r>
      <rPr>
        <sz val="11"/>
        <color indexed="8"/>
        <rFont val="宋体"/>
        <charset val="134"/>
      </rPr>
      <t>食物消费需求（万吨）</t>
    </r>
  </si>
  <si>
    <r>
      <rPr>
        <sz val="11"/>
        <color indexed="8"/>
        <rFont val="宋体"/>
        <charset val="134"/>
      </rPr>
      <t>饲料消费量（万吨）</t>
    </r>
  </si>
  <si>
    <r>
      <rPr>
        <sz val="11"/>
        <color indexed="8"/>
        <rFont val="宋体"/>
        <charset val="134"/>
      </rPr>
      <t>加工消费量（万吨）</t>
    </r>
  </si>
  <si>
    <r>
      <rPr>
        <sz val="11"/>
        <color rgb="FF000000"/>
        <rFont val="宋体"/>
        <charset val="134"/>
      </rPr>
      <t>损耗和浪费（万吨）</t>
    </r>
  </si>
  <si>
    <r>
      <rPr>
        <sz val="11"/>
        <color rgb="FF000000"/>
        <rFont val="宋体"/>
        <charset val="134"/>
      </rPr>
      <t>库存变化（万吨）</t>
    </r>
  </si>
  <si>
    <r>
      <rPr>
        <sz val="11"/>
        <color indexed="8"/>
        <rFont val="宋体"/>
        <charset val="134"/>
      </rPr>
      <t>国内消费需求（万吨）</t>
    </r>
  </si>
  <si>
    <r>
      <rPr>
        <sz val="11"/>
        <color indexed="8"/>
        <rFont val="宋体"/>
        <charset val="134"/>
      </rPr>
      <t>膳食能量（千卡）</t>
    </r>
  </si>
  <si>
    <r>
      <rPr>
        <sz val="11"/>
        <color rgb="FF000000"/>
        <rFont val="宋体"/>
        <charset val="134"/>
      </rPr>
      <t>碳排放（万吨）</t>
    </r>
  </si>
  <si>
    <r>
      <rPr>
        <sz val="11"/>
        <color indexed="8"/>
        <rFont val="宋体"/>
        <charset val="134"/>
      </rPr>
      <t>总供给</t>
    </r>
  </si>
  <si>
    <r>
      <rPr>
        <sz val="11"/>
        <color indexed="8"/>
        <rFont val="宋体"/>
        <charset val="134"/>
      </rPr>
      <t>玉米产量（万吨）</t>
    </r>
  </si>
  <si>
    <r>
      <rPr>
        <sz val="11"/>
        <color indexed="8"/>
        <rFont val="宋体"/>
        <charset val="134"/>
      </rPr>
      <t>玉米种植面积（万公顷）</t>
    </r>
  </si>
  <si>
    <r>
      <rPr>
        <sz val="11"/>
        <color indexed="8"/>
        <rFont val="宋体"/>
        <charset val="134"/>
      </rPr>
      <t>玉米单产（千克</t>
    </r>
    <r>
      <rPr>
        <sz val="11"/>
        <color indexed="8"/>
        <rFont val="Courier New"/>
        <family val="3"/>
      </rPr>
      <t>/</t>
    </r>
    <r>
      <rPr>
        <sz val="11"/>
        <color indexed="8"/>
        <rFont val="宋体"/>
        <charset val="134"/>
      </rPr>
      <t>公顷）</t>
    </r>
  </si>
  <si>
    <r>
      <rPr>
        <sz val="11"/>
        <color indexed="8"/>
        <rFont val="宋体"/>
        <charset val="134"/>
      </rPr>
      <t>玉米净进口</t>
    </r>
  </si>
  <si>
    <r>
      <rPr>
        <sz val="11"/>
        <color indexed="8"/>
        <rFont val="宋体"/>
        <charset val="134"/>
      </rPr>
      <t>玉米总需求（万吨）</t>
    </r>
  </si>
  <si>
    <r>
      <rPr>
        <sz val="11"/>
        <color indexed="8"/>
        <rFont val="宋体"/>
        <charset val="134"/>
      </rPr>
      <t>玉米人均消费量（千克</t>
    </r>
    <r>
      <rPr>
        <sz val="11"/>
        <color indexed="8"/>
        <rFont val="Courier New"/>
        <family val="3"/>
      </rPr>
      <t>/</t>
    </r>
    <r>
      <rPr>
        <sz val="11"/>
        <color indexed="8"/>
        <rFont val="宋体"/>
        <charset val="134"/>
      </rPr>
      <t>人）</t>
    </r>
  </si>
  <si>
    <r>
      <rPr>
        <sz val="11"/>
        <color indexed="8"/>
        <rFont val="宋体"/>
        <charset val="134"/>
      </rPr>
      <t>农村居民在家人均玉米消费量（千克</t>
    </r>
    <r>
      <rPr>
        <sz val="11"/>
        <color indexed="8"/>
        <rFont val="Courier New"/>
        <family val="3"/>
      </rPr>
      <t>/</t>
    </r>
    <r>
      <rPr>
        <sz val="11"/>
        <color indexed="8"/>
        <rFont val="宋体"/>
        <charset val="134"/>
      </rPr>
      <t>人）</t>
    </r>
  </si>
  <si>
    <t xml:space="preserve">     </t>
  </si>
  <si>
    <r>
      <rPr>
        <sz val="11"/>
        <color indexed="8"/>
        <rFont val="宋体"/>
        <charset val="134"/>
      </rPr>
      <t>玉米饲料消费量（万吨）</t>
    </r>
  </si>
  <si>
    <r>
      <rPr>
        <sz val="11"/>
        <color indexed="8"/>
        <rFont val="宋体"/>
        <charset val="134"/>
      </rPr>
      <t>农村居民在外人均玉米消费量（千克</t>
    </r>
    <r>
      <rPr>
        <sz val="11"/>
        <color indexed="8"/>
        <rFont val="Courier New"/>
        <family val="3"/>
      </rPr>
      <t>/</t>
    </r>
    <r>
      <rPr>
        <sz val="11"/>
        <color indexed="8"/>
        <rFont val="宋体"/>
        <charset val="134"/>
      </rPr>
      <t>人）</t>
    </r>
  </si>
  <si>
    <r>
      <rPr>
        <sz val="11"/>
        <color indexed="8"/>
        <rFont val="宋体"/>
        <charset val="134"/>
      </rPr>
      <t>城镇居民在家人均玉米消费量（千克</t>
    </r>
    <r>
      <rPr>
        <sz val="11"/>
        <color indexed="8"/>
        <rFont val="Courier New"/>
        <family val="3"/>
      </rPr>
      <t>/</t>
    </r>
    <r>
      <rPr>
        <sz val="11"/>
        <color indexed="8"/>
        <rFont val="宋体"/>
        <charset val="134"/>
      </rPr>
      <t>人）</t>
    </r>
  </si>
  <si>
    <r>
      <rPr>
        <sz val="11"/>
        <color indexed="8"/>
        <rFont val="宋体"/>
        <charset val="134"/>
      </rPr>
      <t>城镇居民在外人均玉米消费量（千克</t>
    </r>
    <r>
      <rPr>
        <sz val="11"/>
        <color indexed="8"/>
        <rFont val="Courier New"/>
        <family val="3"/>
      </rPr>
      <t>/</t>
    </r>
    <r>
      <rPr>
        <sz val="11"/>
        <color indexed="8"/>
        <rFont val="宋体"/>
        <charset val="134"/>
      </rPr>
      <t>人）</t>
    </r>
  </si>
  <si>
    <r>
      <rPr>
        <sz val="11"/>
        <color indexed="8"/>
        <rFont val="宋体"/>
        <charset val="134"/>
      </rPr>
      <t>农村居民玉米口粮总消费量（万吨）</t>
    </r>
  </si>
  <si>
    <r>
      <rPr>
        <sz val="11"/>
        <color indexed="8"/>
        <rFont val="宋体"/>
        <charset val="134"/>
      </rPr>
      <t>城镇居民玉米口粮总消费量（万吨）</t>
    </r>
  </si>
  <si>
    <r>
      <rPr>
        <sz val="11"/>
        <color indexed="8"/>
        <rFont val="宋体"/>
        <charset val="134"/>
      </rPr>
      <t>玉米种子消费量（万吨）</t>
    </r>
  </si>
  <si>
    <r>
      <rPr>
        <sz val="11"/>
        <color indexed="8"/>
        <rFont val="宋体"/>
        <charset val="134"/>
      </rPr>
      <t>玉米加工消费量（万吨）</t>
    </r>
  </si>
  <si>
    <r>
      <rPr>
        <sz val="11"/>
        <color indexed="8"/>
        <rFont val="宋体"/>
        <charset val="134"/>
      </rPr>
      <t>玉米损耗量（万吨）</t>
    </r>
  </si>
  <si>
    <r>
      <rPr>
        <sz val="11"/>
        <color indexed="8"/>
        <rFont val="宋体"/>
        <charset val="134"/>
      </rPr>
      <t>农村居民人均玉米消费量（千克</t>
    </r>
    <r>
      <rPr>
        <sz val="11"/>
        <color indexed="8"/>
        <rFont val="Courier New"/>
        <family val="3"/>
      </rPr>
      <t>/</t>
    </r>
    <r>
      <rPr>
        <sz val="11"/>
        <color indexed="8"/>
        <rFont val="宋体"/>
        <charset val="134"/>
      </rPr>
      <t>人）</t>
    </r>
  </si>
  <si>
    <r>
      <rPr>
        <sz val="11"/>
        <color indexed="8"/>
        <rFont val="宋体"/>
        <charset val="134"/>
      </rPr>
      <t>城镇居民人均玉米消费量（千克</t>
    </r>
    <r>
      <rPr>
        <sz val="11"/>
        <color indexed="8"/>
        <rFont val="Courier New"/>
        <family val="3"/>
      </rPr>
      <t>/</t>
    </r>
    <r>
      <rPr>
        <sz val="11"/>
        <color indexed="8"/>
        <rFont val="宋体"/>
        <charset val="134"/>
      </rPr>
      <t>人）</t>
    </r>
  </si>
  <si>
    <r>
      <rPr>
        <sz val="11"/>
        <color indexed="8"/>
        <rFont val="宋体"/>
        <charset val="134"/>
      </rPr>
      <t>农村居民在家玉米口粮总消费量（万吨）</t>
    </r>
  </si>
  <si>
    <r>
      <rPr>
        <sz val="11"/>
        <color indexed="8"/>
        <rFont val="宋体"/>
        <charset val="134"/>
      </rPr>
      <t>农村居民在外玉米口粮总消费量（万吨）</t>
    </r>
  </si>
  <si>
    <r>
      <rPr>
        <sz val="11"/>
        <color indexed="8"/>
        <rFont val="宋体"/>
        <charset val="134"/>
      </rPr>
      <t>城镇居民在家玉米口粮总消费量（万吨）</t>
    </r>
  </si>
  <si>
    <r>
      <rPr>
        <sz val="11"/>
        <color indexed="8"/>
        <rFont val="宋体"/>
        <charset val="134"/>
      </rPr>
      <t>城镇居民在外玉米口粮总消费量（万吨）</t>
    </r>
  </si>
  <si>
    <r>
      <rPr>
        <sz val="11"/>
        <color indexed="8"/>
        <rFont val="宋体"/>
        <charset val="134"/>
      </rPr>
      <t>大豆种植面积（万公顷）</t>
    </r>
  </si>
  <si>
    <r>
      <rPr>
        <sz val="11"/>
        <color indexed="8"/>
        <rFont val="宋体"/>
        <charset val="134"/>
      </rPr>
      <t>大豆单产（千克</t>
    </r>
    <r>
      <rPr>
        <sz val="11"/>
        <color indexed="8"/>
        <rFont val="Courier New"/>
        <family val="3"/>
      </rPr>
      <t>/</t>
    </r>
    <r>
      <rPr>
        <sz val="11"/>
        <color indexed="8"/>
        <rFont val="宋体"/>
        <charset val="134"/>
      </rPr>
      <t>公顷）</t>
    </r>
  </si>
  <si>
    <r>
      <rPr>
        <sz val="11"/>
        <color indexed="8"/>
        <rFont val="宋体"/>
        <charset val="134"/>
      </rPr>
      <t>大豆产量（万吨）</t>
    </r>
  </si>
  <si>
    <r>
      <rPr>
        <sz val="11"/>
        <color indexed="8"/>
        <rFont val="宋体"/>
        <charset val="134"/>
      </rPr>
      <t>大豆净进口</t>
    </r>
  </si>
  <si>
    <r>
      <rPr>
        <sz val="11"/>
        <color indexed="8"/>
        <rFont val="宋体"/>
        <charset val="134"/>
      </rPr>
      <t>大豆总需求（万吨）</t>
    </r>
  </si>
  <si>
    <r>
      <rPr>
        <sz val="11"/>
        <color indexed="8"/>
        <rFont val="宋体"/>
        <charset val="134"/>
      </rPr>
      <t>大豆人均消费量（千克</t>
    </r>
    <r>
      <rPr>
        <sz val="11"/>
        <color indexed="8"/>
        <rFont val="Courier New"/>
        <family val="3"/>
      </rPr>
      <t>/</t>
    </r>
    <r>
      <rPr>
        <sz val="11"/>
        <color indexed="8"/>
        <rFont val="宋体"/>
        <charset val="134"/>
      </rPr>
      <t>人）</t>
    </r>
  </si>
  <si>
    <r>
      <rPr>
        <sz val="11"/>
        <color indexed="8"/>
        <rFont val="宋体"/>
        <charset val="134"/>
      </rPr>
      <t>农村居民在家人均大豆消费量（千克</t>
    </r>
    <r>
      <rPr>
        <sz val="11"/>
        <color indexed="8"/>
        <rFont val="Courier New"/>
        <family val="3"/>
      </rPr>
      <t>/</t>
    </r>
    <r>
      <rPr>
        <sz val="11"/>
        <color indexed="8"/>
        <rFont val="宋体"/>
        <charset val="134"/>
      </rPr>
      <t>人）</t>
    </r>
  </si>
  <si>
    <r>
      <rPr>
        <sz val="11"/>
        <color indexed="8"/>
        <rFont val="宋体"/>
        <charset val="134"/>
      </rPr>
      <t>城镇居民在家人均大豆消费量（千克</t>
    </r>
    <r>
      <rPr>
        <sz val="11"/>
        <color indexed="8"/>
        <rFont val="Courier New"/>
        <family val="3"/>
      </rPr>
      <t>/</t>
    </r>
    <r>
      <rPr>
        <sz val="11"/>
        <color indexed="8"/>
        <rFont val="宋体"/>
        <charset val="134"/>
      </rPr>
      <t>人）</t>
    </r>
  </si>
  <si>
    <r>
      <rPr>
        <sz val="11"/>
        <color indexed="8"/>
        <rFont val="宋体"/>
        <charset val="134"/>
      </rPr>
      <t>农村居民大豆口粮总消费量（万吨）</t>
    </r>
  </si>
  <si>
    <r>
      <rPr>
        <sz val="11"/>
        <color indexed="8"/>
        <rFont val="宋体"/>
        <charset val="134"/>
      </rPr>
      <t>城镇居民大豆口粮总消费量（万吨）</t>
    </r>
  </si>
  <si>
    <r>
      <rPr>
        <sz val="11"/>
        <color indexed="8"/>
        <rFont val="宋体"/>
        <charset val="134"/>
      </rPr>
      <t>大豆加工消费量（万吨）</t>
    </r>
  </si>
  <si>
    <r>
      <rPr>
        <sz val="11"/>
        <color indexed="8"/>
        <rFont val="宋体"/>
        <charset val="134"/>
      </rPr>
      <t>大豆损耗量（万吨）</t>
    </r>
  </si>
  <si>
    <r>
      <rPr>
        <sz val="11"/>
        <color indexed="8"/>
        <rFont val="宋体"/>
        <charset val="134"/>
      </rPr>
      <t>大豆库存变化</t>
    </r>
    <r>
      <rPr>
        <sz val="11"/>
        <color indexed="8"/>
        <rFont val="Courier New"/>
        <family val="3"/>
      </rPr>
      <t>(</t>
    </r>
    <r>
      <rPr>
        <sz val="11"/>
        <color indexed="8"/>
        <rFont val="宋体"/>
        <charset val="134"/>
      </rPr>
      <t>万吨）</t>
    </r>
  </si>
  <si>
    <r>
      <rPr>
        <sz val="11"/>
        <color indexed="8"/>
        <rFont val="宋体"/>
        <charset val="134"/>
      </rPr>
      <t>大豆消费者价格（元</t>
    </r>
    <r>
      <rPr>
        <sz val="11"/>
        <color indexed="8"/>
        <rFont val="Courier New"/>
        <family val="3"/>
      </rPr>
      <t>/</t>
    </r>
    <r>
      <rPr>
        <sz val="11"/>
        <color indexed="8"/>
        <rFont val="宋体"/>
        <charset val="134"/>
      </rPr>
      <t>吨）</t>
    </r>
  </si>
  <si>
    <r>
      <rPr>
        <sz val="11"/>
        <color indexed="8"/>
        <rFont val="宋体"/>
        <charset val="134"/>
      </rPr>
      <t>大豆生产者价格（元</t>
    </r>
    <r>
      <rPr>
        <sz val="11"/>
        <color indexed="8"/>
        <rFont val="Courier New"/>
        <family val="3"/>
      </rPr>
      <t>/</t>
    </r>
    <r>
      <rPr>
        <sz val="11"/>
        <color indexed="8"/>
        <rFont val="宋体"/>
        <charset val="134"/>
      </rPr>
      <t>吨）</t>
    </r>
  </si>
  <si>
    <r>
      <rPr>
        <sz val="11"/>
        <color indexed="8"/>
        <rFont val="宋体"/>
        <charset val="134"/>
      </rPr>
      <t>食物总需求</t>
    </r>
  </si>
  <si>
    <r>
      <rPr>
        <sz val="11"/>
        <color indexed="8"/>
        <rFont val="宋体"/>
        <charset val="134"/>
      </rPr>
      <t>农村居民人均大豆消费量（千克</t>
    </r>
    <r>
      <rPr>
        <sz val="11"/>
        <color indexed="8"/>
        <rFont val="Courier New"/>
        <family val="3"/>
      </rPr>
      <t>/</t>
    </r>
    <r>
      <rPr>
        <sz val="11"/>
        <color indexed="8"/>
        <rFont val="宋体"/>
        <charset val="134"/>
      </rPr>
      <t>人）</t>
    </r>
  </si>
  <si>
    <r>
      <rPr>
        <sz val="11"/>
        <color indexed="8"/>
        <rFont val="宋体"/>
        <charset val="134"/>
      </rPr>
      <t>城镇居民人均大豆消费量（千克</t>
    </r>
    <r>
      <rPr>
        <sz val="11"/>
        <color indexed="8"/>
        <rFont val="Courier New"/>
        <family val="3"/>
      </rPr>
      <t>/</t>
    </r>
    <r>
      <rPr>
        <sz val="11"/>
        <color indexed="8"/>
        <rFont val="宋体"/>
        <charset val="134"/>
      </rPr>
      <t>人）</t>
    </r>
  </si>
  <si>
    <r>
      <rPr>
        <sz val="11"/>
        <color indexed="8"/>
        <rFont val="宋体"/>
        <charset val="134"/>
      </rPr>
      <t>农村居民在家大豆口粮总消费量（万吨）</t>
    </r>
  </si>
  <si>
    <r>
      <rPr>
        <sz val="11"/>
        <color indexed="8"/>
        <rFont val="宋体"/>
        <charset val="134"/>
      </rPr>
      <t>城镇居民在家大豆口粮总消费量（万吨）</t>
    </r>
  </si>
  <si>
    <t>NET EXPORT</t>
  </si>
  <si>
    <t>RICE</t>
  </si>
  <si>
    <t>WHEA</t>
  </si>
  <si>
    <t>MAIZ</t>
  </si>
  <si>
    <t>POTA</t>
  </si>
  <si>
    <t>SORG</t>
  </si>
  <si>
    <t>BARL</t>
  </si>
  <si>
    <t>SOYS</t>
  </si>
  <si>
    <t>SOYO</t>
  </si>
  <si>
    <t>SOYM</t>
  </si>
  <si>
    <t>RAPS</t>
  </si>
  <si>
    <t>RAPO</t>
  </si>
  <si>
    <t>RAPM</t>
  </si>
  <si>
    <t>GRDS</t>
  </si>
  <si>
    <t>GRDO</t>
  </si>
  <si>
    <t>GRDM</t>
  </si>
  <si>
    <t>COTT</t>
  </si>
  <si>
    <t>SUGA</t>
  </si>
  <si>
    <t>SUGC</t>
  </si>
  <si>
    <t>SUGB</t>
  </si>
  <si>
    <t>FRTO</t>
  </si>
  <si>
    <t>VEGT</t>
  </si>
  <si>
    <t>PIGM</t>
  </si>
  <si>
    <t>CATM</t>
  </si>
  <si>
    <t>SHGM</t>
  </si>
  <si>
    <t>CHKM</t>
  </si>
  <si>
    <t>EGGS</t>
  </si>
  <si>
    <t>MILK</t>
  </si>
  <si>
    <t>FISH</t>
  </si>
  <si>
    <t>OTGR</t>
  </si>
  <si>
    <t>sim1动态弹性</t>
  </si>
  <si>
    <t>sim2高人口</t>
  </si>
  <si>
    <t>能量</t>
  </si>
  <si>
    <t>可食比例</t>
  </si>
  <si>
    <t xml:space="preserve">稻谷 </t>
  </si>
  <si>
    <t>小麦</t>
  </si>
  <si>
    <t>玉米</t>
  </si>
  <si>
    <t>其他粮食</t>
  </si>
  <si>
    <t>大豆</t>
  </si>
  <si>
    <t>大豆油</t>
  </si>
  <si>
    <t>菜籽油</t>
  </si>
  <si>
    <t>花生</t>
  </si>
  <si>
    <t>花生油</t>
  </si>
  <si>
    <t>食糖</t>
  </si>
  <si>
    <t>APPL</t>
  </si>
  <si>
    <t>水果</t>
  </si>
  <si>
    <t>蔬菜</t>
  </si>
  <si>
    <t>猪肉</t>
  </si>
  <si>
    <t>牛肉</t>
  </si>
  <si>
    <t>羊肉</t>
  </si>
  <si>
    <t>鸡肉</t>
  </si>
  <si>
    <t>鸡蛋</t>
  </si>
  <si>
    <t>奶</t>
  </si>
  <si>
    <t>水产品</t>
  </si>
  <si>
    <t>下限</t>
  </si>
  <si>
    <t>上限</t>
  </si>
  <si>
    <t>平均</t>
  </si>
  <si>
    <t>油</t>
  </si>
  <si>
    <t>G/DAY</t>
  </si>
  <si>
    <t>奶及奶制品</t>
  </si>
  <si>
    <t>大豆及坚果类</t>
  </si>
  <si>
    <t>蛋类</t>
  </si>
  <si>
    <t>蔬菜类</t>
  </si>
  <si>
    <t>水果类</t>
  </si>
  <si>
    <t>谷类</t>
  </si>
  <si>
    <t>薯类</t>
  </si>
  <si>
    <t>kcal/day</t>
  </si>
  <si>
    <t>糖</t>
  </si>
  <si>
    <t>蔬菜和水果</t>
  </si>
  <si>
    <t>油脂</t>
  </si>
  <si>
    <t>肉类</t>
  </si>
  <si>
    <t>奶类和蛋类</t>
  </si>
  <si>
    <t>pr: g/day</t>
  </si>
  <si>
    <t>fat: g/day</t>
  </si>
  <si>
    <t>植物</t>
  </si>
  <si>
    <t>食用油</t>
  </si>
  <si>
    <t>动物性食物</t>
  </si>
  <si>
    <t>ch: g/day</t>
  </si>
  <si>
    <t>功能比</t>
  </si>
  <si>
    <t>SIM1</t>
  </si>
  <si>
    <t>SIM2</t>
  </si>
  <si>
    <t>SIM3</t>
  </si>
  <si>
    <t>SIM4</t>
  </si>
  <si>
    <t>2018</t>
  </si>
  <si>
    <t>2020</t>
  </si>
  <si>
    <t>2021</t>
  </si>
  <si>
    <t>2022</t>
  </si>
  <si>
    <t>2023</t>
  </si>
  <si>
    <t>家庭消费的十种食物分类及营养成分含量表（每100克食物）</t>
  </si>
  <si>
    <t>食物组</t>
  </si>
  <si>
    <t>备注</t>
  </si>
  <si>
    <t>carbohydrate</t>
  </si>
  <si>
    <t>kacl</t>
  </si>
  <si>
    <t>克</t>
  </si>
  <si>
    <t>%</t>
  </si>
  <si>
    <t>稻谷</t>
  </si>
  <si>
    <t>（1）谷物</t>
  </si>
  <si>
    <t>稻米（均值）</t>
  </si>
  <si>
    <t>小麦粉（标准粉）</t>
  </si>
  <si>
    <t>（2）油脂类</t>
  </si>
  <si>
    <t>食用植物油</t>
  </si>
  <si>
    <t>均值</t>
  </si>
  <si>
    <t>GRAIN</t>
  </si>
  <si>
    <t>食用动物油</t>
  </si>
  <si>
    <t>（3）肉类</t>
  </si>
  <si>
    <t>猪肉（廋）</t>
  </si>
  <si>
    <t>猪肉及制品均值</t>
  </si>
  <si>
    <t>牛肉（廋）</t>
  </si>
  <si>
    <t>牛肉及制品均值</t>
  </si>
  <si>
    <t>羊肉及制品均值</t>
  </si>
  <si>
    <t>OIL</t>
  </si>
  <si>
    <t>（4）禽类</t>
  </si>
  <si>
    <t>鸡</t>
  </si>
  <si>
    <t>鸡肉及制品均值</t>
  </si>
  <si>
    <t>鸭</t>
  </si>
  <si>
    <t>鸭肉及制品均值</t>
  </si>
  <si>
    <t>（5）蛋类</t>
  </si>
  <si>
    <t>鸡蛋类均值</t>
  </si>
  <si>
    <t>鸭蛋</t>
  </si>
  <si>
    <t>鸭蛋类均值</t>
  </si>
  <si>
    <t>（6）水产品</t>
  </si>
  <si>
    <t>鱼</t>
  </si>
  <si>
    <t>白条鱼</t>
  </si>
  <si>
    <t>虾</t>
  </si>
  <si>
    <t>白米虾</t>
  </si>
  <si>
    <t>（7）奶制品</t>
  </si>
  <si>
    <t>鲜乳品</t>
  </si>
  <si>
    <t>牛乳均值</t>
  </si>
  <si>
    <t>奶粉</t>
  </si>
  <si>
    <t>牛乳粉</t>
  </si>
  <si>
    <t>酸奶</t>
  </si>
  <si>
    <t>酸奶均值</t>
  </si>
  <si>
    <t>（8）蔬菜</t>
  </si>
  <si>
    <t>鲜菜</t>
  </si>
  <si>
    <t>主要蔬菜类均值</t>
  </si>
  <si>
    <t>（9）水果</t>
  </si>
  <si>
    <t>主要水果类均值</t>
  </si>
  <si>
    <t>（10）淀粉及薯类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</si>
</sst>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 * #,##0.00_ ;_ * \-#,##0.00_ ;_ * &quot;-&quot;??_ ;_ @_ "/>
    <numFmt numFmtId="176" formatCode="0.00_ "/>
    <numFmt numFmtId="177" formatCode="_ * #,##0.000_ ;_ * \-#,##0.000_ ;_ * &quot;-&quot;??_ ;_ @_ "/>
    <numFmt numFmtId="178" formatCode="0.000_ "/>
    <numFmt numFmtId="179" formatCode="0.0%"/>
    <numFmt numFmtId="180" formatCode="0.00_);[Red]\(0.00\)"/>
    <numFmt numFmtId="181" formatCode="0_);[Red]\(0\)"/>
    <numFmt numFmtId="182" formatCode="0.0"/>
  </numFmts>
  <fonts count="15" x14ac:knownFonts="1">
    <font>
      <sz val="11"/>
      <color indexed="8"/>
      <name val="宋体"/>
      <charset val="134"/>
    </font>
    <font>
      <b/>
      <sz val="11"/>
      <color theme="1"/>
      <name val="宋体"/>
      <charset val="134"/>
      <scheme val="minor"/>
    </font>
    <font>
      <sz val="11"/>
      <color rgb="FFFF0000"/>
      <name val="宋体"/>
      <charset val="134"/>
    </font>
    <font>
      <sz val="11"/>
      <color theme="1"/>
      <name val="宋体"/>
      <charset val="134"/>
      <scheme val="minor"/>
    </font>
    <font>
      <sz val="11"/>
      <color indexed="8"/>
      <name val="Courier New"/>
      <family val="3"/>
    </font>
    <font>
      <sz val="10"/>
      <color rgb="FF000000"/>
      <name val="Courier New"/>
      <family val="3"/>
    </font>
    <font>
      <sz val="11"/>
      <name val="Courier New"/>
      <family val="3"/>
    </font>
    <font>
      <sz val="11"/>
      <color rgb="FF000000"/>
      <name val="Courier New"/>
      <family val="3"/>
    </font>
    <font>
      <sz val="12"/>
      <color theme="1"/>
      <name val="宋体"/>
      <charset val="134"/>
      <scheme val="minor"/>
    </font>
    <font>
      <sz val="11"/>
      <color rgb="FF000000"/>
      <name val="宋体"/>
      <charset val="134"/>
    </font>
    <font>
      <sz val="11"/>
      <color indexed="8"/>
      <name val="宋体"/>
      <charset val="134"/>
    </font>
    <font>
      <sz val="11"/>
      <color indexed="8"/>
      <name val="微软雅黑"/>
      <charset val="134"/>
    </font>
    <font>
      <sz val="11"/>
      <color rgb="FF000000"/>
      <name val="微软雅黑"/>
      <charset val="134"/>
    </font>
    <font>
      <sz val="9"/>
      <name val="宋体"/>
      <charset val="134"/>
    </font>
    <font>
      <sz val="9"/>
      <name val="宋体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32706686605426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</borders>
  <cellStyleXfs count="5">
    <xf numFmtId="0" fontId="0" fillId="0" borderId="0"/>
    <xf numFmtId="43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0" fontId="3" fillId="0" borderId="0"/>
    <xf numFmtId="43" fontId="3" fillId="0" borderId="0" applyFont="0" applyFill="0" applyBorder="0" applyAlignment="0" applyProtection="0"/>
  </cellStyleXfs>
  <cellXfs count="86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1" fillId="0" borderId="2" xfId="0" applyFont="1" applyBorder="1" applyAlignment="1">
      <alignment horizontal="center" vertical="center"/>
    </xf>
    <xf numFmtId="0" fontId="0" fillId="2" borderId="0" xfId="0" applyFill="1"/>
    <xf numFmtId="0" fontId="0" fillId="0" borderId="1" xfId="0" applyBorder="1" applyAlignment="1">
      <alignment horizontal="center" vertical="center"/>
    </xf>
    <xf numFmtId="176" fontId="0" fillId="0" borderId="1" xfId="0" applyNumberFormat="1" applyBorder="1" applyAlignment="1">
      <alignment vertical="center"/>
    </xf>
    <xf numFmtId="0" fontId="2" fillId="2" borderId="0" xfId="0" applyFont="1" applyFill="1"/>
    <xf numFmtId="0" fontId="2" fillId="0" borderId="0" xfId="0" applyFont="1"/>
    <xf numFmtId="0" fontId="0" fillId="3" borderId="0" xfId="0" applyFill="1"/>
    <xf numFmtId="0" fontId="2" fillId="3" borderId="0" xfId="0" applyFont="1" applyFill="1"/>
    <xf numFmtId="176" fontId="0" fillId="0" borderId="0" xfId="0" applyNumberFormat="1"/>
    <xf numFmtId="43" fontId="0" fillId="0" borderId="0" xfId="1" applyFont="1" applyAlignment="1"/>
    <xf numFmtId="177" fontId="0" fillId="0" borderId="0" xfId="0" applyNumberFormat="1"/>
    <xf numFmtId="10" fontId="0" fillId="0" borderId="0" xfId="2" applyNumberFormat="1" applyFont="1" applyAlignment="1"/>
    <xf numFmtId="178" fontId="0" fillId="0" borderId="0" xfId="0" applyNumberFormat="1"/>
    <xf numFmtId="178" fontId="0" fillId="2" borderId="0" xfId="0" applyNumberFormat="1" applyFill="1"/>
    <xf numFmtId="0" fontId="3" fillId="0" borderId="0" xfId="0" applyFont="1" applyAlignment="1">
      <alignment vertical="center"/>
    </xf>
    <xf numFmtId="179" fontId="0" fillId="0" borderId="0" xfId="2" applyNumberFormat="1" applyFont="1" applyAlignment="1"/>
    <xf numFmtId="0" fontId="3" fillId="0" borderId="0" xfId="3"/>
    <xf numFmtId="0" fontId="4" fillId="0" borderId="0" xfId="0" applyFont="1"/>
    <xf numFmtId="179" fontId="4" fillId="0" borderId="0" xfId="2" applyNumberFormat="1" applyFont="1" applyAlignment="1"/>
    <xf numFmtId="10" fontId="4" fillId="0" borderId="0" xfId="2" applyNumberFormat="1" applyFont="1" applyAlignment="1"/>
    <xf numFmtId="0" fontId="4" fillId="0" borderId="0" xfId="0" applyFont="1" applyAlignment="1">
      <alignment horizontal="center"/>
    </xf>
    <xf numFmtId="180" fontId="4" fillId="0" borderId="0" xfId="0" applyNumberFormat="1" applyFont="1"/>
    <xf numFmtId="2" fontId="4" fillId="0" borderId="0" xfId="0" applyNumberFormat="1" applyFont="1" applyAlignment="1">
      <alignment horizontal="right"/>
    </xf>
    <xf numFmtId="176" fontId="4" fillId="0" borderId="0" xfId="0" applyNumberFormat="1" applyFont="1" applyAlignment="1">
      <alignment horizontal="center"/>
    </xf>
    <xf numFmtId="176" fontId="4" fillId="0" borderId="0" xfId="0" applyNumberFormat="1" applyFont="1"/>
    <xf numFmtId="180" fontId="4" fillId="2" borderId="0" xfId="0" applyNumberFormat="1" applyFont="1" applyFill="1"/>
    <xf numFmtId="43" fontId="4" fillId="0" borderId="0" xfId="0" applyNumberFormat="1" applyFont="1"/>
    <xf numFmtId="179" fontId="4" fillId="0" borderId="0" xfId="2" applyNumberFormat="1" applyFont="1" applyFill="1" applyAlignment="1"/>
    <xf numFmtId="2" fontId="4" fillId="0" borderId="0" xfId="0" applyNumberFormat="1" applyFont="1" applyAlignment="1">
      <alignment horizontal="center"/>
    </xf>
    <xf numFmtId="2" fontId="0" fillId="0" borderId="0" xfId="0" applyNumberFormat="1" applyAlignment="1">
      <alignment horizontal="right"/>
    </xf>
    <xf numFmtId="0" fontId="4" fillId="0" borderId="0" xfId="0" applyFont="1" applyAlignment="1">
      <alignment vertical="center"/>
    </xf>
    <xf numFmtId="10" fontId="4" fillId="0" borderId="0" xfId="2" applyNumberFormat="1" applyFont="1" applyFill="1" applyAlignment="1"/>
    <xf numFmtId="176" fontId="4" fillId="0" borderId="0" xfId="0" applyNumberFormat="1" applyFont="1" applyAlignment="1">
      <alignment horizontal="right"/>
    </xf>
    <xf numFmtId="176" fontId="5" fillId="0" borderId="0" xfId="0" applyNumberFormat="1" applyFont="1" applyAlignment="1">
      <alignment horizontal="right" vertical="center"/>
    </xf>
    <xf numFmtId="1" fontId="4" fillId="0" borderId="0" xfId="0" applyNumberFormat="1" applyFont="1"/>
    <xf numFmtId="180" fontId="4" fillId="0" borderId="0" xfId="0" applyNumberFormat="1" applyFont="1" applyAlignment="1">
      <alignment horizontal="center"/>
    </xf>
    <xf numFmtId="180" fontId="4" fillId="0" borderId="0" xfId="0" applyNumberFormat="1" applyFont="1" applyAlignment="1">
      <alignment horizontal="right"/>
    </xf>
    <xf numFmtId="2" fontId="4" fillId="0" borderId="0" xfId="0" applyNumberFormat="1" applyFont="1"/>
    <xf numFmtId="0" fontId="6" fillId="2" borderId="0" xfId="0" applyFont="1" applyFill="1"/>
    <xf numFmtId="0" fontId="6" fillId="0" borderId="0" xfId="0" applyFont="1"/>
    <xf numFmtId="2" fontId="6" fillId="0" borderId="0" xfId="0" applyNumberFormat="1" applyFont="1" applyAlignment="1">
      <alignment horizontal="right"/>
    </xf>
    <xf numFmtId="176" fontId="6" fillId="0" borderId="0" xfId="0" applyNumberFormat="1" applyFont="1"/>
    <xf numFmtId="180" fontId="6" fillId="0" borderId="0" xfId="0" applyNumberFormat="1" applyFont="1"/>
    <xf numFmtId="180" fontId="6" fillId="2" borderId="0" xfId="0" applyNumberFormat="1" applyFont="1" applyFill="1"/>
    <xf numFmtId="181" fontId="4" fillId="0" borderId="0" xfId="0" applyNumberFormat="1" applyFont="1"/>
    <xf numFmtId="180" fontId="4" fillId="0" borderId="0" xfId="2" applyNumberFormat="1" applyFont="1" applyFill="1" applyAlignment="1"/>
    <xf numFmtId="43" fontId="4" fillId="0" borderId="0" xfId="1" applyFont="1" applyFill="1" applyAlignment="1"/>
    <xf numFmtId="176" fontId="7" fillId="0" borderId="0" xfId="0" applyNumberFormat="1" applyFont="1"/>
    <xf numFmtId="176" fontId="4" fillId="0" borderId="0" xfId="2" applyNumberFormat="1" applyFont="1" applyFill="1" applyAlignment="1"/>
    <xf numFmtId="176" fontId="4" fillId="0" borderId="0" xfId="1" applyNumberFormat="1" applyFont="1" applyFill="1" applyAlignment="1"/>
    <xf numFmtId="182" fontId="0" fillId="0" borderId="0" xfId="0" applyNumberFormat="1"/>
    <xf numFmtId="180" fontId="8" fillId="0" borderId="0" xfId="0" applyNumberFormat="1" applyFont="1" applyAlignment="1">
      <alignment vertical="center"/>
    </xf>
    <xf numFmtId="179" fontId="0" fillId="2" borderId="0" xfId="2" applyNumberFormat="1" applyFont="1" applyFill="1" applyAlignment="1"/>
    <xf numFmtId="176" fontId="0" fillId="2" borderId="0" xfId="0" applyNumberFormat="1" applyFill="1"/>
    <xf numFmtId="2" fontId="0" fillId="0" borderId="0" xfId="0" applyNumberFormat="1"/>
    <xf numFmtId="43" fontId="0" fillId="2" borderId="0" xfId="1" applyFont="1" applyFill="1" applyAlignment="1"/>
    <xf numFmtId="2" fontId="0" fillId="2" borderId="0" xfId="0" applyNumberFormat="1" applyFill="1" applyAlignment="1">
      <alignment horizontal="right"/>
    </xf>
    <xf numFmtId="2" fontId="0" fillId="2" borderId="0" xfId="0" applyNumberFormat="1" applyFill="1"/>
    <xf numFmtId="0" fontId="9" fillId="0" borderId="0" xfId="0" applyFont="1"/>
    <xf numFmtId="182" fontId="4" fillId="0" borderId="0" xfId="0" applyNumberFormat="1" applyFont="1"/>
    <xf numFmtId="179" fontId="4" fillId="2" borderId="0" xfId="2" applyNumberFormat="1" applyFont="1" applyFill="1" applyAlignment="1"/>
    <xf numFmtId="0" fontId="7" fillId="0" borderId="0" xfId="0" applyFont="1"/>
    <xf numFmtId="0" fontId="0" fillId="0" borderId="3" xfId="0" applyBorder="1"/>
    <xf numFmtId="0" fontId="10" fillId="0" borderId="0" xfId="0" applyFont="1"/>
    <xf numFmtId="0" fontId="0" fillId="0" borderId="0" xfId="0" quotePrefix="1"/>
    <xf numFmtId="176" fontId="0" fillId="0" borderId="0" xfId="0" quotePrefix="1" applyNumberFormat="1"/>
    <xf numFmtId="0" fontId="0" fillId="2" borderId="0" xfId="0" quotePrefix="1" applyFill="1"/>
    <xf numFmtId="176" fontId="0" fillId="2" borderId="0" xfId="0" quotePrefix="1" applyNumberFormat="1" applyFill="1"/>
    <xf numFmtId="176" fontId="4" fillId="0" borderId="0" xfId="0" quotePrefix="1" applyNumberFormat="1" applyFont="1" applyAlignment="1">
      <alignment horizontal="center"/>
    </xf>
    <xf numFmtId="176" fontId="4" fillId="0" borderId="0" xfId="0" quotePrefix="1" applyNumberFormat="1" applyFont="1"/>
    <xf numFmtId="0" fontId="4" fillId="0" borderId="0" xfId="0" quotePrefix="1" applyFont="1" applyAlignment="1">
      <alignment horizontal="center"/>
    </xf>
    <xf numFmtId="1" fontId="4" fillId="0" borderId="0" xfId="0" quotePrefix="1" applyNumberFormat="1" applyFont="1" applyAlignment="1">
      <alignment horizontal="center"/>
    </xf>
    <xf numFmtId="0" fontId="4" fillId="0" borderId="0" xfId="0" quotePrefix="1" applyFont="1"/>
    <xf numFmtId="0" fontId="6" fillId="0" borderId="0" xfId="0" quotePrefix="1" applyFont="1" applyAlignment="1">
      <alignment horizontal="center"/>
    </xf>
    <xf numFmtId="0" fontId="6" fillId="0" borderId="0" xfId="0" quotePrefix="1" applyFont="1"/>
    <xf numFmtId="0" fontId="6" fillId="2" borderId="0" xfId="0" quotePrefix="1" applyFont="1" applyFill="1"/>
    <xf numFmtId="180" fontId="4" fillId="0" borderId="0" xfId="0" quotePrefix="1" applyNumberFormat="1" applyFont="1" applyAlignment="1">
      <alignment horizontal="center"/>
    </xf>
    <xf numFmtId="180" fontId="4" fillId="0" borderId="0" xfId="0" quotePrefix="1" applyNumberFormat="1" applyFont="1"/>
    <xf numFmtId="0" fontId="2" fillId="0" borderId="0" xfId="0" quotePrefix="1" applyFont="1"/>
    <xf numFmtId="0" fontId="2" fillId="2" borderId="0" xfId="0" quotePrefix="1" applyFont="1" applyFill="1"/>
    <xf numFmtId="0" fontId="0" fillId="3" borderId="0" xfId="0" quotePrefix="1" applyFill="1"/>
    <xf numFmtId="0" fontId="2" fillId="3" borderId="0" xfId="0" quotePrefix="1" applyFont="1" applyFill="1"/>
    <xf numFmtId="0" fontId="1" fillId="0" borderId="1" xfId="0" applyFont="1" applyBorder="1" applyAlignment="1">
      <alignment horizontal="center" vertical="center"/>
    </xf>
  </cellXfs>
  <cellStyles count="5">
    <cellStyle name="百分比" xfId="2" builtinId="5"/>
    <cellStyle name="常规" xfId="0" builtinId="0"/>
    <cellStyle name="常规 2" xfId="3" xr:uid="{00000000-0005-0000-0000-000031000000}"/>
    <cellStyle name="千位分隔" xfId="1" builtinId="3"/>
    <cellStyle name="千位分隔 2" xfId="4" xr:uid="{00000000-0005-0000-0000-00003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connections" Target="connections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calcChain" Target="calcChain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styles" Target="styles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LISHX!$L$7:$Y$7</c:f>
              <c:strCache>
                <c:ptCount val="7"/>
                <c:pt idx="0">
                  <c:v>2030</c:v>
                </c:pt>
                <c:pt idx="1">
                  <c:v>2025</c:v>
                </c:pt>
                <c:pt idx="2">
                  <c:v>2030</c:v>
                </c:pt>
                <c:pt idx="3">
                  <c:v>2025</c:v>
                </c:pt>
                <c:pt idx="4">
                  <c:v>2030</c:v>
                </c:pt>
                <c:pt idx="5">
                  <c:v>2025</c:v>
                </c:pt>
                <c:pt idx="6">
                  <c:v>2030</c:v>
                </c:pt>
              </c:strCache>
            </c:strRef>
          </c:cat>
          <c:val>
            <c:numRef>
              <c:f>LISHX!$L$26:$Y$26</c:f>
              <c:numCache>
                <c:formatCode>General</c:formatCode>
                <c:ptCount val="14"/>
                <c:pt idx="0">
                  <c:v>25941.22921983201</c:v>
                </c:pt>
                <c:pt idx="1">
                  <c:v>26048.974797654882</c:v>
                </c:pt>
                <c:pt idx="2">
                  <c:v>23962.375858657892</c:v>
                </c:pt>
                <c:pt idx="3">
                  <c:v>26863.590667701483</c:v>
                </c:pt>
                <c:pt idx="4">
                  <c:v>25222.527599117409</c:v>
                </c:pt>
                <c:pt idx="5">
                  <c:v>26863.590667701483</c:v>
                </c:pt>
                <c:pt idx="6">
                  <c:v>25673.538022175038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21E-46CE-9FF0-DCA9DA71B2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40691455"/>
        <c:axId val="1740690015"/>
      </c:lineChart>
      <c:catAx>
        <c:axId val="17406914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lang="zh-CN" sz="11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CN"/>
          </a:p>
        </c:txPr>
        <c:crossAx val="1740690015"/>
        <c:crosses val="autoZero"/>
        <c:auto val="1"/>
        <c:lblAlgn val="ctr"/>
        <c:lblOffset val="100"/>
        <c:noMultiLvlLbl val="0"/>
      </c:catAx>
      <c:valAx>
        <c:axId val="17406900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zh-CN" sz="110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zh-CN" altLang="en-US"/>
                  <a:t>单位：公斤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lang="zh-CN" sz="1100" b="0" i="0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zh-CN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11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CN"/>
          </a:p>
        </c:txPr>
        <c:crossAx val="17406914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60f607b2-f1f3-40e7-aa35-65f30d959d2e}"/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lang="zh-CN" sz="1100">
          <a:solidFill>
            <a:schemeClr val="tx1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714375</xdr:colOff>
      <xdr:row>40</xdr:row>
      <xdr:rowOff>20637</xdr:rowOff>
    </xdr:from>
    <xdr:to>
      <xdr:col>12</xdr:col>
      <xdr:colOff>0</xdr:colOff>
      <xdr:row>56</xdr:row>
      <xdr:rowOff>20637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新建文本文档" connectionId="1" xr16:uid="{00000000-0016-0000-0000-000000000000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3"/>
  <sheetViews>
    <sheetView topLeftCell="A28" workbookViewId="0">
      <selection activeCell="A61" sqref="A61:XFD63"/>
    </sheetView>
  </sheetViews>
  <sheetFormatPr defaultColWidth="9" defaultRowHeight="13.5" x14ac:dyDescent="0.15"/>
  <cols>
    <col min="2" max="2" width="24.625" customWidth="1"/>
    <col min="3" max="3" width="18.875" customWidth="1"/>
    <col min="7" max="7" width="16.125" customWidth="1"/>
    <col min="8" max="8" width="41.625" customWidth="1"/>
  </cols>
  <sheetData>
    <row r="1" spans="1:5" x14ac:dyDescent="0.15">
      <c r="A1" s="65"/>
      <c r="B1" s="65"/>
      <c r="C1" s="65"/>
      <c r="D1" s="65" t="s">
        <v>0</v>
      </c>
      <c r="E1" s="65" t="s">
        <v>1</v>
      </c>
    </row>
    <row r="2" spans="1:5" x14ac:dyDescent="0.15">
      <c r="A2" t="s">
        <v>2</v>
      </c>
      <c r="B2" t="s">
        <v>3</v>
      </c>
      <c r="C2" t="str">
        <f>B2&amp;"!"&amp;"J6"</f>
        <v>KOULX!J6</v>
      </c>
      <c r="D2">
        <v>1</v>
      </c>
      <c r="E2">
        <v>2</v>
      </c>
    </row>
    <row r="3" spans="1:5" x14ac:dyDescent="0.15">
      <c r="A3" t="s">
        <v>2</v>
      </c>
      <c r="B3" t="s">
        <v>4</v>
      </c>
      <c r="C3" t="str">
        <f>B3&amp;"!"&amp;"J6"</f>
        <v>GUWUX!J6</v>
      </c>
      <c r="D3">
        <v>1</v>
      </c>
      <c r="E3">
        <v>2</v>
      </c>
    </row>
    <row r="4" spans="1:5" x14ac:dyDescent="0.15">
      <c r="A4" t="s">
        <v>2</v>
      </c>
      <c r="B4" t="s">
        <v>5</v>
      </c>
      <c r="C4" t="str">
        <f>B4&amp;"!"&amp;"J6"</f>
        <v>LISHX!J6</v>
      </c>
      <c r="D4">
        <v>1</v>
      </c>
      <c r="E4">
        <v>2</v>
      </c>
    </row>
    <row r="5" spans="1:5" x14ac:dyDescent="0.15">
      <c r="A5" t="s">
        <v>2</v>
      </c>
      <c r="B5" t="s">
        <v>6</v>
      </c>
      <c r="C5" t="str">
        <f>B5&amp;"!"&amp;"J6"</f>
        <v>ENGYX!J6</v>
      </c>
      <c r="D5">
        <v>1</v>
      </c>
      <c r="E5">
        <v>2</v>
      </c>
    </row>
    <row r="6" spans="1:5" x14ac:dyDescent="0.15">
      <c r="A6" t="s">
        <v>2</v>
      </c>
      <c r="B6" t="s">
        <v>7</v>
      </c>
      <c r="C6" t="str">
        <f>B6&amp;"!"&amp;"J6"</f>
        <v>RICEX!J6</v>
      </c>
      <c r="D6">
        <v>1</v>
      </c>
      <c r="E6">
        <v>2</v>
      </c>
    </row>
    <row r="7" spans="1:5" x14ac:dyDescent="0.15">
      <c r="A7" t="s">
        <v>2</v>
      </c>
      <c r="B7" t="s">
        <v>8</v>
      </c>
      <c r="C7" t="str">
        <f t="shared" ref="C7:C8" si="0">B7&amp;"!"&amp;"J6"</f>
        <v>WHEAX!J6</v>
      </c>
      <c r="D7">
        <v>1</v>
      </c>
      <c r="E7">
        <v>2</v>
      </c>
    </row>
    <row r="8" spans="1:5" x14ac:dyDescent="0.15">
      <c r="A8" t="s">
        <v>2</v>
      </c>
      <c r="B8" t="s">
        <v>9</v>
      </c>
      <c r="C8" t="str">
        <f t="shared" si="0"/>
        <v>MAIZX!J6</v>
      </c>
      <c r="D8">
        <v>1</v>
      </c>
      <c r="E8">
        <v>2</v>
      </c>
    </row>
    <row r="9" spans="1:5" x14ac:dyDescent="0.15">
      <c r="A9" t="s">
        <v>2</v>
      </c>
      <c r="B9" t="s">
        <v>10</v>
      </c>
      <c r="C9" t="str">
        <f t="shared" ref="C9:C23" si="1">B9&amp;"!"&amp;"J6"</f>
        <v>BARLX!J6</v>
      </c>
      <c r="D9">
        <v>1</v>
      </c>
      <c r="E9">
        <v>2</v>
      </c>
    </row>
    <row r="10" spans="1:5" x14ac:dyDescent="0.15">
      <c r="A10" t="s">
        <v>2</v>
      </c>
      <c r="B10" t="s">
        <v>11</v>
      </c>
      <c r="C10" t="str">
        <f t="shared" si="1"/>
        <v>SOYSX!J6</v>
      </c>
      <c r="D10">
        <v>1</v>
      </c>
      <c r="E10">
        <v>2</v>
      </c>
    </row>
    <row r="11" spans="1:5" x14ac:dyDescent="0.15">
      <c r="A11" t="s">
        <v>2</v>
      </c>
      <c r="B11" t="s">
        <v>12</v>
      </c>
      <c r="C11" t="str">
        <f t="shared" si="1"/>
        <v>SOYOX!J6</v>
      </c>
      <c r="D11">
        <v>1</v>
      </c>
      <c r="E11">
        <v>2</v>
      </c>
    </row>
    <row r="12" spans="1:5" x14ac:dyDescent="0.15">
      <c r="A12" t="s">
        <v>2</v>
      </c>
      <c r="B12" t="s">
        <v>13</v>
      </c>
      <c r="C12" t="str">
        <f t="shared" si="1"/>
        <v>SOYMX!J6</v>
      </c>
      <c r="D12">
        <v>1</v>
      </c>
      <c r="E12">
        <v>2</v>
      </c>
    </row>
    <row r="13" spans="1:5" x14ac:dyDescent="0.15">
      <c r="A13" t="s">
        <v>2</v>
      </c>
      <c r="B13" t="s">
        <v>14</v>
      </c>
      <c r="C13" t="str">
        <f t="shared" si="1"/>
        <v>RAPSX!J6</v>
      </c>
      <c r="D13">
        <v>1</v>
      </c>
      <c r="E13">
        <v>2</v>
      </c>
    </row>
    <row r="14" spans="1:5" x14ac:dyDescent="0.15">
      <c r="A14" t="s">
        <v>2</v>
      </c>
      <c r="B14" t="s">
        <v>15</v>
      </c>
      <c r="C14" t="str">
        <f t="shared" si="1"/>
        <v>RAPOX!J6</v>
      </c>
      <c r="D14">
        <v>1</v>
      </c>
      <c r="E14">
        <v>2</v>
      </c>
    </row>
    <row r="15" spans="1:5" x14ac:dyDescent="0.15">
      <c r="A15" t="s">
        <v>2</v>
      </c>
      <c r="B15" t="s">
        <v>16</v>
      </c>
      <c r="C15" t="str">
        <f t="shared" si="1"/>
        <v>RAPMX!J6</v>
      </c>
      <c r="D15">
        <v>1</v>
      </c>
      <c r="E15">
        <v>2</v>
      </c>
    </row>
    <row r="16" spans="1:5" x14ac:dyDescent="0.15">
      <c r="A16" t="s">
        <v>2</v>
      </c>
      <c r="B16" t="s">
        <v>17</v>
      </c>
      <c r="C16" t="str">
        <f t="shared" si="1"/>
        <v>GRDSX!J6</v>
      </c>
      <c r="D16">
        <v>1</v>
      </c>
      <c r="E16">
        <v>2</v>
      </c>
    </row>
    <row r="17" spans="1:5" x14ac:dyDescent="0.15">
      <c r="A17" t="s">
        <v>2</v>
      </c>
      <c r="B17" t="s">
        <v>18</v>
      </c>
      <c r="C17" t="str">
        <f t="shared" si="1"/>
        <v>GRDOX!J6</v>
      </c>
      <c r="D17">
        <v>1</v>
      </c>
      <c r="E17">
        <v>2</v>
      </c>
    </row>
    <row r="18" spans="1:5" x14ac:dyDescent="0.15">
      <c r="A18" t="s">
        <v>2</v>
      </c>
      <c r="B18" t="s">
        <v>19</v>
      </c>
      <c r="C18" t="str">
        <f t="shared" si="1"/>
        <v>GRDMX!J6</v>
      </c>
      <c r="D18">
        <v>1</v>
      </c>
      <c r="E18">
        <v>2</v>
      </c>
    </row>
    <row r="19" spans="1:5" x14ac:dyDescent="0.15">
      <c r="A19" t="s">
        <v>2</v>
      </c>
      <c r="B19" t="s">
        <v>20</v>
      </c>
      <c r="C19" t="str">
        <f t="shared" si="1"/>
        <v>COTTX!J6</v>
      </c>
      <c r="D19">
        <v>1</v>
      </c>
      <c r="E19">
        <v>2</v>
      </c>
    </row>
    <row r="20" spans="1:5" x14ac:dyDescent="0.15">
      <c r="A20" t="s">
        <v>2</v>
      </c>
      <c r="B20" t="s">
        <v>21</v>
      </c>
      <c r="C20" t="str">
        <f t="shared" si="1"/>
        <v>SUGAX!J6</v>
      </c>
      <c r="D20">
        <v>1</v>
      </c>
      <c r="E20">
        <v>2</v>
      </c>
    </row>
    <row r="21" spans="1:5" x14ac:dyDescent="0.15">
      <c r="A21" t="s">
        <v>2</v>
      </c>
      <c r="B21" t="s">
        <v>22</v>
      </c>
      <c r="C21" t="str">
        <f t="shared" si="1"/>
        <v>VEGTX!J6</v>
      </c>
      <c r="D21">
        <v>1</v>
      </c>
      <c r="E21">
        <v>2</v>
      </c>
    </row>
    <row r="22" spans="1:5" x14ac:dyDescent="0.15">
      <c r="A22" t="s">
        <v>2</v>
      </c>
      <c r="B22" t="s">
        <v>23</v>
      </c>
      <c r="C22" t="str">
        <f t="shared" si="1"/>
        <v>SORGX!J6</v>
      </c>
      <c r="D22">
        <v>1</v>
      </c>
      <c r="E22">
        <v>2</v>
      </c>
    </row>
    <row r="23" spans="1:5" x14ac:dyDescent="0.15">
      <c r="A23" t="s">
        <v>2</v>
      </c>
      <c r="B23" t="s">
        <v>24</v>
      </c>
      <c r="C23" t="str">
        <f t="shared" si="1"/>
        <v>FRTOX!J6</v>
      </c>
      <c r="D23">
        <v>1</v>
      </c>
      <c r="E23">
        <v>2</v>
      </c>
    </row>
    <row r="24" spans="1:5" x14ac:dyDescent="0.15">
      <c r="A24" t="s">
        <v>2</v>
      </c>
      <c r="B24" t="s">
        <v>25</v>
      </c>
      <c r="C24" t="str">
        <f t="shared" ref="C24:C37" si="2">B24&amp;"!"&amp;"J6"</f>
        <v>OTGRX!J6</v>
      </c>
      <c r="D24">
        <v>1</v>
      </c>
      <c r="E24">
        <v>2</v>
      </c>
    </row>
    <row r="25" spans="1:5" x14ac:dyDescent="0.15">
      <c r="A25" t="s">
        <v>2</v>
      </c>
      <c r="B25" t="s">
        <v>26</v>
      </c>
      <c r="C25" t="str">
        <f t="shared" si="2"/>
        <v>BEEFX!J6</v>
      </c>
      <c r="D25">
        <v>1</v>
      </c>
      <c r="E25">
        <v>2</v>
      </c>
    </row>
    <row r="26" spans="1:5" x14ac:dyDescent="0.15">
      <c r="A26" t="s">
        <v>2</v>
      </c>
      <c r="B26" t="s">
        <v>27</v>
      </c>
      <c r="C26" t="str">
        <f t="shared" si="2"/>
        <v>CATBX!J6</v>
      </c>
      <c r="D26">
        <v>1</v>
      </c>
      <c r="E26">
        <v>2</v>
      </c>
    </row>
    <row r="27" spans="1:5" x14ac:dyDescent="0.15">
      <c r="A27" t="s">
        <v>2</v>
      </c>
      <c r="B27" t="s">
        <v>28</v>
      </c>
      <c r="C27" t="str">
        <f t="shared" si="2"/>
        <v>CATOX!J6</v>
      </c>
      <c r="D27">
        <v>1</v>
      </c>
      <c r="E27">
        <v>2</v>
      </c>
    </row>
    <row r="28" spans="1:5" x14ac:dyDescent="0.15">
      <c r="A28" t="s">
        <v>2</v>
      </c>
      <c r="B28" t="s">
        <v>29</v>
      </c>
      <c r="C28" t="str">
        <f t="shared" si="2"/>
        <v>CATTX!J6</v>
      </c>
      <c r="D28">
        <v>1</v>
      </c>
      <c r="E28">
        <v>2</v>
      </c>
    </row>
    <row r="29" spans="1:5" x14ac:dyDescent="0.15">
      <c r="A29" t="s">
        <v>2</v>
      </c>
      <c r="B29" t="s">
        <v>30</v>
      </c>
      <c r="C29" t="str">
        <f t="shared" si="2"/>
        <v>PORKX!J6</v>
      </c>
      <c r="D29">
        <v>1</v>
      </c>
      <c r="E29">
        <v>2</v>
      </c>
    </row>
    <row r="30" spans="1:5" x14ac:dyDescent="0.15">
      <c r="A30" t="s">
        <v>2</v>
      </c>
      <c r="B30" t="s">
        <v>31</v>
      </c>
      <c r="C30" t="str">
        <f t="shared" si="2"/>
        <v>PIGBX!J6</v>
      </c>
      <c r="D30">
        <v>1</v>
      </c>
      <c r="E30">
        <v>2</v>
      </c>
    </row>
    <row r="31" spans="1:5" x14ac:dyDescent="0.15">
      <c r="A31" t="s">
        <v>2</v>
      </c>
      <c r="B31" t="s">
        <v>32</v>
      </c>
      <c r="C31" t="str">
        <f t="shared" si="2"/>
        <v>PIGOX!J6</v>
      </c>
      <c r="D31">
        <v>1</v>
      </c>
      <c r="E31">
        <v>2</v>
      </c>
    </row>
    <row r="32" spans="1:5" x14ac:dyDescent="0.15">
      <c r="A32" t="s">
        <v>2</v>
      </c>
      <c r="B32" t="s">
        <v>33</v>
      </c>
      <c r="C32" t="str">
        <f t="shared" si="2"/>
        <v>PIGTX!J6</v>
      </c>
      <c r="D32">
        <v>1</v>
      </c>
      <c r="E32">
        <v>2</v>
      </c>
    </row>
    <row r="33" spans="1:5" x14ac:dyDescent="0.15">
      <c r="A33" t="s">
        <v>2</v>
      </c>
      <c r="B33" t="s">
        <v>34</v>
      </c>
      <c r="C33" t="str">
        <f t="shared" si="2"/>
        <v>SHGMX!J6</v>
      </c>
      <c r="D33">
        <v>1</v>
      </c>
      <c r="E33">
        <v>2</v>
      </c>
    </row>
    <row r="34" spans="1:5" x14ac:dyDescent="0.15">
      <c r="A34" t="s">
        <v>2</v>
      </c>
      <c r="B34" t="s">
        <v>35</v>
      </c>
      <c r="C34" t="str">
        <f t="shared" si="2"/>
        <v>CHKMX!J6</v>
      </c>
      <c r="D34">
        <v>1</v>
      </c>
      <c r="E34">
        <v>2</v>
      </c>
    </row>
    <row r="35" spans="1:5" x14ac:dyDescent="0.15">
      <c r="A35" t="s">
        <v>2</v>
      </c>
      <c r="B35" t="s">
        <v>36</v>
      </c>
      <c r="C35" t="str">
        <f t="shared" si="2"/>
        <v>EGGSX!J6</v>
      </c>
      <c r="D35">
        <v>1</v>
      </c>
      <c r="E35">
        <v>2</v>
      </c>
    </row>
    <row r="36" spans="1:5" x14ac:dyDescent="0.15">
      <c r="A36" t="s">
        <v>2</v>
      </c>
      <c r="B36" t="s">
        <v>37</v>
      </c>
      <c r="C36" t="str">
        <f t="shared" si="2"/>
        <v>MILKX!J6</v>
      </c>
      <c r="D36">
        <v>1</v>
      </c>
      <c r="E36">
        <v>2</v>
      </c>
    </row>
    <row r="37" spans="1:5" x14ac:dyDescent="0.15">
      <c r="A37" t="s">
        <v>2</v>
      </c>
      <c r="B37" t="s">
        <v>38</v>
      </c>
      <c r="C37" t="str">
        <f t="shared" si="2"/>
        <v>FISHX!J6</v>
      </c>
      <c r="D37">
        <v>1</v>
      </c>
      <c r="E37">
        <v>2</v>
      </c>
    </row>
    <row r="38" spans="1:5" x14ac:dyDescent="0.15">
      <c r="A38" t="s">
        <v>2</v>
      </c>
      <c r="B38" t="s">
        <v>39</v>
      </c>
      <c r="C38" t="str">
        <f t="shared" ref="C38" si="3">B38&amp;"!"&amp;"J6"</f>
        <v>POTAX!J6</v>
      </c>
      <c r="D38">
        <v>1</v>
      </c>
      <c r="E38">
        <v>2</v>
      </c>
    </row>
    <row r="39" spans="1:5" x14ac:dyDescent="0.15">
      <c r="A39" t="s">
        <v>2</v>
      </c>
      <c r="B39" t="s">
        <v>40</v>
      </c>
      <c r="C39" t="str">
        <f t="shared" ref="C39:C54" si="4">B39&amp;"!"&amp;"J6"</f>
        <v>TOSLX!J6</v>
      </c>
      <c r="D39">
        <v>1</v>
      </c>
      <c r="E39">
        <v>2</v>
      </c>
    </row>
    <row r="40" spans="1:5" x14ac:dyDescent="0.15">
      <c r="A40" t="s">
        <v>2</v>
      </c>
      <c r="B40" t="s">
        <v>41</v>
      </c>
      <c r="C40" t="str">
        <f t="shared" si="4"/>
        <v>PRODX!J6</v>
      </c>
      <c r="D40">
        <v>1</v>
      </c>
      <c r="E40">
        <v>2</v>
      </c>
    </row>
    <row r="41" spans="1:5" x14ac:dyDescent="0.15">
      <c r="A41" t="s">
        <v>2</v>
      </c>
      <c r="B41" t="s">
        <v>42</v>
      </c>
      <c r="C41" t="str">
        <f t="shared" si="4"/>
        <v>AREAX!J6</v>
      </c>
      <c r="D41">
        <v>1</v>
      </c>
      <c r="E41">
        <v>2</v>
      </c>
    </row>
    <row r="42" spans="1:5" x14ac:dyDescent="0.15">
      <c r="A42" t="s">
        <v>2</v>
      </c>
      <c r="B42" t="s">
        <v>43</v>
      </c>
      <c r="C42" t="str">
        <f t="shared" si="4"/>
        <v>YILDX!J6</v>
      </c>
      <c r="D42">
        <v>1</v>
      </c>
      <c r="E42">
        <v>2</v>
      </c>
    </row>
    <row r="43" spans="1:5" x14ac:dyDescent="0.15">
      <c r="A43" t="s">
        <v>2</v>
      </c>
      <c r="B43" t="s">
        <v>44</v>
      </c>
      <c r="C43" t="str">
        <f t="shared" si="4"/>
        <v>NIMPX!J6</v>
      </c>
      <c r="D43">
        <v>1</v>
      </c>
      <c r="E43">
        <v>2</v>
      </c>
    </row>
    <row r="44" spans="1:5" x14ac:dyDescent="0.15">
      <c r="A44" t="s">
        <v>2</v>
      </c>
      <c r="B44" t="s">
        <v>45</v>
      </c>
      <c r="C44" t="str">
        <f t="shared" si="4"/>
        <v>TODMX!J6</v>
      </c>
      <c r="D44">
        <v>1</v>
      </c>
      <c r="E44">
        <v>2</v>
      </c>
    </row>
    <row r="45" spans="1:5" x14ac:dyDescent="0.15">
      <c r="A45" t="s">
        <v>2</v>
      </c>
      <c r="B45" t="s">
        <v>46</v>
      </c>
      <c r="C45" t="str">
        <f t="shared" si="4"/>
        <v>FOODX!J6</v>
      </c>
      <c r="D45">
        <v>1</v>
      </c>
      <c r="E45">
        <v>2</v>
      </c>
    </row>
    <row r="46" spans="1:5" x14ac:dyDescent="0.15">
      <c r="A46" t="s">
        <v>2</v>
      </c>
      <c r="B46" t="s">
        <v>47</v>
      </c>
      <c r="C46" t="str">
        <f t="shared" si="4"/>
        <v>PFODX!J6</v>
      </c>
      <c r="D46">
        <v>1</v>
      </c>
      <c r="E46">
        <v>2</v>
      </c>
    </row>
    <row r="47" spans="1:5" x14ac:dyDescent="0.15">
      <c r="A47" t="s">
        <v>2</v>
      </c>
      <c r="B47" t="s">
        <v>48</v>
      </c>
      <c r="C47" t="str">
        <f t="shared" si="4"/>
        <v>FEEDX!J6</v>
      </c>
      <c r="D47">
        <v>1</v>
      </c>
      <c r="E47">
        <v>2</v>
      </c>
    </row>
    <row r="48" spans="1:5" x14ac:dyDescent="0.15">
      <c r="A48" t="s">
        <v>2</v>
      </c>
      <c r="B48" t="s">
        <v>49</v>
      </c>
      <c r="C48" t="str">
        <f t="shared" si="4"/>
        <v>PROCX!J6</v>
      </c>
      <c r="D48">
        <v>1</v>
      </c>
      <c r="E48">
        <v>2</v>
      </c>
    </row>
    <row r="49" spans="1:5" x14ac:dyDescent="0.15">
      <c r="A49" t="s">
        <v>2</v>
      </c>
      <c r="B49" t="s">
        <v>50</v>
      </c>
      <c r="C49" t="str">
        <f t="shared" si="4"/>
        <v>SEEDX!J6</v>
      </c>
      <c r="D49">
        <v>1</v>
      </c>
      <c r="E49">
        <v>2</v>
      </c>
    </row>
    <row r="50" spans="1:5" x14ac:dyDescent="0.15">
      <c r="A50" t="s">
        <v>2</v>
      </c>
      <c r="B50" t="s">
        <v>51</v>
      </c>
      <c r="C50" t="str">
        <f t="shared" si="4"/>
        <v>WASTX!J6</v>
      </c>
      <c r="D50">
        <v>1</v>
      </c>
      <c r="E50">
        <v>2</v>
      </c>
    </row>
    <row r="51" spans="1:5" x14ac:dyDescent="0.15">
      <c r="A51" t="s">
        <v>2</v>
      </c>
      <c r="B51" t="s">
        <v>52</v>
      </c>
      <c r="C51" t="str">
        <f t="shared" si="4"/>
        <v>OTHEX!J6</v>
      </c>
      <c r="D51">
        <v>1</v>
      </c>
      <c r="E51">
        <v>2</v>
      </c>
    </row>
    <row r="52" spans="1:5" x14ac:dyDescent="0.15">
      <c r="A52" t="s">
        <v>2</v>
      </c>
      <c r="B52" t="s">
        <v>53</v>
      </c>
      <c r="C52" t="str">
        <f t="shared" si="4"/>
        <v>STOCX!J6</v>
      </c>
      <c r="D52">
        <v>1</v>
      </c>
      <c r="E52">
        <v>2</v>
      </c>
    </row>
    <row r="53" spans="1:5" x14ac:dyDescent="0.15">
      <c r="A53" t="s">
        <v>2</v>
      </c>
      <c r="B53" t="s">
        <v>54</v>
      </c>
      <c r="C53" t="str">
        <f t="shared" si="4"/>
        <v>NEXPX!J6</v>
      </c>
      <c r="D53">
        <v>1</v>
      </c>
      <c r="E53">
        <v>2</v>
      </c>
    </row>
    <row r="54" spans="1:5" x14ac:dyDescent="0.15">
      <c r="A54" t="s">
        <v>2</v>
      </c>
      <c r="B54" t="s">
        <v>55</v>
      </c>
      <c r="C54" t="str">
        <f t="shared" si="4"/>
        <v>DOMDX!J6</v>
      </c>
      <c r="D54">
        <v>1</v>
      </c>
      <c r="E54">
        <v>2</v>
      </c>
    </row>
    <row r="55" spans="1:5" x14ac:dyDescent="0.15">
      <c r="A55" t="s">
        <v>2</v>
      </c>
      <c r="B55" t="s">
        <v>56</v>
      </c>
      <c r="C55" t="str">
        <f t="shared" ref="C55" si="5">B55&amp;"!"&amp;"J6"</f>
        <v>PRICX!J6</v>
      </c>
      <c r="D55">
        <v>1</v>
      </c>
      <c r="E55">
        <v>2</v>
      </c>
    </row>
    <row r="56" spans="1:5" x14ac:dyDescent="0.15">
      <c r="A56" t="s">
        <v>2</v>
      </c>
      <c r="B56" t="s">
        <v>57</v>
      </c>
      <c r="C56" t="str">
        <f t="shared" ref="C56:C60" si="6">B56&amp;"!"&amp;"J6"</f>
        <v>CO2EX!J6</v>
      </c>
      <c r="D56">
        <v>1</v>
      </c>
      <c r="E56">
        <v>2</v>
      </c>
    </row>
    <row r="57" spans="1:5" x14ac:dyDescent="0.15">
      <c r="A57" t="s">
        <v>2</v>
      </c>
      <c r="B57" t="s">
        <v>58</v>
      </c>
      <c r="C57" t="str">
        <f t="shared" si="6"/>
        <v>POPUX!J6</v>
      </c>
      <c r="D57">
        <v>1</v>
      </c>
      <c r="E57">
        <v>2</v>
      </c>
    </row>
    <row r="58" spans="1:5" x14ac:dyDescent="0.15">
      <c r="A58" t="s">
        <v>2</v>
      </c>
      <c r="B58" t="s">
        <v>59</v>
      </c>
      <c r="C58" t="str">
        <f t="shared" si="6"/>
        <v>PGDPX!J6</v>
      </c>
      <c r="D58">
        <v>1</v>
      </c>
      <c r="E58">
        <v>2</v>
      </c>
    </row>
    <row r="59" spans="1:5" x14ac:dyDescent="0.15">
      <c r="A59" t="s">
        <v>2</v>
      </c>
      <c r="B59" t="s">
        <v>60</v>
      </c>
      <c r="C59" t="str">
        <f t="shared" si="6"/>
        <v>DFODX!J6</v>
      </c>
      <c r="D59">
        <v>1</v>
      </c>
      <c r="E59">
        <v>2</v>
      </c>
    </row>
    <row r="60" spans="1:5" x14ac:dyDescent="0.15">
      <c r="A60" t="s">
        <v>2</v>
      </c>
      <c r="B60" t="s">
        <v>61</v>
      </c>
      <c r="C60" t="str">
        <f t="shared" si="6"/>
        <v>CRSHX!J6</v>
      </c>
      <c r="D60">
        <v>1</v>
      </c>
      <c r="E60">
        <v>2</v>
      </c>
    </row>
    <row r="61" spans="1:5" x14ac:dyDescent="0.15">
      <c r="A61" s="66"/>
      <c r="B61" s="66"/>
    </row>
    <row r="62" spans="1:5" x14ac:dyDescent="0.15">
      <c r="A62" s="66"/>
      <c r="B62" s="66"/>
    </row>
    <row r="63" spans="1:5" x14ac:dyDescent="0.15">
      <c r="A63" s="66"/>
      <c r="B63" s="66"/>
    </row>
  </sheetData>
  <phoneticPr fontId="1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6:AA83"/>
  <sheetViews>
    <sheetView workbookViewId="0">
      <pane xSplit="3" ySplit="6" topLeftCell="D7" activePane="bottomRight" state="frozen"/>
      <selection pane="topRight"/>
      <selection pane="bottomLeft"/>
      <selection pane="bottomRight" activeCell="E15" sqref="E15"/>
    </sheetView>
  </sheetViews>
  <sheetFormatPr defaultColWidth="9" defaultRowHeight="15" x14ac:dyDescent="0.25"/>
  <cols>
    <col min="1" max="3" width="9" style="20"/>
    <col min="4" max="5" width="9.625" style="20" customWidth="1"/>
    <col min="6" max="7" width="12.125" style="20" customWidth="1"/>
    <col min="8" max="9" width="12" style="20" customWidth="1"/>
    <col min="10" max="13" width="9" style="20"/>
    <col min="14" max="14" width="9.375" style="20" customWidth="1"/>
    <col min="15" max="17" width="10.875" style="20" customWidth="1"/>
    <col min="18" max="18" width="14.125" style="20" customWidth="1"/>
    <col min="19" max="22" width="9" style="20"/>
    <col min="23" max="23" width="9.625" style="20" customWidth="1"/>
    <col min="24" max="24" width="12.125" style="20" customWidth="1"/>
    <col min="25" max="25" width="13.375" style="20" customWidth="1"/>
    <col min="26" max="26" width="12.125" style="20" customWidth="1"/>
    <col min="27" max="16384" width="9" style="20"/>
  </cols>
  <sheetData>
    <row r="6" spans="2:27" x14ac:dyDescent="0.25">
      <c r="D6"/>
      <c r="E6"/>
      <c r="F6"/>
      <c r="G6"/>
      <c r="H6"/>
      <c r="I6"/>
      <c r="J6"/>
      <c r="K6"/>
      <c r="L6"/>
      <c r="M6" s="20" t="s">
        <v>62</v>
      </c>
      <c r="N6" s="20" t="s">
        <v>63</v>
      </c>
      <c r="O6" s="20" t="s">
        <v>64</v>
      </c>
      <c r="P6" s="20" t="s">
        <v>65</v>
      </c>
      <c r="Q6" s="20" t="s">
        <v>66</v>
      </c>
      <c r="R6" s="20" t="s">
        <v>67</v>
      </c>
      <c r="V6" s="20" t="s">
        <v>68</v>
      </c>
      <c r="W6" s="20" t="s">
        <v>63</v>
      </c>
      <c r="X6" s="20" t="s">
        <v>64</v>
      </c>
      <c r="Y6" s="20" t="s">
        <v>65</v>
      </c>
      <c r="Z6" s="20" t="s">
        <v>66</v>
      </c>
      <c r="AA6" s="20" t="s">
        <v>67</v>
      </c>
    </row>
    <row r="7" spans="2:27" x14ac:dyDescent="0.25">
      <c r="B7" s="61" t="s">
        <v>69</v>
      </c>
      <c r="C7" t="s">
        <v>70</v>
      </c>
      <c r="D7" s="62"/>
      <c r="E7" s="62"/>
      <c r="F7" s="62"/>
      <c r="G7" s="62"/>
      <c r="H7" s="62"/>
      <c r="I7" s="62"/>
      <c r="J7" s="62"/>
      <c r="K7" s="62"/>
      <c r="L7" s="62"/>
      <c r="M7" s="62"/>
      <c r="N7" s="21"/>
      <c r="O7" s="21"/>
      <c r="P7" s="21"/>
      <c r="Q7" s="21"/>
      <c r="R7" s="21"/>
      <c r="S7" s="62"/>
      <c r="T7" s="62"/>
      <c r="U7" s="62"/>
      <c r="V7" s="62"/>
      <c r="W7" s="62"/>
      <c r="X7" s="62"/>
      <c r="Y7" s="62"/>
      <c r="Z7" s="62"/>
      <c r="AA7" s="62"/>
    </row>
    <row r="8" spans="2:27" x14ac:dyDescent="0.25">
      <c r="C8"/>
      <c r="D8" s="62"/>
      <c r="E8" s="62"/>
      <c r="F8" s="62"/>
      <c r="G8" s="62"/>
      <c r="H8" s="62"/>
      <c r="I8" s="62"/>
      <c r="J8" s="62"/>
      <c r="K8" s="62"/>
      <c r="L8" s="62"/>
      <c r="M8" s="62"/>
      <c r="N8" s="21"/>
      <c r="O8" s="21"/>
      <c r="P8" s="21"/>
      <c r="Q8" s="21"/>
      <c r="R8" s="21"/>
      <c r="S8" s="62"/>
      <c r="T8" s="62"/>
      <c r="U8" s="62"/>
      <c r="V8" s="62"/>
      <c r="W8" s="62"/>
      <c r="X8" s="62"/>
      <c r="Y8" s="62"/>
      <c r="Z8" s="62"/>
      <c r="AA8" s="62"/>
    </row>
    <row r="9" spans="2:27" x14ac:dyDescent="0.25">
      <c r="D9" s="62"/>
      <c r="E9" s="62"/>
      <c r="F9" s="62"/>
      <c r="G9" s="62"/>
      <c r="H9" s="62"/>
      <c r="I9" s="62"/>
      <c r="J9" s="62"/>
      <c r="K9" s="62"/>
      <c r="L9" s="62"/>
      <c r="M9" s="62"/>
      <c r="N9" s="21"/>
      <c r="O9" s="21"/>
      <c r="P9" s="21"/>
      <c r="Q9" s="21"/>
      <c r="R9" s="21"/>
      <c r="S9" s="62"/>
      <c r="T9" s="62"/>
      <c r="U9" s="62"/>
      <c r="V9" s="62"/>
      <c r="W9" s="62"/>
      <c r="X9" s="62"/>
      <c r="Y9" s="62"/>
      <c r="Z9" s="62"/>
      <c r="AA9" s="62"/>
    </row>
    <row r="10" spans="2:27" x14ac:dyDescent="0.25">
      <c r="D10" s="62"/>
      <c r="E10" s="62"/>
      <c r="F10" s="62"/>
      <c r="G10" s="62"/>
      <c r="H10" s="62"/>
      <c r="I10" s="62"/>
      <c r="J10" s="62"/>
      <c r="K10" s="62"/>
      <c r="L10" s="62"/>
      <c r="M10" s="62"/>
      <c r="N10" s="21"/>
      <c r="O10" s="21"/>
      <c r="P10" s="21"/>
      <c r="Q10" s="21"/>
      <c r="R10" s="21"/>
      <c r="S10" s="62"/>
      <c r="T10" s="62"/>
      <c r="U10" s="62"/>
      <c r="V10" s="62"/>
      <c r="W10" s="62"/>
      <c r="X10" s="62"/>
      <c r="Y10" s="62"/>
      <c r="Z10" s="62"/>
      <c r="AA10" s="62"/>
    </row>
    <row r="11" spans="2:27" x14ac:dyDescent="0.25">
      <c r="D11" s="62"/>
      <c r="E11" s="62"/>
      <c r="F11" s="62"/>
      <c r="G11" s="62"/>
      <c r="H11" s="62"/>
      <c r="I11" s="62"/>
      <c r="J11" s="62"/>
      <c r="K11" s="62"/>
      <c r="L11" s="62"/>
      <c r="M11" s="62"/>
      <c r="N11" s="21"/>
      <c r="O11" s="21"/>
      <c r="P11" s="21"/>
      <c r="Q11" s="21"/>
      <c r="R11" s="21"/>
      <c r="S11" s="62"/>
      <c r="T11" s="62"/>
      <c r="U11" s="62"/>
      <c r="V11" s="62"/>
      <c r="W11" s="62"/>
      <c r="X11" s="62"/>
      <c r="Y11" s="62"/>
      <c r="Z11" s="62"/>
      <c r="AA11" s="62"/>
    </row>
    <row r="12" spans="2:27" x14ac:dyDescent="0.25">
      <c r="D12" s="62"/>
      <c r="E12" s="62"/>
      <c r="F12" s="62"/>
      <c r="G12" s="62"/>
      <c r="H12" s="62"/>
      <c r="I12" s="62"/>
      <c r="J12" s="62"/>
      <c r="K12" s="62"/>
      <c r="L12" s="62"/>
      <c r="M12" s="62"/>
      <c r="N12" s="21"/>
      <c r="O12" s="21"/>
      <c r="P12" s="21"/>
      <c r="Q12" s="21"/>
      <c r="R12" s="21"/>
      <c r="S12" s="62"/>
      <c r="T12" s="62"/>
      <c r="U12" s="62"/>
      <c r="V12" s="62"/>
      <c r="W12" s="62"/>
      <c r="X12" s="62"/>
      <c r="Y12" s="62"/>
      <c r="Z12" s="62"/>
      <c r="AA12" s="62"/>
    </row>
    <row r="13" spans="2:27" x14ac:dyDescent="0.25">
      <c r="D13" s="62"/>
      <c r="E13" s="62"/>
      <c r="F13" s="62"/>
      <c r="G13" s="62"/>
      <c r="H13" s="62"/>
      <c r="I13" s="62"/>
      <c r="J13" s="62"/>
      <c r="K13" s="62"/>
      <c r="L13" s="62"/>
      <c r="M13" s="62"/>
      <c r="N13" s="21"/>
      <c r="O13" s="21"/>
      <c r="P13" s="21"/>
      <c r="Q13" s="21"/>
      <c r="R13" s="21"/>
      <c r="S13" s="62"/>
      <c r="T13" s="62"/>
      <c r="U13" s="62"/>
      <c r="V13" s="62"/>
      <c r="W13" s="62"/>
      <c r="X13" s="62"/>
      <c r="Y13" s="62"/>
      <c r="Z13" s="62"/>
      <c r="AA13" s="62"/>
    </row>
    <row r="14" spans="2:27" x14ac:dyDescent="0.25">
      <c r="C14"/>
      <c r="D14" s="62"/>
      <c r="E14" s="62"/>
      <c r="F14" s="62"/>
      <c r="G14" s="62"/>
      <c r="H14" s="62"/>
      <c r="I14" s="62"/>
      <c r="J14" s="62"/>
      <c r="K14" s="62"/>
      <c r="L14" s="62"/>
      <c r="M14" s="62"/>
      <c r="N14" s="21"/>
      <c r="O14" s="21"/>
      <c r="P14" s="21"/>
      <c r="Q14" s="21"/>
      <c r="R14" s="21"/>
      <c r="S14" s="62"/>
      <c r="T14" s="62"/>
      <c r="U14" s="62"/>
      <c r="V14" s="62"/>
      <c r="W14" s="62"/>
      <c r="X14" s="62"/>
      <c r="Y14" s="62"/>
      <c r="Z14" s="62"/>
      <c r="AA14" s="62"/>
    </row>
    <row r="15" spans="2:27" x14ac:dyDescent="0.25">
      <c r="C15"/>
      <c r="D15" s="62"/>
      <c r="E15" s="62"/>
      <c r="F15" s="62"/>
      <c r="G15" s="62"/>
      <c r="H15" s="62"/>
      <c r="I15" s="62"/>
      <c r="J15" s="62"/>
      <c r="K15" s="62"/>
      <c r="L15" s="62"/>
      <c r="M15" s="62"/>
      <c r="N15" s="21"/>
      <c r="O15" s="21"/>
      <c r="P15" s="21"/>
      <c r="Q15" s="21"/>
      <c r="R15" s="21"/>
      <c r="S15" s="62"/>
      <c r="T15" s="62"/>
      <c r="U15" s="62"/>
      <c r="V15" s="62"/>
      <c r="W15" s="62"/>
      <c r="X15" s="62"/>
      <c r="Y15" s="62"/>
      <c r="Z15" s="62"/>
      <c r="AA15" s="62"/>
    </row>
    <row r="16" spans="2:27" x14ac:dyDescent="0.25">
      <c r="C16"/>
      <c r="D16" s="62"/>
      <c r="E16" s="62"/>
      <c r="F16" s="62"/>
      <c r="G16" s="62"/>
      <c r="H16" s="62"/>
      <c r="I16" s="62"/>
      <c r="J16" s="62"/>
      <c r="K16" s="62"/>
      <c r="L16" s="62"/>
      <c r="M16" s="62"/>
      <c r="N16" s="21"/>
      <c r="O16" s="21"/>
      <c r="P16" s="21"/>
      <c r="Q16" s="21"/>
      <c r="R16" s="21"/>
      <c r="S16" s="62"/>
      <c r="T16" s="62"/>
      <c r="U16" s="62"/>
      <c r="V16" s="62"/>
      <c r="W16" s="62"/>
      <c r="X16" s="62"/>
      <c r="Y16" s="62"/>
      <c r="Z16" s="62"/>
      <c r="AA16" s="62"/>
    </row>
    <row r="17" spans="4:27" x14ac:dyDescent="0.25">
      <c r="D17" s="62"/>
      <c r="E17" s="62"/>
      <c r="F17" s="62"/>
      <c r="G17" s="62"/>
      <c r="H17" s="62"/>
      <c r="I17" s="62"/>
      <c r="J17" s="62"/>
      <c r="K17" s="62"/>
      <c r="L17" s="62"/>
      <c r="M17" s="62"/>
      <c r="N17" s="21"/>
      <c r="O17" s="21"/>
      <c r="P17" s="21"/>
      <c r="Q17" s="21"/>
      <c r="R17" s="21"/>
      <c r="S17" s="62"/>
      <c r="T17" s="62"/>
      <c r="U17" s="62"/>
      <c r="V17" s="62"/>
      <c r="W17" s="62"/>
      <c r="X17" s="62"/>
      <c r="Y17" s="62"/>
      <c r="Z17" s="62"/>
      <c r="AA17" s="62"/>
    </row>
    <row r="18" spans="4:27" x14ac:dyDescent="0.25">
      <c r="D18" s="62"/>
      <c r="E18" s="62"/>
      <c r="F18" s="62"/>
      <c r="G18" s="62"/>
      <c r="H18" s="62"/>
      <c r="I18" s="62"/>
      <c r="J18" s="62"/>
      <c r="K18" s="62"/>
      <c r="L18" s="62"/>
      <c r="M18" s="62"/>
      <c r="N18" s="21"/>
      <c r="O18" s="21"/>
      <c r="P18" s="21"/>
      <c r="Q18" s="21"/>
      <c r="R18" s="21"/>
      <c r="S18" s="62"/>
      <c r="T18" s="62"/>
      <c r="U18" s="62"/>
      <c r="V18" s="62"/>
      <c r="W18" s="62"/>
      <c r="X18" s="62"/>
      <c r="Y18" s="62"/>
      <c r="Z18" s="62"/>
      <c r="AA18" s="62"/>
    </row>
    <row r="19" spans="4:27" x14ac:dyDescent="0.25">
      <c r="D19" s="62"/>
      <c r="E19" s="62"/>
      <c r="F19" s="62"/>
      <c r="G19" s="62"/>
      <c r="H19" s="62"/>
      <c r="I19" s="62"/>
      <c r="J19" s="62"/>
      <c r="K19" s="62"/>
      <c r="L19" s="62"/>
      <c r="M19" s="62"/>
      <c r="N19" s="21"/>
      <c r="O19" s="21"/>
      <c r="P19" s="21"/>
      <c r="Q19" s="21"/>
      <c r="R19" s="21"/>
      <c r="S19" s="62"/>
      <c r="T19" s="62"/>
      <c r="U19" s="62"/>
      <c r="V19" s="62"/>
      <c r="W19" s="62"/>
      <c r="X19" s="62"/>
      <c r="Y19" s="62"/>
      <c r="Z19" s="62"/>
      <c r="AA19" s="62"/>
    </row>
    <row r="20" spans="4:27" x14ac:dyDescent="0.25">
      <c r="D20" s="62"/>
      <c r="E20" s="62"/>
      <c r="F20" s="62"/>
      <c r="G20" s="62"/>
      <c r="H20" s="62"/>
      <c r="I20" s="62"/>
      <c r="J20" s="62"/>
      <c r="K20" s="62"/>
      <c r="L20" s="62"/>
      <c r="M20" s="62"/>
      <c r="N20" s="21"/>
      <c r="O20" s="21"/>
      <c r="P20" s="21"/>
      <c r="Q20" s="21"/>
      <c r="R20" s="21"/>
      <c r="S20" s="62"/>
      <c r="T20" s="62"/>
      <c r="U20" s="62"/>
      <c r="V20" s="62"/>
      <c r="W20" s="62"/>
      <c r="X20" s="62"/>
      <c r="Y20" s="62"/>
      <c r="Z20" s="62"/>
      <c r="AA20" s="62"/>
    </row>
    <row r="21" spans="4:27" x14ac:dyDescent="0.25">
      <c r="D21" s="62"/>
      <c r="E21" s="62"/>
      <c r="F21" s="62"/>
      <c r="G21" s="62"/>
      <c r="H21" s="62"/>
      <c r="I21" s="62"/>
      <c r="J21" s="62"/>
      <c r="K21" s="62"/>
      <c r="L21" s="62"/>
      <c r="M21" s="62"/>
      <c r="N21" s="21"/>
      <c r="O21" s="21"/>
      <c r="P21" s="21"/>
      <c r="Q21" s="21"/>
      <c r="R21" s="21"/>
      <c r="S21" s="62"/>
      <c r="T21" s="62"/>
      <c r="U21" s="62"/>
      <c r="V21" s="62"/>
      <c r="W21" s="62"/>
      <c r="X21" s="62"/>
      <c r="Y21" s="62"/>
      <c r="Z21" s="62"/>
      <c r="AA21" s="62"/>
    </row>
    <row r="22" spans="4:27" x14ac:dyDescent="0.25">
      <c r="D22" s="62"/>
      <c r="E22" s="62"/>
      <c r="F22" s="62"/>
      <c r="G22" s="62"/>
      <c r="H22" s="62"/>
      <c r="I22" s="62"/>
      <c r="J22" s="62"/>
      <c r="K22" s="62"/>
      <c r="L22" s="62"/>
      <c r="M22" s="62"/>
      <c r="N22" s="21"/>
      <c r="O22" s="21"/>
      <c r="P22" s="21"/>
      <c r="Q22" s="21"/>
      <c r="R22" s="21"/>
      <c r="S22" s="62"/>
      <c r="T22" s="62"/>
      <c r="U22" s="62"/>
      <c r="V22" s="62"/>
      <c r="W22" s="62"/>
      <c r="X22" s="62"/>
      <c r="Y22" s="62"/>
      <c r="Z22" s="62"/>
      <c r="AA22" s="62"/>
    </row>
    <row r="23" spans="4:27" x14ac:dyDescent="0.25">
      <c r="D23" s="62"/>
      <c r="E23" s="62"/>
      <c r="F23" s="62"/>
      <c r="G23" s="62"/>
      <c r="H23" s="62"/>
      <c r="I23" s="62"/>
      <c r="J23" s="62"/>
      <c r="K23" s="62"/>
      <c r="L23" s="62"/>
      <c r="M23" s="62"/>
      <c r="N23" s="21"/>
      <c r="O23" s="21"/>
      <c r="P23" s="21"/>
      <c r="Q23" s="21"/>
      <c r="R23" s="21"/>
      <c r="S23" s="62"/>
      <c r="T23" s="62"/>
      <c r="U23" s="62"/>
      <c r="V23" s="62"/>
      <c r="W23" s="62"/>
      <c r="X23" s="62"/>
      <c r="Y23" s="62"/>
      <c r="Z23" s="62"/>
      <c r="AA23" s="62"/>
    </row>
    <row r="24" spans="4:27" x14ac:dyDescent="0.25">
      <c r="D24" s="62"/>
      <c r="E24" s="62"/>
      <c r="F24" s="62"/>
      <c r="G24" s="62"/>
      <c r="H24" s="62"/>
      <c r="I24" s="62"/>
      <c r="J24" s="62"/>
      <c r="K24" s="62"/>
      <c r="L24" s="62"/>
      <c r="M24" s="62"/>
      <c r="N24" s="21"/>
      <c r="O24" s="21"/>
      <c r="P24" s="21"/>
      <c r="Q24" s="21"/>
      <c r="R24" s="21"/>
      <c r="S24" s="62"/>
      <c r="T24" s="62"/>
      <c r="U24" s="62"/>
      <c r="V24" s="62"/>
      <c r="W24" s="62"/>
      <c r="X24" s="62"/>
      <c r="Y24" s="62"/>
      <c r="Z24" s="62"/>
      <c r="AA24" s="62"/>
    </row>
    <row r="25" spans="4:27" x14ac:dyDescent="0.25">
      <c r="D25" s="62"/>
      <c r="E25" s="62"/>
      <c r="F25" s="62"/>
      <c r="G25" s="62"/>
      <c r="H25" s="62"/>
      <c r="I25" s="62"/>
      <c r="J25" s="62"/>
      <c r="K25" s="62"/>
      <c r="L25" s="62"/>
      <c r="M25" s="62"/>
      <c r="N25" s="21"/>
      <c r="O25" s="21"/>
      <c r="P25" s="21"/>
      <c r="Q25" s="21"/>
      <c r="R25" s="21"/>
      <c r="S25" s="62"/>
      <c r="T25" s="62"/>
      <c r="U25" s="62"/>
      <c r="V25" s="62"/>
      <c r="W25" s="62"/>
      <c r="X25" s="62"/>
      <c r="Y25" s="62"/>
      <c r="Z25" s="62"/>
      <c r="AA25" s="62"/>
    </row>
    <row r="26" spans="4:27" x14ac:dyDescent="0.25">
      <c r="D26" s="62"/>
      <c r="E26" s="62"/>
      <c r="F26" s="62"/>
      <c r="G26" s="62"/>
      <c r="H26" s="62"/>
      <c r="I26" s="62"/>
      <c r="J26" s="62"/>
      <c r="K26" s="62"/>
      <c r="L26" s="62"/>
      <c r="M26" s="62"/>
      <c r="N26" s="21"/>
      <c r="O26" s="21"/>
      <c r="P26" s="21"/>
      <c r="Q26" s="21"/>
      <c r="R26" s="21"/>
      <c r="S26" s="62"/>
      <c r="T26" s="62"/>
      <c r="U26" s="62"/>
      <c r="V26" s="62"/>
      <c r="W26" s="62"/>
      <c r="X26" s="62"/>
      <c r="Y26" s="62"/>
      <c r="Z26" s="62"/>
      <c r="AA26" s="62"/>
    </row>
    <row r="27" spans="4:27" x14ac:dyDescent="0.25">
      <c r="D27" s="62"/>
      <c r="E27" s="62"/>
      <c r="F27" s="62"/>
      <c r="G27" s="62"/>
      <c r="H27" s="62"/>
      <c r="I27" s="62"/>
      <c r="J27" s="62"/>
      <c r="K27" s="62"/>
      <c r="L27" s="62"/>
      <c r="M27" s="62"/>
      <c r="N27" s="21"/>
      <c r="O27" s="21"/>
      <c r="P27" s="21"/>
      <c r="Q27" s="21"/>
      <c r="R27" s="21"/>
      <c r="S27" s="62"/>
      <c r="T27" s="62"/>
      <c r="U27" s="62"/>
      <c r="V27" s="62"/>
      <c r="W27" s="62"/>
      <c r="X27" s="62"/>
      <c r="Y27" s="62"/>
      <c r="Z27" s="62"/>
      <c r="AA27" s="62"/>
    </row>
    <row r="28" spans="4:27" x14ac:dyDescent="0.25">
      <c r="D28" s="62"/>
      <c r="E28" s="62"/>
      <c r="F28" s="62"/>
      <c r="G28" s="62"/>
      <c r="H28" s="62"/>
      <c r="I28" s="62"/>
      <c r="J28" s="62"/>
      <c r="K28" s="62"/>
      <c r="L28" s="62"/>
      <c r="M28" s="62"/>
      <c r="N28" s="21"/>
      <c r="O28" s="21"/>
      <c r="P28" s="21"/>
      <c r="Q28" s="21"/>
      <c r="R28" s="21"/>
      <c r="S28" s="62"/>
      <c r="T28" s="62"/>
      <c r="U28" s="62"/>
      <c r="V28" s="62"/>
      <c r="W28" s="62"/>
      <c r="X28" s="62"/>
      <c r="Y28" s="62"/>
      <c r="Z28" s="62"/>
      <c r="AA28" s="62"/>
    </row>
    <row r="29" spans="4:27" x14ac:dyDescent="0.25">
      <c r="D29" s="62"/>
      <c r="E29" s="62"/>
      <c r="F29" s="62"/>
      <c r="G29" s="62"/>
      <c r="H29" s="62"/>
      <c r="I29" s="62"/>
      <c r="J29" s="62"/>
      <c r="K29" s="62"/>
      <c r="L29" s="62"/>
      <c r="M29" s="62"/>
      <c r="N29" s="21"/>
      <c r="O29" s="21"/>
      <c r="P29" s="21"/>
      <c r="Q29" s="21"/>
      <c r="R29" s="21"/>
      <c r="S29" s="62"/>
      <c r="T29" s="62"/>
      <c r="U29" s="62"/>
      <c r="V29" s="62"/>
      <c r="W29" s="62"/>
      <c r="X29" s="62"/>
      <c r="Y29" s="62"/>
      <c r="Z29" s="62"/>
      <c r="AA29" s="62"/>
    </row>
    <row r="30" spans="4:27" x14ac:dyDescent="0.25">
      <c r="D30" s="62"/>
      <c r="E30" s="62"/>
      <c r="F30" s="62"/>
      <c r="G30" s="62"/>
      <c r="H30" s="62"/>
      <c r="I30" s="62"/>
      <c r="J30" s="62"/>
      <c r="K30" s="62"/>
      <c r="L30" s="62"/>
      <c r="M30" s="62"/>
      <c r="N30" s="21"/>
      <c r="O30" s="21"/>
      <c r="P30" s="21"/>
      <c r="Q30" s="21"/>
      <c r="R30" s="21"/>
      <c r="S30" s="62"/>
      <c r="T30" s="62"/>
      <c r="U30" s="62"/>
      <c r="V30" s="62"/>
      <c r="W30" s="62"/>
      <c r="X30" s="62"/>
      <c r="Y30" s="62"/>
      <c r="Z30" s="62"/>
      <c r="AA30" s="62"/>
    </row>
    <row r="31" spans="4:27" x14ac:dyDescent="0.25">
      <c r="D31" s="62"/>
      <c r="E31" s="62"/>
      <c r="F31" s="62"/>
      <c r="G31" s="62"/>
      <c r="H31" s="62"/>
      <c r="I31" s="62"/>
      <c r="J31" s="62"/>
      <c r="K31" s="62"/>
      <c r="L31" s="62"/>
      <c r="M31" s="62"/>
      <c r="N31" s="21"/>
      <c r="O31" s="21"/>
      <c r="P31" s="21"/>
      <c r="Q31" s="21"/>
      <c r="R31" s="21"/>
      <c r="S31" s="62"/>
      <c r="T31" s="62"/>
      <c r="U31" s="62"/>
      <c r="V31" s="62"/>
      <c r="W31" s="62"/>
      <c r="X31" s="62"/>
      <c r="Y31" s="62"/>
      <c r="Z31" s="62"/>
      <c r="AA31" s="62"/>
    </row>
    <row r="32" spans="4:27" x14ac:dyDescent="0.25">
      <c r="D32" s="62"/>
      <c r="E32" s="62"/>
      <c r="F32" s="62"/>
      <c r="G32" s="62"/>
      <c r="H32" s="62"/>
      <c r="I32" s="62"/>
      <c r="J32" s="62"/>
      <c r="K32" s="62"/>
      <c r="L32" s="62"/>
      <c r="M32" s="62"/>
      <c r="N32" s="21"/>
      <c r="O32" s="21"/>
      <c r="P32" s="21"/>
      <c r="Q32" s="21"/>
      <c r="R32" s="63"/>
      <c r="S32" s="62"/>
      <c r="T32" s="62"/>
      <c r="U32" s="62"/>
      <c r="V32" s="62"/>
      <c r="W32" s="62"/>
      <c r="X32" s="62"/>
      <c r="Y32" s="62"/>
      <c r="Z32" s="62"/>
      <c r="AA32" s="62"/>
    </row>
    <row r="33" spans="4:27" x14ac:dyDescent="0.25">
      <c r="D33" s="62"/>
      <c r="E33" s="62"/>
      <c r="F33" s="62"/>
      <c r="G33" s="62"/>
      <c r="H33" s="62"/>
      <c r="I33" s="62"/>
      <c r="J33" s="62"/>
      <c r="K33" s="62"/>
      <c r="L33" s="62"/>
      <c r="M33" s="62"/>
      <c r="N33" s="21"/>
      <c r="O33" s="21"/>
      <c r="P33" s="21"/>
      <c r="Q33" s="21"/>
      <c r="R33" s="63"/>
      <c r="S33" s="62"/>
      <c r="T33" s="62"/>
      <c r="U33" s="62"/>
      <c r="V33" s="62"/>
      <c r="W33" s="62"/>
      <c r="X33" s="62"/>
      <c r="Y33" s="62"/>
      <c r="Z33" s="62"/>
      <c r="AA33" s="62"/>
    </row>
    <row r="34" spans="4:27" x14ac:dyDescent="0.25">
      <c r="D34" s="62"/>
      <c r="E34" s="62"/>
      <c r="F34" s="62"/>
      <c r="G34" s="62"/>
      <c r="H34" s="62"/>
      <c r="I34" s="62"/>
      <c r="J34" s="62"/>
      <c r="K34" s="62"/>
      <c r="L34" s="62"/>
      <c r="M34" s="62"/>
      <c r="N34" s="21"/>
      <c r="O34" s="21"/>
      <c r="P34" s="21"/>
      <c r="Q34" s="21"/>
      <c r="R34" s="63"/>
      <c r="S34" s="62"/>
      <c r="T34" s="62"/>
      <c r="U34" s="62"/>
      <c r="V34" s="62"/>
      <c r="W34" s="62"/>
      <c r="X34" s="62"/>
      <c r="Y34" s="62"/>
      <c r="Z34" s="62"/>
      <c r="AA34" s="62"/>
    </row>
    <row r="35" spans="4:27" x14ac:dyDescent="0.25">
      <c r="D35" s="62"/>
      <c r="E35" s="62"/>
      <c r="F35" s="62"/>
      <c r="G35" s="62"/>
      <c r="H35" s="62"/>
      <c r="I35" s="62"/>
      <c r="J35" s="62"/>
      <c r="K35" s="62"/>
      <c r="L35" s="62"/>
      <c r="M35" s="62"/>
      <c r="N35" s="21"/>
      <c r="O35" s="21"/>
      <c r="P35" s="21"/>
      <c r="Q35" s="21"/>
      <c r="R35" s="21"/>
      <c r="S35" s="62"/>
      <c r="T35" s="62"/>
      <c r="U35" s="62"/>
      <c r="V35" s="62"/>
      <c r="W35" s="62"/>
      <c r="X35" s="62"/>
      <c r="Y35" s="62"/>
      <c r="Z35" s="62"/>
      <c r="AA35" s="62"/>
    </row>
    <row r="36" spans="4:27" x14ac:dyDescent="0.25">
      <c r="D36" s="62"/>
      <c r="E36" s="62"/>
      <c r="F36" s="62"/>
      <c r="G36" s="62"/>
      <c r="H36" s="62"/>
      <c r="I36" s="62"/>
      <c r="J36" s="62"/>
      <c r="K36" s="62"/>
      <c r="L36" s="62"/>
      <c r="M36" s="62"/>
      <c r="N36" s="21"/>
      <c r="O36" s="21"/>
      <c r="P36" s="21"/>
      <c r="Q36" s="21"/>
      <c r="R36" s="21"/>
      <c r="S36" s="62"/>
      <c r="T36" s="62"/>
      <c r="U36" s="62"/>
      <c r="V36" s="62"/>
      <c r="W36" s="62"/>
      <c r="X36" s="62"/>
      <c r="Y36" s="62"/>
      <c r="Z36" s="62"/>
      <c r="AA36" s="62"/>
    </row>
    <row r="37" spans="4:27" x14ac:dyDescent="0.25">
      <c r="D37" s="62"/>
      <c r="E37" s="62"/>
      <c r="F37" s="62"/>
      <c r="G37" s="62"/>
      <c r="H37" s="62"/>
      <c r="I37" s="62"/>
      <c r="J37" s="62"/>
      <c r="K37" s="62"/>
      <c r="L37" s="62"/>
      <c r="M37" s="62"/>
      <c r="N37" s="21"/>
      <c r="O37" s="21"/>
      <c r="P37" s="21"/>
      <c r="Q37" s="21"/>
      <c r="R37" s="21"/>
      <c r="S37" s="62"/>
      <c r="T37" s="62"/>
      <c r="U37" s="62"/>
      <c r="V37" s="62"/>
      <c r="W37" s="62"/>
      <c r="X37" s="62"/>
      <c r="Y37" s="62"/>
      <c r="Z37" s="62"/>
      <c r="AA37" s="62"/>
    </row>
    <row r="38" spans="4:27" x14ac:dyDescent="0.25">
      <c r="D38" s="62"/>
      <c r="E38" s="62"/>
      <c r="F38" s="62"/>
      <c r="G38" s="62"/>
      <c r="H38" s="62"/>
      <c r="I38" s="62"/>
      <c r="J38" s="62"/>
      <c r="K38" s="62"/>
      <c r="L38" s="62"/>
      <c r="M38" s="62"/>
      <c r="N38" s="21"/>
      <c r="O38" s="21"/>
      <c r="P38" s="21"/>
      <c r="Q38" s="21"/>
      <c r="R38" s="21"/>
      <c r="S38" s="62"/>
      <c r="T38" s="62"/>
      <c r="U38" s="62"/>
      <c r="V38" s="62"/>
      <c r="W38" s="62"/>
      <c r="X38" s="62"/>
      <c r="Y38" s="62"/>
      <c r="Z38" s="62"/>
      <c r="AA38" s="62"/>
    </row>
    <row r="39" spans="4:27" x14ac:dyDescent="0.25">
      <c r="D39" s="62"/>
      <c r="E39" s="62"/>
      <c r="F39" s="62"/>
      <c r="G39" s="62"/>
      <c r="H39" s="62"/>
      <c r="I39" s="62"/>
      <c r="J39" s="62"/>
      <c r="K39" s="62"/>
      <c r="L39" s="62"/>
      <c r="M39" s="62"/>
      <c r="N39" s="21"/>
      <c r="O39" s="21"/>
      <c r="P39" s="21"/>
      <c r="Q39" s="21"/>
      <c r="R39" s="21"/>
      <c r="S39" s="62"/>
      <c r="T39" s="62"/>
      <c r="U39" s="62"/>
      <c r="V39" s="62"/>
      <c r="W39" s="62"/>
      <c r="X39" s="62"/>
      <c r="Y39" s="62"/>
      <c r="Z39" s="62"/>
      <c r="AA39" s="62"/>
    </row>
    <row r="40" spans="4:27" x14ac:dyDescent="0.25">
      <c r="D40" s="62"/>
      <c r="E40" s="62"/>
      <c r="F40" s="62"/>
      <c r="G40" s="62"/>
      <c r="H40" s="62"/>
      <c r="I40" s="62"/>
      <c r="J40" s="62"/>
      <c r="K40" s="62"/>
      <c r="L40" s="62"/>
      <c r="M40" s="62"/>
      <c r="N40" s="21"/>
      <c r="O40" s="21"/>
      <c r="P40" s="21"/>
      <c r="Q40" s="21"/>
      <c r="R40" s="21"/>
      <c r="S40" s="62"/>
      <c r="T40" s="62"/>
      <c r="U40" s="62"/>
      <c r="V40" s="62"/>
      <c r="W40" s="62"/>
      <c r="X40" s="62"/>
      <c r="Y40" s="62"/>
      <c r="Z40" s="62"/>
      <c r="AA40" s="62"/>
    </row>
    <row r="41" spans="4:27" x14ac:dyDescent="0.25">
      <c r="D41" s="62"/>
      <c r="E41" s="62"/>
      <c r="F41" s="62"/>
      <c r="G41" s="62"/>
      <c r="H41" s="62"/>
      <c r="I41" s="62"/>
      <c r="J41" s="62"/>
      <c r="K41" s="62"/>
      <c r="L41" s="62"/>
      <c r="M41" s="62"/>
      <c r="N41" s="21"/>
      <c r="O41" s="21"/>
      <c r="P41" s="21"/>
      <c r="Q41" s="21"/>
      <c r="R41" s="21"/>
      <c r="S41" s="62"/>
      <c r="T41" s="62"/>
      <c r="U41" s="62"/>
      <c r="V41" s="62"/>
      <c r="W41" s="62"/>
      <c r="X41" s="62"/>
      <c r="Y41" s="62"/>
      <c r="Z41" s="62"/>
      <c r="AA41" s="62"/>
    </row>
    <row r="42" spans="4:27" x14ac:dyDescent="0.25">
      <c r="D42" s="62"/>
      <c r="E42" s="62"/>
      <c r="F42" s="62"/>
      <c r="G42" s="62"/>
      <c r="H42" s="62"/>
      <c r="I42" s="62"/>
      <c r="J42" s="62"/>
      <c r="K42" s="62"/>
      <c r="L42" s="62"/>
      <c r="M42" s="62"/>
      <c r="N42" s="21"/>
      <c r="O42" s="21"/>
      <c r="P42" s="21"/>
      <c r="Q42" s="21"/>
      <c r="R42" s="21"/>
      <c r="S42" s="62"/>
      <c r="T42" s="62"/>
      <c r="U42" s="62"/>
      <c r="V42" s="62"/>
      <c r="W42" s="62"/>
      <c r="X42" s="62"/>
      <c r="Y42" s="62"/>
      <c r="Z42" s="62"/>
      <c r="AA42" s="62"/>
    </row>
    <row r="43" spans="4:27" x14ac:dyDescent="0.25">
      <c r="D43" s="62"/>
      <c r="E43" s="62"/>
      <c r="F43" s="62"/>
      <c r="G43" s="62"/>
      <c r="H43" s="62"/>
      <c r="I43" s="62"/>
      <c r="J43" s="62"/>
      <c r="K43" s="62"/>
      <c r="L43" s="62"/>
      <c r="M43" s="62"/>
      <c r="N43" s="21"/>
      <c r="O43" s="21"/>
      <c r="P43" s="21"/>
      <c r="Q43" s="21"/>
      <c r="R43" s="21"/>
      <c r="S43" s="62"/>
      <c r="T43" s="62"/>
      <c r="U43" s="62"/>
      <c r="V43" s="62"/>
      <c r="W43" s="62"/>
      <c r="X43" s="62"/>
      <c r="Y43" s="62"/>
      <c r="Z43" s="62"/>
      <c r="AA43" s="62"/>
    </row>
    <row r="44" spans="4:27" x14ac:dyDescent="0.25">
      <c r="D44" s="62"/>
      <c r="E44" s="62"/>
      <c r="F44" s="62"/>
      <c r="G44" s="62"/>
      <c r="H44" s="62"/>
      <c r="I44" s="62"/>
      <c r="J44" s="62"/>
      <c r="K44" s="62"/>
      <c r="L44" s="62"/>
      <c r="M44" s="62"/>
      <c r="N44" s="21"/>
      <c r="O44" s="21"/>
      <c r="P44" s="21"/>
      <c r="Q44" s="21"/>
      <c r="R44" s="21"/>
      <c r="S44" s="62"/>
      <c r="T44" s="62"/>
      <c r="U44" s="62"/>
      <c r="V44" s="62"/>
      <c r="W44" s="62"/>
      <c r="X44" s="62"/>
      <c r="Y44" s="62"/>
      <c r="Z44" s="62"/>
      <c r="AA44" s="62"/>
    </row>
    <row r="45" spans="4:27" x14ac:dyDescent="0.25">
      <c r="D45" s="62"/>
      <c r="E45" s="62"/>
      <c r="F45" s="62"/>
      <c r="G45" s="62"/>
      <c r="H45" s="62"/>
      <c r="I45" s="62"/>
      <c r="J45" s="62"/>
      <c r="K45" s="62"/>
      <c r="L45" s="62"/>
      <c r="M45" s="62"/>
      <c r="N45" s="21"/>
      <c r="O45" s="21"/>
      <c r="P45" s="21"/>
      <c r="Q45" s="21"/>
      <c r="R45" s="21"/>
      <c r="S45" s="62"/>
      <c r="T45" s="62"/>
      <c r="U45" s="62"/>
      <c r="V45" s="62"/>
      <c r="W45" s="62"/>
      <c r="X45" s="62"/>
      <c r="Y45" s="62"/>
      <c r="Z45" s="62"/>
      <c r="AA45" s="62"/>
    </row>
    <row r="46" spans="4:27" x14ac:dyDescent="0.25">
      <c r="D46" s="62"/>
      <c r="E46" s="62"/>
      <c r="F46" s="62"/>
      <c r="G46" s="62"/>
      <c r="H46" s="62"/>
      <c r="I46" s="62"/>
      <c r="J46" s="62"/>
      <c r="K46" s="62"/>
      <c r="L46" s="62"/>
      <c r="M46" s="62"/>
      <c r="N46" s="21"/>
      <c r="O46" s="21"/>
      <c r="P46" s="21"/>
      <c r="Q46" s="21"/>
      <c r="R46" s="21"/>
      <c r="S46" s="62"/>
      <c r="T46" s="62"/>
      <c r="U46" s="62"/>
      <c r="V46" s="62"/>
      <c r="W46" s="62"/>
      <c r="X46" s="62"/>
      <c r="Y46" s="62"/>
      <c r="Z46" s="62"/>
      <c r="AA46" s="62"/>
    </row>
    <row r="47" spans="4:27" x14ac:dyDescent="0.25">
      <c r="D47" s="62"/>
      <c r="E47" s="62"/>
      <c r="F47" s="62"/>
      <c r="G47" s="62"/>
      <c r="H47" s="62"/>
      <c r="I47" s="62"/>
      <c r="J47" s="62"/>
      <c r="K47" s="62"/>
      <c r="L47" s="62"/>
      <c r="M47" s="62"/>
      <c r="N47" s="21"/>
      <c r="O47" s="21"/>
      <c r="P47" s="21"/>
      <c r="Q47" s="21"/>
      <c r="R47" s="21"/>
      <c r="S47" s="62"/>
      <c r="T47" s="62"/>
      <c r="U47" s="62"/>
      <c r="V47" s="62"/>
      <c r="W47" s="62"/>
      <c r="X47" s="62"/>
      <c r="Y47" s="62"/>
      <c r="Z47" s="62"/>
      <c r="AA47" s="62"/>
    </row>
    <row r="48" spans="4:27" x14ac:dyDescent="0.25">
      <c r="D48" s="62"/>
      <c r="E48" s="62"/>
      <c r="F48" s="62"/>
      <c r="G48" s="62"/>
      <c r="H48" s="62"/>
      <c r="I48" s="62"/>
      <c r="J48" s="62"/>
      <c r="K48" s="62"/>
      <c r="L48" s="62"/>
      <c r="M48" s="62"/>
      <c r="N48" s="21"/>
      <c r="O48" s="21"/>
      <c r="P48" s="21"/>
      <c r="Q48" s="21"/>
      <c r="R48" s="21"/>
      <c r="S48" s="62"/>
      <c r="T48" s="62"/>
      <c r="U48" s="62"/>
      <c r="V48" s="62"/>
      <c r="W48" s="62"/>
      <c r="X48" s="62"/>
      <c r="Y48" s="62"/>
      <c r="Z48" s="62"/>
      <c r="AA48" s="62"/>
    </row>
    <row r="49" spans="3:27" x14ac:dyDescent="0.25">
      <c r="D49" s="62"/>
      <c r="E49" s="62"/>
      <c r="F49" s="62"/>
      <c r="G49" s="62"/>
      <c r="H49" s="62"/>
      <c r="I49" s="62"/>
      <c r="J49" s="62"/>
      <c r="K49" s="62"/>
      <c r="L49" s="62"/>
      <c r="M49" s="62"/>
      <c r="N49" s="21"/>
      <c r="O49" s="21"/>
      <c r="P49" s="21"/>
      <c r="Q49" s="21"/>
      <c r="R49" s="21"/>
      <c r="S49" s="62"/>
      <c r="T49" s="62"/>
      <c r="U49" s="62"/>
      <c r="V49" s="62"/>
      <c r="W49" s="62"/>
      <c r="X49" s="62"/>
      <c r="Y49" s="62"/>
      <c r="Z49" s="62"/>
      <c r="AA49" s="62"/>
    </row>
    <row r="50" spans="3:27" x14ac:dyDescent="0.25">
      <c r="D50" s="62"/>
      <c r="E50" s="62"/>
      <c r="F50" s="62"/>
      <c r="G50" s="62"/>
      <c r="H50" s="62"/>
      <c r="I50" s="62"/>
      <c r="J50" s="62"/>
      <c r="K50" s="62"/>
      <c r="L50" s="62"/>
      <c r="M50" s="62"/>
      <c r="N50" s="21"/>
      <c r="O50" s="21"/>
      <c r="P50" s="21"/>
      <c r="Q50" s="21"/>
      <c r="R50" s="21"/>
      <c r="S50" s="62"/>
      <c r="T50" s="62"/>
      <c r="U50" s="62"/>
      <c r="V50" s="62"/>
      <c r="W50" s="62"/>
      <c r="X50" s="62"/>
      <c r="Y50" s="62"/>
      <c r="Z50" s="62"/>
      <c r="AA50" s="62"/>
    </row>
    <row r="51" spans="3:27" x14ac:dyDescent="0.25">
      <c r="D51" s="62"/>
      <c r="E51" s="62"/>
      <c r="F51" s="62"/>
      <c r="G51" s="62"/>
      <c r="H51" s="62"/>
      <c r="I51" s="62"/>
      <c r="J51" s="62"/>
      <c r="K51" s="62"/>
      <c r="L51" s="62"/>
      <c r="M51" s="62"/>
      <c r="N51" s="21"/>
      <c r="O51" s="21"/>
      <c r="P51" s="21"/>
      <c r="Q51" s="21"/>
      <c r="R51" s="21"/>
      <c r="S51" s="62"/>
      <c r="T51" s="62"/>
      <c r="U51" s="62"/>
      <c r="V51" s="62"/>
      <c r="W51" s="62"/>
      <c r="X51" s="62"/>
      <c r="Y51" s="62"/>
      <c r="Z51" s="62"/>
      <c r="AA51" s="62"/>
    </row>
    <row r="52" spans="3:27" x14ac:dyDescent="0.25">
      <c r="D52" s="62"/>
      <c r="E52" s="62"/>
      <c r="F52" s="62"/>
      <c r="G52" s="62"/>
      <c r="H52" s="62"/>
      <c r="I52" s="62"/>
      <c r="J52" s="62"/>
      <c r="K52" s="62"/>
      <c r="L52" s="62"/>
      <c r="M52" s="62"/>
      <c r="N52" s="21"/>
      <c r="O52" s="21"/>
      <c r="P52" s="21"/>
      <c r="Q52" s="21"/>
      <c r="R52" s="21"/>
      <c r="S52" s="62"/>
      <c r="T52" s="62"/>
      <c r="U52" s="62"/>
      <c r="V52" s="62"/>
      <c r="W52" s="62"/>
      <c r="X52" s="62"/>
      <c r="Y52" s="62"/>
      <c r="Z52" s="62"/>
      <c r="AA52" s="62"/>
    </row>
    <row r="53" spans="3:27" x14ac:dyDescent="0.25">
      <c r="D53" s="62"/>
      <c r="E53" s="62"/>
      <c r="F53" s="62"/>
      <c r="G53" s="62"/>
      <c r="H53" s="62"/>
      <c r="I53" s="62"/>
      <c r="J53" s="62"/>
      <c r="K53" s="62"/>
      <c r="L53" s="62"/>
      <c r="M53" s="62"/>
      <c r="N53" s="21"/>
      <c r="O53" s="21"/>
      <c r="P53" s="21"/>
      <c r="Q53" s="21"/>
      <c r="R53" s="21"/>
      <c r="S53" s="62"/>
      <c r="T53" s="62"/>
      <c r="U53" s="62"/>
      <c r="V53" s="62"/>
      <c r="W53" s="62"/>
      <c r="X53" s="62"/>
      <c r="Y53" s="62"/>
      <c r="Z53" s="62"/>
      <c r="AA53" s="62"/>
    </row>
    <row r="54" spans="3:27" x14ac:dyDescent="0.25">
      <c r="D54" s="62"/>
      <c r="E54" s="62"/>
      <c r="F54" s="62"/>
      <c r="G54" s="62"/>
      <c r="H54" s="62"/>
      <c r="I54" s="62"/>
      <c r="J54" s="62"/>
      <c r="K54" s="62"/>
      <c r="L54" s="62"/>
      <c r="M54" s="62"/>
      <c r="N54" s="21"/>
      <c r="O54" s="21"/>
      <c r="P54" s="21"/>
      <c r="Q54" s="21"/>
      <c r="R54" s="21"/>
      <c r="S54" s="62"/>
      <c r="T54" s="62"/>
      <c r="U54" s="62"/>
      <c r="V54" s="62"/>
      <c r="W54" s="62"/>
      <c r="X54" s="62"/>
      <c r="Y54" s="62"/>
      <c r="Z54" s="62"/>
      <c r="AA54" s="62"/>
    </row>
    <row r="55" spans="3:27" x14ac:dyDescent="0.25">
      <c r="D55" s="62"/>
      <c r="E55" s="62"/>
      <c r="F55" s="62"/>
      <c r="G55" s="62"/>
      <c r="H55" s="62"/>
      <c r="I55" s="62"/>
      <c r="J55" s="62"/>
      <c r="K55" s="62"/>
      <c r="L55" s="62"/>
      <c r="M55" s="62"/>
      <c r="N55" s="21"/>
      <c r="O55" s="21"/>
      <c r="P55" s="21"/>
      <c r="Q55" s="21"/>
      <c r="R55" s="21"/>
      <c r="S55" s="62"/>
      <c r="T55" s="62"/>
      <c r="U55" s="62"/>
      <c r="V55" s="62"/>
      <c r="W55" s="62"/>
      <c r="X55" s="62"/>
      <c r="Y55" s="62"/>
      <c r="Z55" s="62"/>
      <c r="AA55" s="62"/>
    </row>
    <row r="56" spans="3:27" x14ac:dyDescent="0.25">
      <c r="D56" s="62"/>
      <c r="E56" s="62"/>
      <c r="F56" s="62"/>
      <c r="G56" s="62"/>
      <c r="H56" s="62"/>
      <c r="I56" s="62"/>
      <c r="J56" s="62"/>
      <c r="K56" s="62"/>
      <c r="L56" s="62"/>
      <c r="M56" s="62"/>
      <c r="N56" s="21"/>
      <c r="O56" s="21"/>
      <c r="P56" s="21"/>
      <c r="Q56" s="21"/>
      <c r="R56" s="21"/>
      <c r="S56" s="62"/>
      <c r="T56" s="62"/>
      <c r="U56" s="62"/>
      <c r="V56" s="62"/>
      <c r="W56" s="62"/>
      <c r="X56" s="62"/>
      <c r="Y56" s="62"/>
      <c r="Z56" s="62"/>
      <c r="AA56" s="62"/>
    </row>
    <row r="57" spans="3:27" x14ac:dyDescent="0.25">
      <c r="D57" s="62"/>
      <c r="E57" s="62"/>
      <c r="F57" s="62"/>
      <c r="G57" s="62"/>
      <c r="H57" s="62"/>
      <c r="I57" s="62"/>
      <c r="J57" s="62"/>
      <c r="K57" s="62"/>
      <c r="L57" s="62"/>
      <c r="M57" s="62"/>
      <c r="N57" s="21"/>
      <c r="O57" s="21"/>
      <c r="P57" s="21"/>
      <c r="Q57" s="21"/>
      <c r="R57" s="21"/>
      <c r="S57" s="62"/>
      <c r="T57" s="62"/>
      <c r="U57" s="62"/>
      <c r="V57" s="62"/>
      <c r="W57" s="62"/>
      <c r="X57" s="62"/>
      <c r="Y57" s="62"/>
      <c r="Z57" s="62"/>
      <c r="AA57" s="62"/>
    </row>
    <row r="58" spans="3:27" x14ac:dyDescent="0.25">
      <c r="D58" s="62"/>
      <c r="E58" s="62"/>
      <c r="F58" s="62"/>
      <c r="G58" s="62"/>
      <c r="H58" s="62"/>
      <c r="I58" s="62"/>
      <c r="J58" s="62"/>
      <c r="K58" s="62"/>
      <c r="L58" s="62"/>
      <c r="M58" s="62"/>
      <c r="N58" s="21"/>
      <c r="O58" s="21"/>
      <c r="P58" s="21"/>
      <c r="Q58" s="21"/>
      <c r="R58" s="21"/>
      <c r="S58" s="62"/>
      <c r="T58" s="62"/>
      <c r="U58" s="62"/>
      <c r="V58" s="62"/>
      <c r="W58" s="62"/>
      <c r="X58" s="62"/>
      <c r="Y58" s="62"/>
      <c r="Z58" s="62"/>
      <c r="AA58" s="62"/>
    </row>
    <row r="59" spans="3:27" x14ac:dyDescent="0.25">
      <c r="D59" s="62"/>
      <c r="E59" s="62"/>
      <c r="F59" s="62"/>
      <c r="G59" s="62"/>
      <c r="H59" s="62"/>
      <c r="I59" s="62"/>
      <c r="J59" s="62"/>
      <c r="K59" s="62"/>
      <c r="L59" s="62"/>
      <c r="M59" s="62"/>
      <c r="N59" s="21"/>
      <c r="O59" s="21"/>
      <c r="P59" s="21"/>
      <c r="Q59" s="21"/>
      <c r="R59" s="21"/>
      <c r="S59" s="62"/>
      <c r="T59" s="62"/>
      <c r="U59" s="62"/>
      <c r="V59" s="62"/>
      <c r="W59" s="62"/>
      <c r="X59" s="62"/>
      <c r="Y59" s="62"/>
      <c r="Z59" s="62"/>
      <c r="AA59" s="62"/>
    </row>
    <row r="60" spans="3:27" x14ac:dyDescent="0.25">
      <c r="C60" s="61"/>
    </row>
    <row r="61" spans="3:27" x14ac:dyDescent="0.25">
      <c r="D61" s="62"/>
      <c r="E61" s="62"/>
      <c r="F61" s="62"/>
      <c r="G61" s="62"/>
      <c r="H61" s="62"/>
      <c r="I61" s="62"/>
    </row>
    <row r="62" spans="3:27" x14ac:dyDescent="0.25">
      <c r="D62" s="62"/>
      <c r="E62" s="62"/>
      <c r="F62" s="62"/>
      <c r="G62" s="62"/>
      <c r="H62" s="62"/>
      <c r="I62" s="62"/>
    </row>
    <row r="63" spans="3:27" x14ac:dyDescent="0.25">
      <c r="C63" s="61"/>
      <c r="D63" s="62"/>
      <c r="E63" s="62"/>
      <c r="F63" s="62"/>
      <c r="G63" s="62"/>
      <c r="H63" s="62"/>
      <c r="I63" s="62"/>
    </row>
    <row r="64" spans="3:27" x14ac:dyDescent="0.25">
      <c r="D64" s="62"/>
      <c r="E64" s="62"/>
      <c r="F64" s="62"/>
      <c r="G64" s="62"/>
      <c r="H64" s="62"/>
      <c r="I64" s="62"/>
    </row>
    <row r="65" spans="4:9" x14ac:dyDescent="0.25">
      <c r="D65" s="62"/>
      <c r="E65" s="62"/>
      <c r="F65" s="62"/>
      <c r="G65" s="62"/>
      <c r="H65" s="62"/>
      <c r="I65" s="62"/>
    </row>
    <row r="66" spans="4:9" x14ac:dyDescent="0.25">
      <c r="D66" s="62"/>
      <c r="E66" s="62"/>
      <c r="F66" s="62"/>
      <c r="G66" s="62"/>
      <c r="H66" s="62"/>
      <c r="I66" s="62"/>
    </row>
    <row r="67" spans="4:9" hidden="1" x14ac:dyDescent="0.25">
      <c r="D67" s="62"/>
      <c r="E67" s="62"/>
      <c r="F67" s="62"/>
      <c r="G67" s="62"/>
      <c r="H67" s="62"/>
      <c r="I67" s="62"/>
    </row>
    <row r="68" spans="4:9" x14ac:dyDescent="0.25">
      <c r="D68" s="62"/>
      <c r="E68" s="62"/>
      <c r="F68" s="62"/>
      <c r="G68" s="62"/>
      <c r="H68" s="62"/>
      <c r="I68" s="62"/>
    </row>
    <row r="69" spans="4:9" x14ac:dyDescent="0.25">
      <c r="D69" s="62"/>
      <c r="E69" s="62"/>
      <c r="F69" s="62"/>
      <c r="G69" s="62"/>
      <c r="H69" s="62"/>
      <c r="I69" s="62"/>
    </row>
    <row r="70" spans="4:9" x14ac:dyDescent="0.25">
      <c r="D70" s="62"/>
      <c r="E70" s="62"/>
      <c r="F70" s="62"/>
      <c r="G70" s="62"/>
      <c r="H70" s="62"/>
      <c r="I70" s="62"/>
    </row>
    <row r="71" spans="4:9" x14ac:dyDescent="0.25">
      <c r="D71" s="62"/>
      <c r="E71" s="62"/>
      <c r="F71" s="62"/>
      <c r="G71" s="62"/>
      <c r="H71" s="62"/>
      <c r="I71" s="62"/>
    </row>
    <row r="72" spans="4:9" x14ac:dyDescent="0.25">
      <c r="D72" s="62"/>
      <c r="E72" s="62"/>
      <c r="F72" s="62"/>
      <c r="G72" s="62"/>
      <c r="H72" s="62"/>
      <c r="I72" s="62"/>
    </row>
    <row r="73" spans="4:9" x14ac:dyDescent="0.25">
      <c r="D73" s="62"/>
      <c r="E73" s="62"/>
      <c r="F73" s="62"/>
      <c r="G73" s="62"/>
      <c r="H73" s="62"/>
      <c r="I73" s="62"/>
    </row>
    <row r="74" spans="4:9" x14ac:dyDescent="0.25">
      <c r="D74" s="62"/>
      <c r="E74" s="62"/>
      <c r="F74" s="62"/>
      <c r="G74" s="62"/>
      <c r="H74" s="62"/>
      <c r="I74" s="62"/>
    </row>
    <row r="75" spans="4:9" x14ac:dyDescent="0.25">
      <c r="D75" s="62"/>
      <c r="E75" s="62"/>
      <c r="F75" s="62"/>
      <c r="G75" s="62"/>
      <c r="H75" s="62"/>
      <c r="I75" s="62"/>
    </row>
    <row r="76" spans="4:9" x14ac:dyDescent="0.25">
      <c r="D76" s="62"/>
      <c r="E76" s="62"/>
      <c r="F76" s="62"/>
      <c r="G76" s="62"/>
      <c r="H76" s="62"/>
      <c r="I76" s="62"/>
    </row>
    <row r="77" spans="4:9" x14ac:dyDescent="0.25">
      <c r="D77" s="62"/>
      <c r="E77" s="62"/>
      <c r="F77" s="62"/>
      <c r="G77" s="62"/>
      <c r="H77" s="62"/>
      <c r="I77" s="62"/>
    </row>
    <row r="78" spans="4:9" x14ac:dyDescent="0.25">
      <c r="D78" s="62"/>
      <c r="E78" s="62"/>
      <c r="F78" s="62"/>
      <c r="G78" s="62"/>
      <c r="H78" s="62"/>
      <c r="I78" s="62"/>
    </row>
    <row r="79" spans="4:9" x14ac:dyDescent="0.25">
      <c r="D79" s="62"/>
      <c r="E79" s="62"/>
      <c r="F79" s="62"/>
      <c r="G79" s="62"/>
      <c r="H79" s="62"/>
      <c r="I79" s="62"/>
    </row>
    <row r="80" spans="4:9" x14ac:dyDescent="0.25">
      <c r="D80" s="62"/>
      <c r="E80" s="62"/>
      <c r="F80" s="62"/>
      <c r="G80" s="62"/>
      <c r="H80" s="62"/>
      <c r="I80" s="62"/>
    </row>
    <row r="81" spans="3:9" x14ac:dyDescent="0.25">
      <c r="D81" s="62"/>
      <c r="E81" s="62"/>
      <c r="F81" s="62"/>
      <c r="G81" s="62"/>
      <c r="H81" s="62"/>
      <c r="I81" s="62"/>
    </row>
    <row r="82" spans="3:9" x14ac:dyDescent="0.25">
      <c r="D82" s="62"/>
      <c r="E82" s="62"/>
      <c r="F82" s="62"/>
      <c r="G82" s="62"/>
      <c r="H82" s="62"/>
      <c r="I82" s="62"/>
    </row>
    <row r="83" spans="3:9" x14ac:dyDescent="0.25">
      <c r="C83" s="64"/>
    </row>
  </sheetData>
  <phoneticPr fontId="1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4:T54"/>
  <sheetViews>
    <sheetView workbookViewId="0">
      <selection activeCell="B59" sqref="B59"/>
    </sheetView>
  </sheetViews>
  <sheetFormatPr defaultColWidth="9" defaultRowHeight="13.5" x14ac:dyDescent="0.15"/>
  <sheetData>
    <row r="4" spans="2:20" x14ac:dyDescent="0.15">
      <c r="B4" t="s">
        <v>71</v>
      </c>
    </row>
    <row r="5" spans="2:20" x14ac:dyDescent="0.15">
      <c r="C5" s="67" t="str">
        <f>LISHX!K6</f>
        <v>BASE</v>
      </c>
      <c r="D5" s="67" t="str">
        <f>LISHX!L6</f>
        <v>BASE</v>
      </c>
      <c r="E5" s="67" t="str">
        <f>LISHX!M6</f>
        <v>SIM1</v>
      </c>
      <c r="F5" s="67" t="str">
        <f>LISHX!N6</f>
        <v>SIM1</v>
      </c>
      <c r="G5" s="67" t="str">
        <f>LISHX!O6</f>
        <v>SIM2</v>
      </c>
      <c r="H5" s="67" t="str">
        <f>LISHX!P6</f>
        <v>SIM2</v>
      </c>
      <c r="I5" s="67" t="str">
        <f>LISHX!Q6</f>
        <v>SIM3</v>
      </c>
      <c r="J5" s="67" t="str">
        <f>LISHX!R6</f>
        <v>SIM3</v>
      </c>
      <c r="K5" s="67">
        <f>LISHX!S6</f>
        <v>0</v>
      </c>
      <c r="L5" s="67">
        <f>LISHX!T6</f>
        <v>0</v>
      </c>
      <c r="M5" s="67">
        <f>LISHX!U6</f>
        <v>0</v>
      </c>
      <c r="N5" s="67">
        <f>LISHX!V6</f>
        <v>0</v>
      </c>
      <c r="O5">
        <f>LISHX!W6</f>
        <v>0</v>
      </c>
      <c r="P5">
        <f>LISHX!X6</f>
        <v>0</v>
      </c>
      <c r="Q5">
        <f>LISHX!Y6</f>
        <v>0</v>
      </c>
      <c r="R5">
        <f>LISHX!Z6</f>
        <v>0</v>
      </c>
      <c r="S5">
        <f>LISHX!AA6</f>
        <v>0</v>
      </c>
      <c r="T5">
        <f>LISHX!AB6</f>
        <v>0</v>
      </c>
    </row>
    <row r="6" spans="2:20" x14ac:dyDescent="0.15">
      <c r="C6" s="67" t="str">
        <f>LISHX!K7</f>
        <v>2025</v>
      </c>
      <c r="D6" s="67" t="str">
        <f>LISHX!L7</f>
        <v>2030</v>
      </c>
      <c r="E6" s="67" t="str">
        <f>LISHX!M7</f>
        <v>2025</v>
      </c>
      <c r="F6" s="67" t="str">
        <f>LISHX!N7</f>
        <v>2030</v>
      </c>
      <c r="G6" s="67" t="str">
        <f>LISHX!O7</f>
        <v>2025</v>
      </c>
      <c r="H6" s="67" t="str">
        <f>LISHX!P7</f>
        <v>2030</v>
      </c>
      <c r="I6" s="67" t="str">
        <f>LISHX!Q7</f>
        <v>2025</v>
      </c>
      <c r="J6" s="67" t="str">
        <f>LISHX!R7</f>
        <v>2030</v>
      </c>
      <c r="K6" s="67">
        <f>LISHX!S7</f>
        <v>0</v>
      </c>
      <c r="L6" s="67">
        <f>LISHX!T7</f>
        <v>0</v>
      </c>
      <c r="M6" s="67">
        <f>LISHX!U7</f>
        <v>0</v>
      </c>
      <c r="N6" s="67">
        <f>LISHX!V7</f>
        <v>0</v>
      </c>
      <c r="O6">
        <f>LISHX!W7</f>
        <v>0</v>
      </c>
      <c r="P6">
        <f>LISHX!X7</f>
        <v>0</v>
      </c>
      <c r="Q6">
        <f>LISHX!Y7</f>
        <v>0</v>
      </c>
      <c r="R6">
        <f>LISHX!Z7</f>
        <v>0</v>
      </c>
      <c r="S6">
        <f>LISHX!AA7</f>
        <v>0</v>
      </c>
      <c r="T6">
        <f>LISHX!AB7</f>
        <v>0</v>
      </c>
    </row>
    <row r="7" spans="2:20" x14ac:dyDescent="0.15">
      <c r="B7" s="67" t="str">
        <f>LISHX!J8</f>
        <v>AREA</v>
      </c>
      <c r="C7">
        <f>LISHX!K8</f>
        <v>11931.9</v>
      </c>
      <c r="D7">
        <f>LISHX!L8</f>
        <v>11998.496061716454</v>
      </c>
      <c r="E7">
        <f>LISHX!M8</f>
        <v>11931.9</v>
      </c>
      <c r="F7">
        <f>LISHX!N8</f>
        <v>12007.389129525416</v>
      </c>
      <c r="G7">
        <f>LISHX!O8</f>
        <v>11931.9</v>
      </c>
      <c r="H7">
        <f>LISHX!P8</f>
        <v>12018.272150954646</v>
      </c>
      <c r="I7">
        <f>LISHX!Q8</f>
        <v>11931.9</v>
      </c>
      <c r="J7">
        <f>LISHX!R8</f>
        <v>11999.77619225407</v>
      </c>
      <c r="K7">
        <f>LISHX!S8</f>
        <v>0</v>
      </c>
      <c r="L7">
        <f>LISHX!T8</f>
        <v>0</v>
      </c>
      <c r="M7">
        <f>LISHX!U8</f>
        <v>0</v>
      </c>
      <c r="N7">
        <f>LISHX!V8</f>
        <v>0</v>
      </c>
      <c r="O7">
        <f>LISHX!W8</f>
        <v>0</v>
      </c>
      <c r="P7">
        <f>LISHX!X8</f>
        <v>0</v>
      </c>
      <c r="Q7">
        <f>LISHX!Y8</f>
        <v>0</v>
      </c>
      <c r="R7">
        <f>LISHX!Z8</f>
        <v>0</v>
      </c>
      <c r="S7">
        <f>LISHX!AA8</f>
        <v>0</v>
      </c>
      <c r="T7">
        <f>LISHX!AB8</f>
        <v>0</v>
      </c>
    </row>
    <row r="8" spans="2:20" x14ac:dyDescent="0.15">
      <c r="B8" s="67" t="str">
        <f>LISHX!J9</f>
        <v>YIELD</v>
      </c>
      <c r="C8">
        <f>LISHX!K9</f>
        <v>33.524714087454306</v>
      </c>
      <c r="D8">
        <f>LISHX!L9</f>
        <v>34.324919230726721</v>
      </c>
      <c r="E8">
        <f>LISHX!M9</f>
        <v>33.524714087454306</v>
      </c>
      <c r="F8">
        <f>LISHX!N9</f>
        <v>34.824933836968562</v>
      </c>
      <c r="G8">
        <f>LISHX!O9</f>
        <v>33.524714087454306</v>
      </c>
      <c r="H8">
        <f>LISHX!P9</f>
        <v>35.212447533296007</v>
      </c>
      <c r="I8">
        <f>LISHX!Q9</f>
        <v>33.524714087454306</v>
      </c>
      <c r="J8">
        <f>LISHX!R9</f>
        <v>34.530330687925947</v>
      </c>
      <c r="K8">
        <f>LISHX!S9</f>
        <v>0</v>
      </c>
      <c r="L8">
        <f>LISHX!T9</f>
        <v>0</v>
      </c>
      <c r="M8">
        <f>LISHX!U9</f>
        <v>0</v>
      </c>
      <c r="N8">
        <f>LISHX!V9</f>
        <v>0</v>
      </c>
      <c r="O8">
        <f>LISHX!W9</f>
        <v>0</v>
      </c>
      <c r="P8">
        <f>LISHX!X9</f>
        <v>0</v>
      </c>
      <c r="Q8">
        <f>LISHX!Y9</f>
        <v>0</v>
      </c>
      <c r="R8">
        <f>LISHX!Z9</f>
        <v>0</v>
      </c>
      <c r="S8">
        <f>LISHX!AA9</f>
        <v>0</v>
      </c>
      <c r="T8">
        <f>LISHX!AB9</f>
        <v>0</v>
      </c>
    </row>
    <row r="9" spans="2:20" x14ac:dyDescent="0.15">
      <c r="B9" s="67" t="str">
        <f>LISHX!J10</f>
        <v>TOTAL SUPPLY</v>
      </c>
      <c r="C9">
        <f>LISHX!K10</f>
        <v>86074</v>
      </c>
      <c r="D9">
        <f>LISHX!L10</f>
        <v>86835.034938957862</v>
      </c>
      <c r="E9">
        <f>LISHX!M10</f>
        <v>86074</v>
      </c>
      <c r="F9">
        <f>LISHX!N10</f>
        <v>87057.225807540206</v>
      </c>
      <c r="G9">
        <f>LISHX!O10</f>
        <v>86074</v>
      </c>
      <c r="H9">
        <f>LISHX!P10</f>
        <v>87929.306091346429</v>
      </c>
      <c r="I9">
        <f>LISHX!Q10</f>
        <v>86074</v>
      </c>
      <c r="J9">
        <f>LISHX!R10</f>
        <v>86599.423790028814</v>
      </c>
      <c r="K9">
        <f>LISHX!S10</f>
        <v>0</v>
      </c>
      <c r="L9">
        <f>LISHX!T10</f>
        <v>0</v>
      </c>
      <c r="M9">
        <f>LISHX!U10</f>
        <v>0</v>
      </c>
      <c r="N9">
        <f>LISHX!V10</f>
        <v>0</v>
      </c>
      <c r="O9">
        <f>LISHX!W10</f>
        <v>0</v>
      </c>
      <c r="P9">
        <f>LISHX!X10</f>
        <v>0</v>
      </c>
      <c r="Q9">
        <f>LISHX!Y10</f>
        <v>0</v>
      </c>
      <c r="R9">
        <f>LISHX!Z10</f>
        <v>0</v>
      </c>
      <c r="S9">
        <f>LISHX!AA10</f>
        <v>0</v>
      </c>
      <c r="T9">
        <f>LISHX!AB10</f>
        <v>0</v>
      </c>
    </row>
    <row r="10" spans="2:20" x14ac:dyDescent="0.15">
      <c r="B10" s="67" t="str">
        <f>LISHX!J11</f>
        <v>PRODUCTION</v>
      </c>
      <c r="C10">
        <f>LISHX!K11</f>
        <v>70650</v>
      </c>
      <c r="D10">
        <f>LISHX!L11</f>
        <v>72530.430960918602</v>
      </c>
      <c r="E10">
        <f>LISHX!M11</f>
        <v>70650</v>
      </c>
      <c r="F10">
        <f>LISHX!N11</f>
        <v>73660.642021964115</v>
      </c>
      <c r="G10">
        <f>LISHX!O11</f>
        <v>70650</v>
      </c>
      <c r="H10">
        <f>LISHX!P11</f>
        <v>74579.340831569469</v>
      </c>
      <c r="I10">
        <f>LISHX!Q11</f>
        <v>70650</v>
      </c>
      <c r="J10">
        <f>LISHX!R11</f>
        <v>72967.600226190465</v>
      </c>
      <c r="K10">
        <f>LISHX!S11</f>
        <v>0</v>
      </c>
      <c r="L10">
        <f>LISHX!T11</f>
        <v>0</v>
      </c>
      <c r="M10">
        <f>LISHX!U11</f>
        <v>0</v>
      </c>
      <c r="N10">
        <f>LISHX!V11</f>
        <v>0</v>
      </c>
      <c r="O10">
        <f>LISHX!W11</f>
        <v>0</v>
      </c>
      <c r="P10">
        <f>LISHX!X11</f>
        <v>0</v>
      </c>
      <c r="Q10">
        <f>LISHX!Y11</f>
        <v>0</v>
      </c>
      <c r="R10">
        <f>LISHX!Z11</f>
        <v>0</v>
      </c>
      <c r="S10">
        <f>LISHX!AA11</f>
        <v>0</v>
      </c>
      <c r="T10">
        <f>LISHX!AB11</f>
        <v>0</v>
      </c>
    </row>
    <row r="11" spans="2:20" x14ac:dyDescent="0.15">
      <c r="B11" s="67" t="str">
        <f>LISHX!J12</f>
        <v>NET IMPORT</v>
      </c>
      <c r="C11">
        <f>LISHX!K12</f>
        <v>15424</v>
      </c>
      <c r="D11">
        <f>LISHX!L12</f>
        <v>14304.603978039255</v>
      </c>
      <c r="E11">
        <f>LISHX!M12</f>
        <v>15424</v>
      </c>
      <c r="F11">
        <f>LISHX!N12</f>
        <v>13396.583785576093</v>
      </c>
      <c r="G11">
        <f>LISHX!O12</f>
        <v>15424</v>
      </c>
      <c r="H11">
        <f>LISHX!P12</f>
        <v>13349.965259776956</v>
      </c>
      <c r="I11">
        <f>LISHX!Q12</f>
        <v>15424</v>
      </c>
      <c r="J11">
        <f>LISHX!R12</f>
        <v>13631.823563838352</v>
      </c>
      <c r="K11">
        <f>LISHX!S12</f>
        <v>0</v>
      </c>
      <c r="L11">
        <f>LISHX!T12</f>
        <v>0</v>
      </c>
      <c r="M11">
        <f>LISHX!U12</f>
        <v>0</v>
      </c>
      <c r="N11">
        <f>LISHX!V12</f>
        <v>0</v>
      </c>
      <c r="O11">
        <f>LISHX!W12</f>
        <v>0</v>
      </c>
      <c r="P11">
        <f>LISHX!X12</f>
        <v>0</v>
      </c>
      <c r="Q11">
        <f>LISHX!Y12</f>
        <v>0</v>
      </c>
      <c r="R11">
        <f>LISHX!Z12</f>
        <v>0</v>
      </c>
      <c r="S11">
        <f>LISHX!AA12</f>
        <v>0</v>
      </c>
      <c r="T11">
        <f>LISHX!AB12</f>
        <v>0</v>
      </c>
    </row>
    <row r="12" spans="2:20" x14ac:dyDescent="0.15">
      <c r="B12" s="67" t="str">
        <f>LISHX!J13</f>
        <v>TOTAL DEMAND</v>
      </c>
      <c r="C12">
        <f>LISHX!K13</f>
        <v>86074</v>
      </c>
      <c r="D12">
        <f>LISHX!L13</f>
        <v>86835.034938957862</v>
      </c>
      <c r="E12">
        <f>LISHX!M13</f>
        <v>86074</v>
      </c>
      <c r="F12">
        <f>LISHX!N13</f>
        <v>87057.225807540221</v>
      </c>
      <c r="G12">
        <f>LISHX!O13</f>
        <v>86074</v>
      </c>
      <c r="H12">
        <f>LISHX!P13</f>
        <v>87929.306091346429</v>
      </c>
      <c r="I12">
        <f>LISHX!Q13</f>
        <v>86074</v>
      </c>
      <c r="J12">
        <f>LISHX!R13</f>
        <v>86599.423790028828</v>
      </c>
      <c r="K12">
        <f>LISHX!S13</f>
        <v>0</v>
      </c>
      <c r="L12">
        <f>LISHX!T13</f>
        <v>0</v>
      </c>
      <c r="M12">
        <f>LISHX!U13</f>
        <v>0</v>
      </c>
      <c r="N12">
        <f>LISHX!V13</f>
        <v>0</v>
      </c>
      <c r="O12">
        <f>LISHX!W13</f>
        <v>0</v>
      </c>
      <c r="P12">
        <f>LISHX!X13</f>
        <v>0</v>
      </c>
      <c r="Q12">
        <f>LISHX!Y13</f>
        <v>0</v>
      </c>
      <c r="R12">
        <f>LISHX!Z13</f>
        <v>0</v>
      </c>
      <c r="S12">
        <f>LISHX!AA13</f>
        <v>0</v>
      </c>
      <c r="T12">
        <f>LISHX!AB13</f>
        <v>0</v>
      </c>
    </row>
    <row r="13" spans="2:20" x14ac:dyDescent="0.15">
      <c r="B13" s="67" t="str">
        <f>LISHX!J14</f>
        <v>PER CAPITA FOOD DEMAND</v>
      </c>
      <c r="C13">
        <f>LISHX!K14</f>
        <v>203.45097398945219</v>
      </c>
      <c r="D13">
        <f>LISHX!L14</f>
        <v>197.18116680044693</v>
      </c>
      <c r="E13">
        <f>LISHX!M14</f>
        <v>203.45097398945219</v>
      </c>
      <c r="F13">
        <f>LISHX!N14</f>
        <v>195.51262324891999</v>
      </c>
      <c r="G13">
        <f>LISHX!O14</f>
        <v>203.45097398945219</v>
      </c>
      <c r="H13">
        <f>LISHX!P14</f>
        <v>195.51262324892005</v>
      </c>
      <c r="I13">
        <f>LISHX!Q14</f>
        <v>203.45097398945219</v>
      </c>
      <c r="J13">
        <f>LISHX!R14</f>
        <v>195.51262324892011</v>
      </c>
      <c r="K13">
        <f>LISHX!S14</f>
        <v>0</v>
      </c>
      <c r="L13">
        <f>LISHX!T14</f>
        <v>0</v>
      </c>
      <c r="M13">
        <f>LISHX!U14</f>
        <v>0</v>
      </c>
      <c r="N13">
        <f>LISHX!V14</f>
        <v>0</v>
      </c>
      <c r="O13">
        <f>LISHX!W14</f>
        <v>0</v>
      </c>
      <c r="P13">
        <f>LISHX!X14</f>
        <v>0</v>
      </c>
      <c r="Q13">
        <f>LISHX!Y14</f>
        <v>0</v>
      </c>
      <c r="R13">
        <f>LISHX!Z14</f>
        <v>0</v>
      </c>
      <c r="S13">
        <f>LISHX!AA14</f>
        <v>0</v>
      </c>
      <c r="T13">
        <f>LISHX!AB14</f>
        <v>0</v>
      </c>
    </row>
    <row r="14" spans="2:20" x14ac:dyDescent="0.15">
      <c r="B14" s="67" t="str">
        <f>LISHX!J15</f>
        <v>SEED DEMAND</v>
      </c>
      <c r="C14">
        <f>LISHX!K15</f>
        <v>1138.4333324310867</v>
      </c>
      <c r="D14">
        <f>LISHX!L15</f>
        <v>1143.307608520887</v>
      </c>
      <c r="E14">
        <f>LISHX!M15</f>
        <v>1138.4333324310867</v>
      </c>
      <c r="F14">
        <f>LISHX!N15</f>
        <v>1144.1643355907213</v>
      </c>
      <c r="G14">
        <f>LISHX!O15</f>
        <v>1138.4333324310867</v>
      </c>
      <c r="H14">
        <f>LISHX!P15</f>
        <v>1145.21746731454</v>
      </c>
      <c r="I14">
        <f>LISHX!Q15</f>
        <v>1138.4333324310867</v>
      </c>
      <c r="J14">
        <f>LISHX!R15</f>
        <v>1143.4276444242068</v>
      </c>
      <c r="K14">
        <f>LISHX!S15</f>
        <v>0</v>
      </c>
      <c r="L14">
        <f>LISHX!T15</f>
        <v>0</v>
      </c>
      <c r="M14">
        <f>LISHX!U15</f>
        <v>0</v>
      </c>
      <c r="N14">
        <f>LISHX!V15</f>
        <v>0</v>
      </c>
      <c r="O14">
        <f>LISHX!W15</f>
        <v>0</v>
      </c>
      <c r="P14">
        <f>LISHX!X15</f>
        <v>0</v>
      </c>
      <c r="Q14">
        <f>LISHX!Y15</f>
        <v>0</v>
      </c>
      <c r="R14">
        <f>LISHX!Z15</f>
        <v>0</v>
      </c>
      <c r="S14">
        <f>LISHX!AA15</f>
        <v>0</v>
      </c>
      <c r="T14">
        <f>LISHX!AB15</f>
        <v>0</v>
      </c>
    </row>
    <row r="15" spans="2:20" x14ac:dyDescent="0.15">
      <c r="B15" s="67" t="str">
        <f>LISHX!J16</f>
        <v>FEED DEMAND</v>
      </c>
      <c r="C15">
        <f>LISHX!K16</f>
        <v>27047.013096513001</v>
      </c>
      <c r="D15">
        <f>LISHX!L16</f>
        <v>27215.719362871943</v>
      </c>
      <c r="E15">
        <f>LISHX!M16</f>
        <v>27047.013096513001</v>
      </c>
      <c r="F15">
        <f>LISHX!N16</f>
        <v>27175.054479170245</v>
      </c>
      <c r="G15">
        <f>LISHX!O16</f>
        <v>27047.013096513001</v>
      </c>
      <c r="H15">
        <f>LISHX!P16</f>
        <v>27175.054479170238</v>
      </c>
      <c r="I15">
        <f>LISHX!Q16</f>
        <v>27047.013096513001</v>
      </c>
      <c r="J15">
        <f>LISHX!R16</f>
        <v>27175.054479170238</v>
      </c>
      <c r="K15">
        <f>LISHX!S16</f>
        <v>0</v>
      </c>
      <c r="L15">
        <f>LISHX!T16</f>
        <v>0</v>
      </c>
      <c r="M15">
        <f>LISHX!U16</f>
        <v>0</v>
      </c>
      <c r="N15">
        <f>LISHX!V16</f>
        <v>0</v>
      </c>
      <c r="O15">
        <f>LISHX!W16</f>
        <v>0</v>
      </c>
      <c r="P15">
        <f>LISHX!X16</f>
        <v>0</v>
      </c>
      <c r="Q15">
        <f>LISHX!Y16</f>
        <v>0</v>
      </c>
      <c r="R15">
        <f>LISHX!Z16</f>
        <v>0</v>
      </c>
      <c r="S15">
        <f>LISHX!AA16</f>
        <v>0</v>
      </c>
      <c r="T15">
        <f>LISHX!AB16</f>
        <v>0</v>
      </c>
    </row>
    <row r="16" spans="2:20" x14ac:dyDescent="0.15">
      <c r="B16" s="67" t="str">
        <f>LISHX!J17</f>
        <v>PROCESSING DEMAND</v>
      </c>
      <c r="C16">
        <f>LISHX!K17</f>
        <v>12317.699403780631</v>
      </c>
      <c r="D16">
        <f>LISHX!L17</f>
        <v>13695.423257406315</v>
      </c>
      <c r="E16">
        <f>LISHX!M17</f>
        <v>12317.699403780631</v>
      </c>
      <c r="F16">
        <f>LISHX!N17</f>
        <v>13651.434391804822</v>
      </c>
      <c r="G16">
        <f>LISHX!O17</f>
        <v>12317.699403780631</v>
      </c>
      <c r="H16">
        <f>LISHX!P17</f>
        <v>13651.434391804825</v>
      </c>
      <c r="I16">
        <f>LISHX!Q17</f>
        <v>12317.699403780631</v>
      </c>
      <c r="J16">
        <f>LISHX!R17</f>
        <v>13651.434391804825</v>
      </c>
      <c r="K16">
        <f>LISHX!S17</f>
        <v>0</v>
      </c>
      <c r="L16">
        <f>LISHX!T17</f>
        <v>0</v>
      </c>
      <c r="M16">
        <f>LISHX!U17</f>
        <v>0</v>
      </c>
      <c r="N16">
        <f>LISHX!V17</f>
        <v>0</v>
      </c>
      <c r="O16">
        <f>LISHX!W17</f>
        <v>0</v>
      </c>
      <c r="P16">
        <f>LISHX!X17</f>
        <v>0</v>
      </c>
      <c r="Q16">
        <f>LISHX!Y17</f>
        <v>0</v>
      </c>
      <c r="R16">
        <f>LISHX!Z17</f>
        <v>0</v>
      </c>
      <c r="S16">
        <f>LISHX!AA17</f>
        <v>0</v>
      </c>
      <c r="T16">
        <f>LISHX!AB17</f>
        <v>0</v>
      </c>
    </row>
    <row r="17" spans="2:20" x14ac:dyDescent="0.15">
      <c r="B17" s="67" t="str">
        <f>LISHX!J18</f>
        <v>CRUSH DEMAND</v>
      </c>
      <c r="C17">
        <f>LISHX!K18</f>
        <v>10650</v>
      </c>
      <c r="D17">
        <f>LISHX!L18</f>
        <v>10537.209944595646</v>
      </c>
      <c r="E17">
        <f>LISHX!M18</f>
        <v>10650</v>
      </c>
      <c r="F17">
        <f>LISHX!N18</f>
        <v>10521.430313105056</v>
      </c>
      <c r="G17">
        <f>LISHX!O18</f>
        <v>10650</v>
      </c>
      <c r="H17">
        <f>LISHX!P18</f>
        <v>10521.430313105038</v>
      </c>
      <c r="I17">
        <f>LISHX!Q18</f>
        <v>10650</v>
      </c>
      <c r="J17">
        <f>LISHX!R18</f>
        <v>10521.430313105038</v>
      </c>
      <c r="K17">
        <f>LISHX!S18</f>
        <v>0</v>
      </c>
      <c r="L17">
        <f>LISHX!T18</f>
        <v>0</v>
      </c>
      <c r="M17">
        <f>LISHX!U18</f>
        <v>0</v>
      </c>
      <c r="N17">
        <f>LISHX!V18</f>
        <v>0</v>
      </c>
      <c r="O17">
        <f>LISHX!W18</f>
        <v>0</v>
      </c>
      <c r="P17">
        <f>LISHX!X18</f>
        <v>0</v>
      </c>
      <c r="Q17">
        <f>LISHX!Y18</f>
        <v>0</v>
      </c>
      <c r="R17">
        <f>LISHX!Z18</f>
        <v>0</v>
      </c>
      <c r="S17">
        <f>LISHX!AA18</f>
        <v>0</v>
      </c>
      <c r="T17">
        <f>LISHX!AB18</f>
        <v>0</v>
      </c>
    </row>
    <row r="18" spans="2:20" x14ac:dyDescent="0.15">
      <c r="B18" s="67" t="str">
        <f>LISHX!J19</f>
        <v>WASTE DEMAND</v>
      </c>
      <c r="C18">
        <f>LISHX!K19</f>
        <v>3184.7093324310868</v>
      </c>
      <c r="D18">
        <f>LISHX!L19</f>
        <v>3282.6856114835114</v>
      </c>
      <c r="E18">
        <f>LISHX!M19</f>
        <v>3184.7093324310868</v>
      </c>
      <c r="F18">
        <f>LISHX!N19</f>
        <v>3334.1695821762919</v>
      </c>
      <c r="G18">
        <f>LISHX!O19</f>
        <v>3184.7093324310868</v>
      </c>
      <c r="H18">
        <f>LISHX!P19</f>
        <v>3375.0915863703794</v>
      </c>
      <c r="I18">
        <f>LISHX!Q19</f>
        <v>3184.7093324310868</v>
      </c>
      <c r="J18">
        <f>LISHX!R19</f>
        <v>3303.2991006181196</v>
      </c>
      <c r="K18">
        <f>LISHX!S19</f>
        <v>0</v>
      </c>
      <c r="L18">
        <f>LISHX!T19</f>
        <v>0</v>
      </c>
      <c r="M18">
        <f>LISHX!U19</f>
        <v>0</v>
      </c>
      <c r="N18">
        <f>LISHX!V19</f>
        <v>0</v>
      </c>
      <c r="O18">
        <f>LISHX!W19</f>
        <v>0</v>
      </c>
      <c r="P18">
        <f>LISHX!X19</f>
        <v>0</v>
      </c>
      <c r="Q18">
        <f>LISHX!Y19</f>
        <v>0</v>
      </c>
      <c r="R18">
        <f>LISHX!Z19</f>
        <v>0</v>
      </c>
      <c r="S18">
        <f>LISHX!AA19</f>
        <v>0</v>
      </c>
      <c r="T18">
        <f>LISHX!AB19</f>
        <v>0</v>
      </c>
    </row>
    <row r="19" spans="2:20" x14ac:dyDescent="0.15">
      <c r="B19" s="67" t="str">
        <f>LISHX!J20</f>
        <v>OTHER DEMAND</v>
      </c>
      <c r="C19">
        <f>LISHX!K20</f>
        <v>1.8353650000000099</v>
      </c>
      <c r="D19">
        <f>LISHX!L20</f>
        <v>1.8391447899346591</v>
      </c>
      <c r="E19">
        <f>LISHX!M20</f>
        <v>1.8353650000000099</v>
      </c>
      <c r="F19">
        <f>LISHX!N20</f>
        <v>1.87180519840017</v>
      </c>
      <c r="G19">
        <f>LISHX!O20</f>
        <v>1.8353650000000099</v>
      </c>
      <c r="H19">
        <f>LISHX!P20</f>
        <v>1.8961775244360255</v>
      </c>
      <c r="I19">
        <f>LISHX!Q20</f>
        <v>1.8353650000000099</v>
      </c>
      <c r="J19">
        <f>LISHX!R20</f>
        <v>1.8534195768826962</v>
      </c>
      <c r="K19">
        <f>LISHX!S20</f>
        <v>0</v>
      </c>
      <c r="L19">
        <f>LISHX!T20</f>
        <v>0</v>
      </c>
      <c r="M19">
        <f>LISHX!U20</f>
        <v>0</v>
      </c>
      <c r="N19">
        <f>LISHX!V20</f>
        <v>0</v>
      </c>
      <c r="O19">
        <f>LISHX!W20</f>
        <v>0</v>
      </c>
      <c r="P19">
        <f>LISHX!X20</f>
        <v>0</v>
      </c>
      <c r="Q19">
        <f>LISHX!Y20</f>
        <v>0</v>
      </c>
      <c r="R19">
        <f>LISHX!Z20</f>
        <v>0</v>
      </c>
      <c r="S19">
        <f>LISHX!AA20</f>
        <v>0</v>
      </c>
      <c r="T19">
        <f>LISHX!AB20</f>
        <v>0</v>
      </c>
    </row>
    <row r="23" spans="2:20" x14ac:dyDescent="0.15">
      <c r="B23" t="s">
        <v>72</v>
      </c>
    </row>
    <row r="24" spans="2:20" x14ac:dyDescent="0.15">
      <c r="B24">
        <f>RICEX!J6</f>
        <v>0</v>
      </c>
      <c r="C24" s="67" t="str">
        <f>RICEX!K6</f>
        <v>BASE</v>
      </c>
      <c r="D24" s="67" t="str">
        <f>RICEX!L6</f>
        <v>BASE</v>
      </c>
      <c r="E24" s="67" t="str">
        <f>RICEX!M6</f>
        <v>SIM1</v>
      </c>
      <c r="F24" s="67" t="str">
        <f>RICEX!N6</f>
        <v>SIM1</v>
      </c>
      <c r="G24" s="67" t="str">
        <f>RICEX!O6</f>
        <v>SIM2</v>
      </c>
      <c r="H24" s="67" t="str">
        <f>RICEX!P6</f>
        <v>SIM2</v>
      </c>
      <c r="I24" s="67" t="str">
        <f>RICEX!Q6</f>
        <v>SIM3</v>
      </c>
      <c r="J24" s="67" t="str">
        <f>RICEX!R6</f>
        <v>SIM3</v>
      </c>
      <c r="K24" s="67">
        <f>RICEX!S6</f>
        <v>0</v>
      </c>
      <c r="L24" s="67">
        <f>RICEX!T6</f>
        <v>0</v>
      </c>
      <c r="M24" s="67">
        <f>RICEX!U6</f>
        <v>0</v>
      </c>
      <c r="N24" s="67">
        <f>RICEX!V6</f>
        <v>0</v>
      </c>
      <c r="O24">
        <f>RICEX!W6</f>
        <v>0</v>
      </c>
      <c r="P24">
        <f>RICEX!X6</f>
        <v>0</v>
      </c>
      <c r="Q24">
        <f>RICEX!Y6</f>
        <v>0</v>
      </c>
      <c r="R24">
        <f>RICEX!Z6</f>
        <v>0</v>
      </c>
      <c r="S24">
        <f>RICEX!AA6</f>
        <v>0</v>
      </c>
      <c r="T24">
        <f>RICEX!AB6</f>
        <v>0</v>
      </c>
    </row>
    <row r="25" spans="2:20" x14ac:dyDescent="0.15">
      <c r="B25">
        <f>RICEX!J7</f>
        <v>0</v>
      </c>
      <c r="C25" s="67" t="str">
        <f>RICEX!K7</f>
        <v>2025</v>
      </c>
      <c r="D25" s="67" t="str">
        <f>RICEX!L7</f>
        <v>2030</v>
      </c>
      <c r="E25" s="67" t="str">
        <f>RICEX!M7</f>
        <v>2025</v>
      </c>
      <c r="F25" s="67" t="str">
        <f>RICEX!N7</f>
        <v>2030</v>
      </c>
      <c r="G25" s="67" t="str">
        <f>RICEX!O7</f>
        <v>2025</v>
      </c>
      <c r="H25" s="67" t="str">
        <f>RICEX!P7</f>
        <v>2030</v>
      </c>
      <c r="I25" s="67" t="str">
        <f>RICEX!Q7</f>
        <v>2025</v>
      </c>
      <c r="J25" s="67" t="str">
        <f>RICEX!R7</f>
        <v>2030</v>
      </c>
      <c r="K25" s="67">
        <f>RICEX!S7</f>
        <v>0</v>
      </c>
      <c r="L25" s="67">
        <f>RICEX!T7</f>
        <v>0</v>
      </c>
      <c r="M25" s="67">
        <f>RICEX!U7</f>
        <v>0</v>
      </c>
      <c r="N25" s="67">
        <f>RICEX!V7</f>
        <v>0</v>
      </c>
      <c r="O25">
        <f>RICEX!W7</f>
        <v>0</v>
      </c>
      <c r="P25">
        <f>RICEX!X7</f>
        <v>0</v>
      </c>
      <c r="Q25">
        <f>RICEX!Y7</f>
        <v>0</v>
      </c>
      <c r="R25">
        <f>RICEX!Z7</f>
        <v>0</v>
      </c>
      <c r="S25">
        <f>RICEX!AA7</f>
        <v>0</v>
      </c>
      <c r="T25">
        <f>RICEX!AB7</f>
        <v>0</v>
      </c>
    </row>
    <row r="26" spans="2:20" x14ac:dyDescent="0.15">
      <c r="B26" s="67" t="str">
        <f>RICEX!J8</f>
        <v>AREA</v>
      </c>
      <c r="C26">
        <f>RICEX!K8</f>
        <v>2901.2200000000003</v>
      </c>
      <c r="D26">
        <f>RICEX!L8</f>
        <v>2894.0518414017292</v>
      </c>
      <c r="E26">
        <f>RICEX!M8</f>
        <v>2901.2200000000003</v>
      </c>
      <c r="F26">
        <f>RICEX!N8</f>
        <v>2896.3678238706698</v>
      </c>
      <c r="G26">
        <f>RICEX!O8</f>
        <v>2901.2200000000003</v>
      </c>
      <c r="H26">
        <f>RICEX!P8</f>
        <v>2899.2648867579273</v>
      </c>
      <c r="I26">
        <f>RICEX!Q8</f>
        <v>2901.2200000000003</v>
      </c>
      <c r="J26">
        <f>RICEX!R8</f>
        <v>2894.3412581623061</v>
      </c>
      <c r="K26">
        <f>RICEX!S8</f>
        <v>0</v>
      </c>
      <c r="L26">
        <f>RICEX!T8</f>
        <v>0</v>
      </c>
      <c r="M26">
        <f>RICEX!U8</f>
        <v>0</v>
      </c>
      <c r="N26">
        <f>RICEX!V8</f>
        <v>0</v>
      </c>
      <c r="O26">
        <f>RICEX!W8</f>
        <v>0</v>
      </c>
      <c r="P26">
        <f>RICEX!X8</f>
        <v>0</v>
      </c>
      <c r="Q26">
        <f>RICEX!Y8</f>
        <v>0</v>
      </c>
      <c r="R26">
        <f>RICEX!Z8</f>
        <v>0</v>
      </c>
      <c r="S26">
        <f>RICEX!AA8</f>
        <v>0</v>
      </c>
      <c r="T26">
        <f>RICEX!AB8</f>
        <v>0</v>
      </c>
    </row>
    <row r="27" spans="2:20" x14ac:dyDescent="0.15">
      <c r="B27" s="67" t="str">
        <f>RICEX!J9</f>
        <v>YIELD</v>
      </c>
      <c r="C27">
        <f>RICEX!K9</f>
        <v>7205.2791584230072</v>
      </c>
      <c r="D27">
        <f>RICEX!L9</f>
        <v>7330.1534001438231</v>
      </c>
      <c r="E27">
        <f>RICEX!M9</f>
        <v>7205.2791584230072</v>
      </c>
      <c r="F27">
        <f>RICEX!N9</f>
        <v>7418.2835486617278</v>
      </c>
      <c r="G27">
        <f>RICEX!O9</f>
        <v>7205.2791584230072</v>
      </c>
      <c r="H27">
        <f>RICEX!P9</f>
        <v>7507.1437642968385</v>
      </c>
      <c r="I27">
        <f>RICEX!Q9</f>
        <v>7205.2791584230072</v>
      </c>
      <c r="J27">
        <f>RICEX!R9</f>
        <v>7350.7289055038455</v>
      </c>
      <c r="K27">
        <f>RICEX!S9</f>
        <v>0</v>
      </c>
      <c r="L27">
        <f>RICEX!T9</f>
        <v>0</v>
      </c>
      <c r="M27">
        <f>RICEX!U9</f>
        <v>0</v>
      </c>
      <c r="N27">
        <f>RICEX!V9</f>
        <v>0</v>
      </c>
      <c r="O27">
        <f>RICEX!W9</f>
        <v>0</v>
      </c>
      <c r="P27">
        <f>RICEX!X9</f>
        <v>0</v>
      </c>
      <c r="Q27">
        <f>RICEX!Y9</f>
        <v>0</v>
      </c>
      <c r="R27">
        <f>RICEX!Z9</f>
        <v>0</v>
      </c>
      <c r="S27">
        <f>RICEX!AA9</f>
        <v>0</v>
      </c>
      <c r="T27">
        <f>RICEX!AB9</f>
        <v>0</v>
      </c>
    </row>
    <row r="28" spans="2:20" x14ac:dyDescent="0.15">
      <c r="B28" s="67" t="str">
        <f>RICEX!J10</f>
        <v>TOTAL SUPPLY</v>
      </c>
      <c r="C28">
        <f>RICEX!K10</f>
        <v>21106.959999999999</v>
      </c>
      <c r="D28">
        <f>RICEX!L10</f>
        <v>21382.955550256174</v>
      </c>
      <c r="E28">
        <f>RICEX!M10</f>
        <v>21106.959999999999</v>
      </c>
      <c r="F28">
        <f>RICEX!N10</f>
        <v>21486.077778692954</v>
      </c>
      <c r="G28">
        <f>RICEX!O10</f>
        <v>21106.959999999999</v>
      </c>
      <c r="H28">
        <f>RICEX!P10</f>
        <v>21765.198315669553</v>
      </c>
      <c r="I28">
        <f>RICEX!Q10</f>
        <v>21106.959999999999</v>
      </c>
      <c r="J28">
        <f>RICEX!R10</f>
        <v>21275.517948766032</v>
      </c>
      <c r="K28">
        <f>RICEX!S10</f>
        <v>0</v>
      </c>
      <c r="L28">
        <f>RICEX!T10</f>
        <v>0</v>
      </c>
      <c r="M28">
        <f>RICEX!U10</f>
        <v>0</v>
      </c>
      <c r="N28">
        <f>RICEX!V10</f>
        <v>0</v>
      </c>
      <c r="O28">
        <f>RICEX!W10</f>
        <v>0</v>
      </c>
      <c r="P28">
        <f>RICEX!X10</f>
        <v>0</v>
      </c>
      <c r="Q28">
        <f>RICEX!Y10</f>
        <v>0</v>
      </c>
      <c r="R28">
        <f>RICEX!Z10</f>
        <v>0</v>
      </c>
      <c r="S28">
        <f>RICEX!AA10</f>
        <v>0</v>
      </c>
      <c r="T28">
        <f>RICEX!AB10</f>
        <v>0</v>
      </c>
    </row>
    <row r="29" spans="2:20" x14ac:dyDescent="0.15">
      <c r="B29" s="67" t="str">
        <f>RICEX!J11</f>
        <v>PRODUCTION</v>
      </c>
      <c r="C29">
        <f>RICEX!K11</f>
        <v>20904.099999999999</v>
      </c>
      <c r="D29">
        <f>RICEX!L11</f>
        <v>21213.843945443379</v>
      </c>
      <c r="E29">
        <f>RICEX!M11</f>
        <v>20904.099999999999</v>
      </c>
      <c r="F29">
        <f>RICEX!N11</f>
        <v>21486.077778692954</v>
      </c>
      <c r="G29">
        <f>RICEX!O11</f>
        <v>20904.099999999999</v>
      </c>
      <c r="H29">
        <f>RICEX!P11</f>
        <v>21765.198315669553</v>
      </c>
      <c r="I29">
        <f>RICEX!Q11</f>
        <v>20904.099999999999</v>
      </c>
      <c r="J29">
        <f>RICEX!R11</f>
        <v>21275.517948766032</v>
      </c>
      <c r="K29">
        <f>RICEX!S11</f>
        <v>0</v>
      </c>
      <c r="L29">
        <f>RICEX!T11</f>
        <v>0</v>
      </c>
      <c r="M29">
        <f>RICEX!U11</f>
        <v>0</v>
      </c>
      <c r="N29">
        <f>RICEX!V11</f>
        <v>0</v>
      </c>
      <c r="O29">
        <f>RICEX!W11</f>
        <v>0</v>
      </c>
      <c r="P29">
        <f>RICEX!X11</f>
        <v>0</v>
      </c>
      <c r="Q29">
        <f>RICEX!Y11</f>
        <v>0</v>
      </c>
      <c r="R29">
        <f>RICEX!Z11</f>
        <v>0</v>
      </c>
      <c r="S29">
        <f>RICEX!AA11</f>
        <v>0</v>
      </c>
      <c r="T29">
        <f>RICEX!AB11</f>
        <v>0</v>
      </c>
    </row>
    <row r="30" spans="2:20" x14ac:dyDescent="0.15">
      <c r="B30" s="67" t="str">
        <f>RICEX!J12</f>
        <v>NET IMPORT</v>
      </c>
      <c r="C30">
        <f>RICEX!K12</f>
        <v>202.85999999999999</v>
      </c>
      <c r="D30">
        <f>RICEX!L12</f>
        <v>169.11160481279512</v>
      </c>
      <c r="E30">
        <f>RICEX!M12</f>
        <v>202.85999999999999</v>
      </c>
      <c r="F30">
        <f>RICEX!N12</f>
        <v>0</v>
      </c>
      <c r="G30">
        <f>RICEX!O12</f>
        <v>202.85999999999999</v>
      </c>
      <c r="H30">
        <f>RICEX!P12</f>
        <v>0</v>
      </c>
      <c r="I30">
        <f>RICEX!Q12</f>
        <v>202.85999999999999</v>
      </c>
      <c r="J30">
        <f>RICEX!R12</f>
        <v>0</v>
      </c>
      <c r="K30">
        <f>RICEX!S12</f>
        <v>0</v>
      </c>
      <c r="L30">
        <f>RICEX!T12</f>
        <v>0</v>
      </c>
      <c r="M30">
        <f>RICEX!U12</f>
        <v>0</v>
      </c>
      <c r="N30">
        <f>RICEX!V12</f>
        <v>0</v>
      </c>
      <c r="O30">
        <f>RICEX!W12</f>
        <v>0</v>
      </c>
      <c r="P30">
        <f>RICEX!X12</f>
        <v>0</v>
      </c>
      <c r="Q30">
        <f>RICEX!Y12</f>
        <v>0</v>
      </c>
      <c r="R30">
        <f>RICEX!Z12</f>
        <v>0</v>
      </c>
      <c r="S30">
        <f>RICEX!AA12</f>
        <v>0</v>
      </c>
      <c r="T30">
        <f>RICEX!AB12</f>
        <v>0</v>
      </c>
    </row>
    <row r="31" spans="2:20" x14ac:dyDescent="0.15">
      <c r="B31" s="67" t="str">
        <f>RICEX!J13</f>
        <v>TOTAL DEMAND</v>
      </c>
      <c r="C31">
        <f>RICEX!K13</f>
        <v>21106.959999999999</v>
      </c>
      <c r="D31">
        <f>RICEX!L13</f>
        <v>21382.955550256174</v>
      </c>
      <c r="E31">
        <f>RICEX!M13</f>
        <v>21106.959999999999</v>
      </c>
      <c r="F31">
        <f>RICEX!N13</f>
        <v>21486.077778692954</v>
      </c>
      <c r="G31">
        <f>RICEX!O13</f>
        <v>21106.959999999999</v>
      </c>
      <c r="H31">
        <f>RICEX!P13</f>
        <v>21765.198315669553</v>
      </c>
      <c r="I31">
        <f>RICEX!Q13</f>
        <v>21106.959999999999</v>
      </c>
      <c r="J31">
        <f>RICEX!R13</f>
        <v>21275.517948766032</v>
      </c>
      <c r="K31">
        <f>RICEX!S13</f>
        <v>0</v>
      </c>
      <c r="L31">
        <f>RICEX!T13</f>
        <v>0</v>
      </c>
      <c r="M31">
        <f>RICEX!U13</f>
        <v>0</v>
      </c>
      <c r="N31">
        <f>RICEX!V13</f>
        <v>0</v>
      </c>
      <c r="O31">
        <f>RICEX!W13</f>
        <v>0</v>
      </c>
      <c r="P31">
        <f>RICEX!X13</f>
        <v>0</v>
      </c>
      <c r="Q31">
        <f>RICEX!Y13</f>
        <v>0</v>
      </c>
      <c r="R31">
        <f>RICEX!Z13</f>
        <v>0</v>
      </c>
      <c r="S31">
        <f>RICEX!AA13</f>
        <v>0</v>
      </c>
      <c r="T31">
        <f>RICEX!AB13</f>
        <v>0</v>
      </c>
    </row>
    <row r="32" spans="2:20" x14ac:dyDescent="0.15">
      <c r="B32" s="67" t="str">
        <f>RICEX!J14</f>
        <v>PER CAPITA FOOD DEMAND</v>
      </c>
      <c r="C32">
        <f>RICEX!K14</f>
        <v>110.68482229925475</v>
      </c>
      <c r="D32">
        <f>RICEX!L14</f>
        <v>106.66086143697805</v>
      </c>
      <c r="E32">
        <f>RICEX!M14</f>
        <v>110.68482229925475</v>
      </c>
      <c r="F32">
        <f>RICEX!N14</f>
        <v>105.50382252829374</v>
      </c>
      <c r="G32">
        <f>RICEX!O14</f>
        <v>110.68482229925475</v>
      </c>
      <c r="H32">
        <f>RICEX!P14</f>
        <v>105.50382252829378</v>
      </c>
      <c r="I32">
        <f>RICEX!Q14</f>
        <v>110.68482229925475</v>
      </c>
      <c r="J32">
        <f>RICEX!R14</f>
        <v>105.50382252829382</v>
      </c>
      <c r="K32">
        <f>RICEX!S14</f>
        <v>0</v>
      </c>
      <c r="L32">
        <f>RICEX!T14</f>
        <v>0</v>
      </c>
      <c r="M32">
        <f>RICEX!U14</f>
        <v>0</v>
      </c>
      <c r="N32">
        <f>RICEX!V14</f>
        <v>0</v>
      </c>
      <c r="O32">
        <f>RICEX!W14</f>
        <v>0</v>
      </c>
      <c r="P32">
        <f>RICEX!X14</f>
        <v>0</v>
      </c>
      <c r="Q32">
        <f>RICEX!Y14</f>
        <v>0</v>
      </c>
      <c r="R32">
        <f>RICEX!Z14</f>
        <v>0</v>
      </c>
      <c r="S32">
        <f>RICEX!AA14</f>
        <v>0</v>
      </c>
      <c r="T32">
        <f>RICEX!AB14</f>
        <v>0</v>
      </c>
    </row>
    <row r="33" spans="2:20" x14ac:dyDescent="0.15">
      <c r="B33" s="67" t="str">
        <f>RICEX!J15</f>
        <v>SEED DEMAND</v>
      </c>
      <c r="C33">
        <f>RICEX!K15</f>
        <v>142</v>
      </c>
      <c r="D33">
        <f>RICEX!L15</f>
        <v>141.64915500342804</v>
      </c>
      <c r="E33">
        <f>RICEX!M15</f>
        <v>142</v>
      </c>
      <c r="F33">
        <f>RICEX!N15</f>
        <v>141.76251059541679</v>
      </c>
      <c r="G33">
        <f>RICEX!O15</f>
        <v>142</v>
      </c>
      <c r="H33">
        <f>RICEX!P15</f>
        <v>141.90430712583864</v>
      </c>
      <c r="I33">
        <f>RICEX!Q15</f>
        <v>142</v>
      </c>
      <c r="J33">
        <f>RICEX!R15</f>
        <v>141.66332048553622</v>
      </c>
      <c r="K33">
        <f>RICEX!S15</f>
        <v>0</v>
      </c>
      <c r="L33">
        <f>RICEX!T15</f>
        <v>0</v>
      </c>
      <c r="M33">
        <f>RICEX!U15</f>
        <v>0</v>
      </c>
      <c r="N33">
        <f>RICEX!V15</f>
        <v>0</v>
      </c>
      <c r="O33">
        <f>RICEX!W15</f>
        <v>0</v>
      </c>
      <c r="P33">
        <f>RICEX!X15</f>
        <v>0</v>
      </c>
      <c r="Q33">
        <f>RICEX!Y15</f>
        <v>0</v>
      </c>
      <c r="R33">
        <f>RICEX!Z15</f>
        <v>0</v>
      </c>
      <c r="S33">
        <f>RICEX!AA15</f>
        <v>0</v>
      </c>
      <c r="T33">
        <f>RICEX!AB15</f>
        <v>0</v>
      </c>
    </row>
    <row r="34" spans="2:20" x14ac:dyDescent="0.15">
      <c r="B34" s="67" t="str">
        <f>RICEX!J16</f>
        <v>FEED DEMAND</v>
      </c>
      <c r="C34">
        <f>RICEX!K16</f>
        <v>863.84</v>
      </c>
      <c r="D34">
        <f>RICEX!L16</f>
        <v>853.72939743284746</v>
      </c>
      <c r="E34">
        <f>RICEX!M16</f>
        <v>863.84</v>
      </c>
      <c r="F34">
        <f>RICEX!N16</f>
        <v>852.42252250398008</v>
      </c>
      <c r="G34">
        <f>RICEX!O16</f>
        <v>863.84</v>
      </c>
      <c r="H34">
        <f>RICEX!P16</f>
        <v>852.42252250399122</v>
      </c>
      <c r="I34">
        <f>RICEX!Q16</f>
        <v>863.84</v>
      </c>
      <c r="J34">
        <f>RICEX!R16</f>
        <v>852.42252250398383</v>
      </c>
      <c r="K34">
        <f>RICEX!S16</f>
        <v>0</v>
      </c>
      <c r="L34">
        <f>RICEX!T16</f>
        <v>0</v>
      </c>
      <c r="M34">
        <f>RICEX!U16</f>
        <v>0</v>
      </c>
      <c r="N34">
        <f>RICEX!V16</f>
        <v>0</v>
      </c>
      <c r="O34">
        <f>RICEX!W16</f>
        <v>0</v>
      </c>
      <c r="P34">
        <f>RICEX!X16</f>
        <v>0</v>
      </c>
      <c r="Q34">
        <f>RICEX!Y16</f>
        <v>0</v>
      </c>
      <c r="R34">
        <f>RICEX!Z16</f>
        <v>0</v>
      </c>
      <c r="S34">
        <f>RICEX!AA16</f>
        <v>0</v>
      </c>
      <c r="T34">
        <f>RICEX!AB16</f>
        <v>0</v>
      </c>
    </row>
    <row r="35" spans="2:20" x14ac:dyDescent="0.15">
      <c r="B35" s="67" t="str">
        <f>RICEX!J17</f>
        <v>PROCESSING DEMAND</v>
      </c>
      <c r="C35">
        <f>RICEX!K17</f>
        <v>1800</v>
      </c>
      <c r="D35">
        <f>RICEX!L17</f>
        <v>2394.9644399013018</v>
      </c>
      <c r="E35">
        <f>RICEX!M17</f>
        <v>1800</v>
      </c>
      <c r="F35">
        <f>RICEX!N17</f>
        <v>2387.2719599474458</v>
      </c>
      <c r="G35">
        <f>RICEX!O17</f>
        <v>1800</v>
      </c>
      <c r="H35">
        <f>RICEX!P17</f>
        <v>2387.2719599474453</v>
      </c>
      <c r="I35">
        <f>RICEX!Q17</f>
        <v>1800</v>
      </c>
      <c r="J35">
        <f>RICEX!R17</f>
        <v>2387.2719599474453</v>
      </c>
      <c r="K35">
        <f>RICEX!S17</f>
        <v>0</v>
      </c>
      <c r="L35">
        <f>RICEX!T17</f>
        <v>0</v>
      </c>
      <c r="M35">
        <f>RICEX!U17</f>
        <v>0</v>
      </c>
      <c r="N35">
        <f>RICEX!V17</f>
        <v>0</v>
      </c>
      <c r="O35">
        <f>RICEX!W17</f>
        <v>0</v>
      </c>
      <c r="P35">
        <f>RICEX!X17</f>
        <v>0</v>
      </c>
      <c r="Q35">
        <f>RICEX!Y17</f>
        <v>0</v>
      </c>
      <c r="R35">
        <f>RICEX!Z17</f>
        <v>0</v>
      </c>
      <c r="S35">
        <f>RICEX!AA17</f>
        <v>0</v>
      </c>
      <c r="T35">
        <f>RICEX!AB17</f>
        <v>0</v>
      </c>
    </row>
    <row r="36" spans="2:20" x14ac:dyDescent="0.15">
      <c r="B36" s="67" t="str">
        <f>RICEX!J18</f>
        <v>WASTE DEMAND</v>
      </c>
      <c r="C36">
        <f>RICEX!K18</f>
        <v>836.16399999999999</v>
      </c>
      <c r="D36">
        <f>RICEX!L18</f>
        <v>848.55375781773523</v>
      </c>
      <c r="E36">
        <f>RICEX!M18</f>
        <v>836.16399999999999</v>
      </c>
      <c r="F36">
        <f>RICEX!N18</f>
        <v>859.44311114771813</v>
      </c>
      <c r="G36">
        <f>RICEX!O18</f>
        <v>836.16399999999999</v>
      </c>
      <c r="H36">
        <f>RICEX!P18</f>
        <v>870.60793262678192</v>
      </c>
      <c r="I36">
        <f>RICEX!Q18</f>
        <v>836.16399999999999</v>
      </c>
      <c r="J36">
        <f>RICEX!R18</f>
        <v>851.02071795064126</v>
      </c>
      <c r="K36">
        <f>RICEX!S18</f>
        <v>0</v>
      </c>
      <c r="L36">
        <f>RICEX!T18</f>
        <v>0</v>
      </c>
      <c r="M36">
        <f>RICEX!U18</f>
        <v>0</v>
      </c>
      <c r="N36">
        <f>RICEX!V18</f>
        <v>0</v>
      </c>
      <c r="O36">
        <f>RICEX!W18</f>
        <v>0</v>
      </c>
      <c r="P36">
        <f>RICEX!X18</f>
        <v>0</v>
      </c>
      <c r="Q36">
        <f>RICEX!Y18</f>
        <v>0</v>
      </c>
      <c r="R36">
        <f>RICEX!Z18</f>
        <v>0</v>
      </c>
      <c r="S36">
        <f>RICEX!AA18</f>
        <v>0</v>
      </c>
      <c r="T36">
        <f>RICEX!AB18</f>
        <v>0</v>
      </c>
    </row>
    <row r="37" spans="2:20" x14ac:dyDescent="0.15">
      <c r="B37" s="67" t="str">
        <f>RICEX!J19</f>
        <v>STOCK CHANGE</v>
      </c>
      <c r="C37">
        <f>RICEX!K19</f>
        <v>1914.9559999999999</v>
      </c>
      <c r="D37">
        <f>RICEX!L19</f>
        <v>2309.755786569568</v>
      </c>
      <c r="E37">
        <f>RICEX!M19</f>
        <v>1914.9559999999999</v>
      </c>
      <c r="F37">
        <f>RICEX!N19</f>
        <v>2339.3965095458148</v>
      </c>
      <c r="G37">
        <f>RICEX!O19</f>
        <v>1914.9559999999999</v>
      </c>
      <c r="H37">
        <f>RICEX!P19</f>
        <v>2369.7870543754125</v>
      </c>
      <c r="I37">
        <f>RICEX!Q19</f>
        <v>1914.9559999999999</v>
      </c>
      <c r="J37">
        <f>RICEX!R19</f>
        <v>2316.4708301242272</v>
      </c>
      <c r="K37">
        <f>RICEX!S19</f>
        <v>0</v>
      </c>
      <c r="L37">
        <f>RICEX!T19</f>
        <v>0</v>
      </c>
      <c r="M37">
        <f>RICEX!U19</f>
        <v>0</v>
      </c>
      <c r="N37">
        <f>RICEX!V19</f>
        <v>0</v>
      </c>
      <c r="O37">
        <f>RICEX!W19</f>
        <v>0</v>
      </c>
      <c r="P37">
        <f>RICEX!X19</f>
        <v>0</v>
      </c>
      <c r="Q37">
        <f>RICEX!Y19</f>
        <v>0</v>
      </c>
      <c r="R37">
        <f>RICEX!Z19</f>
        <v>0</v>
      </c>
      <c r="S37">
        <f>RICEX!AA19</f>
        <v>0</v>
      </c>
      <c r="T37">
        <f>RICEX!AB19</f>
        <v>0</v>
      </c>
    </row>
    <row r="38" spans="2:20" x14ac:dyDescent="0.15">
      <c r="B38" s="67" t="str">
        <f>RICEX!J20</f>
        <v>NET EXPORT</v>
      </c>
      <c r="C38">
        <f>RICEX!K20</f>
        <v>0</v>
      </c>
      <c r="D38">
        <f>RICEX!L20</f>
        <v>0</v>
      </c>
      <c r="E38">
        <f>RICEX!M20</f>
        <v>0</v>
      </c>
      <c r="F38">
        <f>RICEX!N20</f>
        <v>232.39815092841104</v>
      </c>
      <c r="G38">
        <f>RICEX!O20</f>
        <v>0</v>
      </c>
      <c r="H38">
        <f>RICEX!P20</f>
        <v>469.82152506591353</v>
      </c>
      <c r="I38">
        <f>RICEX!Q20</f>
        <v>0</v>
      </c>
      <c r="J38">
        <f>RICEX!R20</f>
        <v>53.285583730008</v>
      </c>
      <c r="K38">
        <f>RICEX!S20</f>
        <v>0</v>
      </c>
      <c r="L38">
        <f>RICEX!T20</f>
        <v>0</v>
      </c>
      <c r="M38">
        <f>RICEX!U20</f>
        <v>0</v>
      </c>
      <c r="N38">
        <f>RICEX!V20</f>
        <v>0</v>
      </c>
      <c r="O38">
        <f>RICEX!W20</f>
        <v>0</v>
      </c>
      <c r="P38">
        <f>RICEX!X20</f>
        <v>0</v>
      </c>
      <c r="Q38">
        <f>RICEX!Y20</f>
        <v>0</v>
      </c>
      <c r="R38">
        <f>RICEX!Z20</f>
        <v>0</v>
      </c>
      <c r="S38">
        <f>RICEX!AA20</f>
        <v>0</v>
      </c>
      <c r="T38">
        <f>RICEX!AB20</f>
        <v>0</v>
      </c>
    </row>
    <row r="39" spans="2:20" x14ac:dyDescent="0.15">
      <c r="B39" s="67" t="str">
        <f>RICEX!J21</f>
        <v>DOMESTIC DEMAND</v>
      </c>
      <c r="C39">
        <f>RICEX!K21</f>
        <v>19192.004000000001</v>
      </c>
      <c r="D39">
        <f>RICEX!L21</f>
        <v>19073.199763686607</v>
      </c>
      <c r="E39">
        <f>RICEX!M21</f>
        <v>19192.004000000001</v>
      </c>
      <c r="F39">
        <f>RICEX!N21</f>
        <v>18914.283118218729</v>
      </c>
      <c r="G39">
        <f>RICEX!O21</f>
        <v>19192.004000000001</v>
      </c>
      <c r="H39">
        <f>RICEX!P21</f>
        <v>18925.589736228227</v>
      </c>
      <c r="I39">
        <f>RICEX!Q21</f>
        <v>19192.004000000001</v>
      </c>
      <c r="J39">
        <f>RICEX!R21</f>
        <v>18905.761534911795</v>
      </c>
      <c r="K39">
        <f>RICEX!S21</f>
        <v>0</v>
      </c>
      <c r="L39">
        <f>RICEX!T21</f>
        <v>0</v>
      </c>
      <c r="M39">
        <f>RICEX!U21</f>
        <v>0</v>
      </c>
      <c r="N39">
        <f>RICEX!V21</f>
        <v>0</v>
      </c>
      <c r="O39">
        <f>RICEX!W21</f>
        <v>0</v>
      </c>
      <c r="P39">
        <f>RICEX!X21</f>
        <v>0</v>
      </c>
      <c r="Q39">
        <f>RICEX!Y21</f>
        <v>0</v>
      </c>
      <c r="R39">
        <f>RICEX!Z21</f>
        <v>0</v>
      </c>
      <c r="S39">
        <f>RICEX!AA21</f>
        <v>0</v>
      </c>
      <c r="T39">
        <f>RICEX!AB21</f>
        <v>0</v>
      </c>
    </row>
    <row r="40" spans="2:20" x14ac:dyDescent="0.15">
      <c r="B40" s="67" t="str">
        <f>RICEX!J22</f>
        <v>energy</v>
      </c>
      <c r="C40">
        <f>RICEX!K22</f>
        <v>751.58599922676763</v>
      </c>
      <c r="D40">
        <f>RICEX!L22</f>
        <v>724.26199415815211</v>
      </c>
      <c r="E40">
        <f>RICEX!M22</f>
        <v>751.58599922676763</v>
      </c>
      <c r="F40">
        <f>RICEX!N22</f>
        <v>716.40532306031537</v>
      </c>
      <c r="G40">
        <f>RICEX!O22</f>
        <v>751.58599922676763</v>
      </c>
      <c r="H40">
        <f>RICEX!P22</f>
        <v>716.40532306031571</v>
      </c>
      <c r="I40">
        <f>RICEX!Q22</f>
        <v>751.58599922676763</v>
      </c>
      <c r="J40">
        <f>RICEX!R22</f>
        <v>716.40532306031594</v>
      </c>
      <c r="K40">
        <f>RICEX!S22</f>
        <v>0</v>
      </c>
      <c r="L40">
        <f>RICEX!T22</f>
        <v>0</v>
      </c>
      <c r="M40">
        <f>RICEX!U22</f>
        <v>0</v>
      </c>
      <c r="N40">
        <f>RICEX!V22</f>
        <v>0</v>
      </c>
      <c r="O40">
        <f>RICEX!W22</f>
        <v>0</v>
      </c>
      <c r="P40">
        <f>RICEX!X22</f>
        <v>0</v>
      </c>
      <c r="Q40">
        <f>RICEX!Y22</f>
        <v>0</v>
      </c>
      <c r="R40">
        <f>RICEX!Z22</f>
        <v>0</v>
      </c>
      <c r="S40">
        <f>RICEX!AA22</f>
        <v>0</v>
      </c>
      <c r="T40">
        <f>RICEX!AB22</f>
        <v>0</v>
      </c>
    </row>
    <row r="41" spans="2:20" x14ac:dyDescent="0.15">
      <c r="B41" s="67" t="str">
        <f>RICEX!J23</f>
        <v>TOTAL FOOD DEMAND BY ALL HOUSEHOLD</v>
      </c>
      <c r="C41">
        <f>RICEX!K23</f>
        <v>15550</v>
      </c>
      <c r="D41">
        <f>RICEX!L23</f>
        <v>14834.3030135313</v>
      </c>
      <c r="E41">
        <f>RICEX!M23</f>
        <v>15550</v>
      </c>
      <c r="F41">
        <f>RICEX!N23</f>
        <v>14673.383014024168</v>
      </c>
      <c r="G41">
        <f>RICEX!O23</f>
        <v>15550</v>
      </c>
      <c r="H41">
        <f>RICEX!P23</f>
        <v>14673.383014024175</v>
      </c>
      <c r="I41">
        <f>RICEX!Q23</f>
        <v>15550</v>
      </c>
      <c r="J41">
        <f>RICEX!R23</f>
        <v>14673.383014024181</v>
      </c>
      <c r="K41">
        <f>RICEX!S23</f>
        <v>0</v>
      </c>
      <c r="L41">
        <f>RICEX!T23</f>
        <v>0</v>
      </c>
      <c r="M41">
        <f>RICEX!U23</f>
        <v>0</v>
      </c>
      <c r="N41">
        <f>RICEX!V23</f>
        <v>0</v>
      </c>
      <c r="O41">
        <f>RICEX!W23</f>
        <v>0</v>
      </c>
      <c r="P41">
        <f>RICEX!X23</f>
        <v>0</v>
      </c>
      <c r="Q41">
        <f>RICEX!Y23</f>
        <v>0</v>
      </c>
      <c r="R41">
        <f>RICEX!Z23</f>
        <v>0</v>
      </c>
      <c r="S41">
        <f>RICEX!AA23</f>
        <v>0</v>
      </c>
      <c r="T41">
        <f>RICEX!AB23</f>
        <v>0</v>
      </c>
    </row>
    <row r="42" spans="2:20" x14ac:dyDescent="0.15">
      <c r="B42" t="str">
        <f>RICEX!J24</f>
        <v>CARBON EMISSION</v>
      </c>
      <c r="C42">
        <f>RICEX!K24</f>
        <v>17664.066582441879</v>
      </c>
      <c r="D42">
        <f>RICEX!L24</f>
        <v>17141.572635603454</v>
      </c>
      <c r="E42">
        <f>RICEX!M24</f>
        <v>17084.230739526858</v>
      </c>
      <c r="F42">
        <f>RICEX!N24</f>
        <v>15751.482001078492</v>
      </c>
      <c r="G42">
        <f>RICEX!O24</f>
        <v>17664.066582441879</v>
      </c>
      <c r="H42">
        <f>RICEX!P24</f>
        <v>16668.562455786203</v>
      </c>
      <c r="I42">
        <f>RICEX!Q24</f>
        <v>17664.066582441879</v>
      </c>
      <c r="J42">
        <f>RICEX!R24</f>
        <v>16964.501604910471</v>
      </c>
      <c r="K42">
        <f>RICEX!S24</f>
        <v>0</v>
      </c>
      <c r="L42">
        <f>RICEX!T24</f>
        <v>0</v>
      </c>
      <c r="M42">
        <f>RICEX!U24</f>
        <v>0</v>
      </c>
      <c r="N42">
        <f>RICEX!V24</f>
        <v>0</v>
      </c>
      <c r="O42">
        <f>RICEX!W24</f>
        <v>0</v>
      </c>
      <c r="P42">
        <f>RICEX!X24</f>
        <v>0</v>
      </c>
      <c r="Q42">
        <f>RICEX!Y24</f>
        <v>0</v>
      </c>
      <c r="R42">
        <f>RICEX!Z24</f>
        <v>0</v>
      </c>
      <c r="S42">
        <f>RICEX!AA24</f>
        <v>0</v>
      </c>
      <c r="T42">
        <f>RICEX!AB24</f>
        <v>0</v>
      </c>
    </row>
    <row r="43" spans="2:20" x14ac:dyDescent="0.15">
      <c r="B43">
        <f>RICEX!J25</f>
        <v>0</v>
      </c>
      <c r="C43">
        <f>RICEX!K25</f>
        <v>0</v>
      </c>
      <c r="D43">
        <f>RICEX!L25</f>
        <v>0</v>
      </c>
      <c r="E43">
        <f>RICEX!M25</f>
        <v>0</v>
      </c>
      <c r="F43">
        <f>RICEX!N25</f>
        <v>0</v>
      </c>
      <c r="G43">
        <f>RICEX!O25</f>
        <v>0</v>
      </c>
      <c r="H43">
        <f>RICEX!P25</f>
        <v>0</v>
      </c>
      <c r="I43">
        <f>RICEX!Q25</f>
        <v>0</v>
      </c>
      <c r="J43">
        <f>RICEX!R25</f>
        <v>0</v>
      </c>
      <c r="K43">
        <f>RICEX!S25</f>
        <v>0</v>
      </c>
      <c r="L43">
        <f>RICEX!T25</f>
        <v>0</v>
      </c>
      <c r="M43">
        <f>RICEX!U25</f>
        <v>0</v>
      </c>
      <c r="N43">
        <f>RICEX!V25</f>
        <v>0</v>
      </c>
      <c r="O43">
        <f>RICEX!W25</f>
        <v>0</v>
      </c>
      <c r="P43">
        <f>RICEX!X25</f>
        <v>0</v>
      </c>
      <c r="Q43">
        <f>RICEX!Y25</f>
        <v>0</v>
      </c>
      <c r="R43">
        <f>RICEX!Z25</f>
        <v>0</v>
      </c>
      <c r="S43">
        <f>RICEX!AA25</f>
        <v>0</v>
      </c>
      <c r="T43">
        <f>RICEX!AB25</f>
        <v>0</v>
      </c>
    </row>
    <row r="44" spans="2:20" x14ac:dyDescent="0.15">
      <c r="B44">
        <f>RICEX!J26</f>
        <v>0</v>
      </c>
      <c r="C44" t="e">
        <f>RICEX!#REF!</f>
        <v>#REF!</v>
      </c>
      <c r="D44" t="e">
        <f>RICEX!#REF!</f>
        <v>#REF!</v>
      </c>
      <c r="E44" t="e">
        <f>RICEX!#REF!</f>
        <v>#REF!</v>
      </c>
      <c r="F44" t="e">
        <f>RICEX!#REF!</f>
        <v>#REF!</v>
      </c>
      <c r="G44" t="e">
        <f>RICEX!#REF!</f>
        <v>#REF!</v>
      </c>
      <c r="H44" t="e">
        <f>RICEX!#REF!</f>
        <v>#REF!</v>
      </c>
      <c r="I44" t="e">
        <f>RICEX!#REF!</f>
        <v>#REF!</v>
      </c>
      <c r="J44" t="e">
        <f>RICEX!#REF!</f>
        <v>#REF!</v>
      </c>
      <c r="K44" t="e">
        <f>RICEX!#REF!</f>
        <v>#REF!</v>
      </c>
      <c r="L44" t="e">
        <f>RICEX!#REF!</f>
        <v>#REF!</v>
      </c>
      <c r="M44" t="e">
        <f>RICEX!#REF!</f>
        <v>#REF!</v>
      </c>
      <c r="N44" t="e">
        <f>RICEX!#REF!</f>
        <v>#REF!</v>
      </c>
      <c r="O44" t="e">
        <f>RICEX!#REF!</f>
        <v>#REF!</v>
      </c>
      <c r="P44" t="e">
        <f>RICEX!#REF!</f>
        <v>#REF!</v>
      </c>
      <c r="Q44" t="e">
        <f>RICEX!#REF!</f>
        <v>#REF!</v>
      </c>
      <c r="R44" t="e">
        <f>RICEX!#REF!</f>
        <v>#REF!</v>
      </c>
      <c r="S44" t="e">
        <f>RICEX!#REF!</f>
        <v>#REF!</v>
      </c>
      <c r="T44" t="e">
        <f>RICEX!#REF!</f>
        <v>#REF!</v>
      </c>
    </row>
    <row r="45" spans="2:20" x14ac:dyDescent="0.15">
      <c r="B45">
        <f>RICEX!J27</f>
        <v>0</v>
      </c>
      <c r="C45" t="e">
        <f>RICEX!#REF!</f>
        <v>#REF!</v>
      </c>
      <c r="D45" t="e">
        <f>RICEX!#REF!</f>
        <v>#REF!</v>
      </c>
      <c r="E45" t="e">
        <f>RICEX!#REF!</f>
        <v>#REF!</v>
      </c>
      <c r="F45" t="e">
        <f>RICEX!#REF!</f>
        <v>#REF!</v>
      </c>
      <c r="G45" t="e">
        <f>RICEX!#REF!</f>
        <v>#REF!</v>
      </c>
      <c r="H45" t="e">
        <f>RICEX!#REF!</f>
        <v>#REF!</v>
      </c>
      <c r="I45" t="e">
        <f>RICEX!#REF!</f>
        <v>#REF!</v>
      </c>
      <c r="J45" t="e">
        <f>RICEX!#REF!</f>
        <v>#REF!</v>
      </c>
      <c r="K45" t="e">
        <f>RICEX!#REF!</f>
        <v>#REF!</v>
      </c>
      <c r="L45" t="e">
        <f>RICEX!#REF!</f>
        <v>#REF!</v>
      </c>
      <c r="M45" t="e">
        <f>RICEX!#REF!</f>
        <v>#REF!</v>
      </c>
      <c r="N45" t="e">
        <f>RICEX!#REF!</f>
        <v>#REF!</v>
      </c>
      <c r="O45" t="e">
        <f>RICEX!#REF!</f>
        <v>#REF!</v>
      </c>
      <c r="P45" t="e">
        <f>RICEX!#REF!</f>
        <v>#REF!</v>
      </c>
      <c r="Q45" t="e">
        <f>RICEX!#REF!</f>
        <v>#REF!</v>
      </c>
      <c r="R45" t="e">
        <f>RICEX!#REF!</f>
        <v>#REF!</v>
      </c>
      <c r="S45" t="e">
        <f>RICEX!#REF!</f>
        <v>#REF!</v>
      </c>
      <c r="T45" t="e">
        <f>RICEX!#REF!</f>
        <v>#REF!</v>
      </c>
    </row>
    <row r="46" spans="2:20" x14ac:dyDescent="0.15">
      <c r="B46">
        <f>RICEX!J28</f>
        <v>0</v>
      </c>
      <c r="C46" t="e">
        <f>RICEX!#REF!</f>
        <v>#REF!</v>
      </c>
      <c r="D46" t="e">
        <f>RICEX!#REF!</f>
        <v>#REF!</v>
      </c>
      <c r="E46" t="e">
        <f>RICEX!#REF!</f>
        <v>#REF!</v>
      </c>
      <c r="F46" t="e">
        <f>RICEX!#REF!</f>
        <v>#REF!</v>
      </c>
      <c r="G46" t="e">
        <f>RICEX!#REF!</f>
        <v>#REF!</v>
      </c>
      <c r="H46" t="e">
        <f>RICEX!#REF!</f>
        <v>#REF!</v>
      </c>
      <c r="I46" t="e">
        <f>RICEX!#REF!</f>
        <v>#REF!</v>
      </c>
      <c r="J46" t="e">
        <f>RICEX!#REF!</f>
        <v>#REF!</v>
      </c>
      <c r="K46" t="e">
        <f>RICEX!#REF!</f>
        <v>#REF!</v>
      </c>
      <c r="L46" t="e">
        <f>RICEX!#REF!</f>
        <v>#REF!</v>
      </c>
      <c r="M46" t="e">
        <f>RICEX!#REF!</f>
        <v>#REF!</v>
      </c>
      <c r="N46" t="e">
        <f>RICEX!#REF!</f>
        <v>#REF!</v>
      </c>
      <c r="O46" t="e">
        <f>RICEX!#REF!</f>
        <v>#REF!</v>
      </c>
      <c r="P46" t="e">
        <f>RICEX!#REF!</f>
        <v>#REF!</v>
      </c>
      <c r="Q46" t="e">
        <f>RICEX!#REF!</f>
        <v>#REF!</v>
      </c>
      <c r="R46" t="e">
        <f>RICEX!#REF!</f>
        <v>#REF!</v>
      </c>
      <c r="S46" t="e">
        <f>RICEX!#REF!</f>
        <v>#REF!</v>
      </c>
      <c r="T46" t="e">
        <f>RICEX!#REF!</f>
        <v>#REF!</v>
      </c>
    </row>
    <row r="47" spans="2:20" x14ac:dyDescent="0.15">
      <c r="B47">
        <f>RICEX!J29</f>
        <v>0</v>
      </c>
      <c r="C47">
        <f>RICEX!K26</f>
        <v>0</v>
      </c>
      <c r="D47">
        <f>RICEX!L26</f>
        <v>0</v>
      </c>
      <c r="E47">
        <f>RICEX!M26</f>
        <v>0</v>
      </c>
      <c r="F47">
        <f>RICEX!N26</f>
        <v>0</v>
      </c>
      <c r="G47">
        <f>RICEX!O26</f>
        <v>0</v>
      </c>
      <c r="H47">
        <f>RICEX!P26</f>
        <v>0</v>
      </c>
      <c r="I47">
        <f>RICEX!Q26</f>
        <v>0</v>
      </c>
      <c r="J47">
        <f>RICEX!R26</f>
        <v>0</v>
      </c>
      <c r="K47">
        <f>RICEX!S26</f>
        <v>0</v>
      </c>
      <c r="L47">
        <f>RICEX!T26</f>
        <v>0</v>
      </c>
      <c r="M47">
        <f>RICEX!U26</f>
        <v>0</v>
      </c>
      <c r="N47">
        <f>RICEX!V26</f>
        <v>0</v>
      </c>
      <c r="O47">
        <f>RICEX!W26</f>
        <v>0</v>
      </c>
      <c r="P47">
        <f>RICEX!X26</f>
        <v>0</v>
      </c>
      <c r="Q47">
        <f>RICEX!Y26</f>
        <v>0</v>
      </c>
      <c r="R47">
        <f>RICEX!Z26</f>
        <v>0</v>
      </c>
      <c r="S47">
        <f>RICEX!AA26</f>
        <v>0</v>
      </c>
      <c r="T47">
        <f>RICEX!AB26</f>
        <v>0</v>
      </c>
    </row>
    <row r="48" spans="2:20" x14ac:dyDescent="0.15">
      <c r="B48">
        <f>RICEX!J30</f>
        <v>0</v>
      </c>
      <c r="C48">
        <f>RICEX!K27</f>
        <v>0</v>
      </c>
      <c r="D48">
        <f>RICEX!L27</f>
        <v>0</v>
      </c>
      <c r="E48">
        <f>RICEX!M27</f>
        <v>0</v>
      </c>
      <c r="F48">
        <f>RICEX!N27</f>
        <v>0</v>
      </c>
      <c r="G48">
        <f>RICEX!O27</f>
        <v>0</v>
      </c>
      <c r="H48">
        <f>RICEX!P27</f>
        <v>0</v>
      </c>
      <c r="I48">
        <f>RICEX!Q27</f>
        <v>0</v>
      </c>
      <c r="J48">
        <f>RICEX!R27</f>
        <v>0</v>
      </c>
      <c r="K48">
        <f>RICEX!S27</f>
        <v>0</v>
      </c>
      <c r="L48">
        <f>RICEX!T27</f>
        <v>0</v>
      </c>
      <c r="M48">
        <f>RICEX!U27</f>
        <v>0</v>
      </c>
      <c r="N48">
        <f>RICEX!V27</f>
        <v>0</v>
      </c>
      <c r="O48">
        <f>RICEX!W27</f>
        <v>0</v>
      </c>
      <c r="P48">
        <f>RICEX!X27</f>
        <v>0</v>
      </c>
      <c r="Q48">
        <f>RICEX!Y27</f>
        <v>0</v>
      </c>
      <c r="R48">
        <f>RICEX!Z27</f>
        <v>0</v>
      </c>
      <c r="S48">
        <f>RICEX!AA27</f>
        <v>0</v>
      </c>
      <c r="T48">
        <f>RICEX!AB27</f>
        <v>0</v>
      </c>
    </row>
    <row r="49" spans="2:20" x14ac:dyDescent="0.15">
      <c r="B49">
        <f>RICEX!J31</f>
        <v>0</v>
      </c>
      <c r="C49">
        <f>RICEX!K28</f>
        <v>0</v>
      </c>
      <c r="D49">
        <f>RICEX!L28</f>
        <v>0</v>
      </c>
      <c r="E49">
        <f>RICEX!M28</f>
        <v>0</v>
      </c>
      <c r="F49">
        <f>RICEX!N28</f>
        <v>0</v>
      </c>
      <c r="G49">
        <f>RICEX!O28</f>
        <v>0</v>
      </c>
      <c r="H49">
        <f>RICEX!P28</f>
        <v>0</v>
      </c>
      <c r="I49">
        <f>RICEX!Q28</f>
        <v>0</v>
      </c>
      <c r="J49">
        <f>RICEX!R28</f>
        <v>0</v>
      </c>
      <c r="K49">
        <f>RICEX!S28</f>
        <v>0</v>
      </c>
      <c r="L49">
        <f>RICEX!T28</f>
        <v>0</v>
      </c>
      <c r="M49">
        <f>RICEX!U28</f>
        <v>0</v>
      </c>
      <c r="N49">
        <f>RICEX!V28</f>
        <v>0</v>
      </c>
      <c r="O49">
        <f>RICEX!W28</f>
        <v>0</v>
      </c>
      <c r="P49">
        <f>RICEX!X28</f>
        <v>0</v>
      </c>
      <c r="Q49">
        <f>RICEX!Y28</f>
        <v>0</v>
      </c>
      <c r="R49">
        <f>RICEX!Z28</f>
        <v>0</v>
      </c>
      <c r="S49">
        <f>RICEX!AA28</f>
        <v>0</v>
      </c>
      <c r="T49">
        <f>RICEX!AB28</f>
        <v>0</v>
      </c>
    </row>
    <row r="50" spans="2:20" x14ac:dyDescent="0.15">
      <c r="B50">
        <f>RICEX!J32</f>
        <v>0</v>
      </c>
      <c r="C50">
        <f>RICEX!K29</f>
        <v>0</v>
      </c>
      <c r="D50">
        <f>RICEX!L29</f>
        <v>0</v>
      </c>
      <c r="E50">
        <f>RICEX!M29</f>
        <v>0</v>
      </c>
      <c r="F50">
        <f>RICEX!N29</f>
        <v>0</v>
      </c>
      <c r="G50">
        <f>RICEX!O29</f>
        <v>0</v>
      </c>
      <c r="H50">
        <f>RICEX!P29</f>
        <v>0</v>
      </c>
      <c r="I50">
        <f>RICEX!Q29</f>
        <v>0</v>
      </c>
      <c r="J50">
        <f>RICEX!R29</f>
        <v>0</v>
      </c>
      <c r="K50">
        <f>RICEX!S29</f>
        <v>0</v>
      </c>
      <c r="L50">
        <f>RICEX!T29</f>
        <v>0</v>
      </c>
      <c r="M50">
        <f>RICEX!U29</f>
        <v>0</v>
      </c>
      <c r="N50">
        <f>RICEX!V29</f>
        <v>0</v>
      </c>
      <c r="O50">
        <f>RICEX!W29</f>
        <v>0</v>
      </c>
      <c r="P50">
        <f>RICEX!X29</f>
        <v>0</v>
      </c>
      <c r="Q50">
        <f>RICEX!Y29</f>
        <v>0</v>
      </c>
      <c r="R50">
        <f>RICEX!Z29</f>
        <v>0</v>
      </c>
      <c r="S50">
        <f>RICEX!AA29</f>
        <v>0</v>
      </c>
      <c r="T50">
        <f>RICEX!AB29</f>
        <v>0</v>
      </c>
    </row>
    <row r="51" spans="2:20" x14ac:dyDescent="0.15">
      <c r="B51">
        <f>RICEX!J33</f>
        <v>0</v>
      </c>
      <c r="C51">
        <f>RICEX!K30</f>
        <v>0</v>
      </c>
      <c r="D51">
        <f>RICEX!L30</f>
        <v>0</v>
      </c>
      <c r="E51">
        <f>RICEX!M30</f>
        <v>0</v>
      </c>
      <c r="F51">
        <f>RICEX!N30</f>
        <v>0</v>
      </c>
      <c r="G51">
        <f>RICEX!O30</f>
        <v>0</v>
      </c>
      <c r="H51">
        <f>RICEX!P30</f>
        <v>0</v>
      </c>
      <c r="I51">
        <f>RICEX!Q30</f>
        <v>0</v>
      </c>
      <c r="J51">
        <f>RICEX!R30</f>
        <v>0</v>
      </c>
      <c r="K51">
        <f>RICEX!S30</f>
        <v>0</v>
      </c>
      <c r="L51">
        <f>RICEX!T30</f>
        <v>0</v>
      </c>
      <c r="M51">
        <f>RICEX!U30</f>
        <v>0</v>
      </c>
      <c r="N51">
        <f>RICEX!V30</f>
        <v>0</v>
      </c>
      <c r="O51">
        <f>RICEX!W30</f>
        <v>0</v>
      </c>
      <c r="P51">
        <f>RICEX!X30</f>
        <v>0</v>
      </c>
      <c r="Q51">
        <f>RICEX!Y30</f>
        <v>0</v>
      </c>
      <c r="R51">
        <f>RICEX!Z30</f>
        <v>0</v>
      </c>
      <c r="S51">
        <f>RICEX!AA30</f>
        <v>0</v>
      </c>
      <c r="T51">
        <f>RICEX!AB30</f>
        <v>0</v>
      </c>
    </row>
    <row r="52" spans="2:20" x14ac:dyDescent="0.15">
      <c r="B52">
        <f>RICEX!J34</f>
        <v>0</v>
      </c>
      <c r="C52">
        <f>RICEX!K31</f>
        <v>0</v>
      </c>
      <c r="D52">
        <f>RICEX!L31</f>
        <v>0</v>
      </c>
      <c r="E52">
        <f>RICEX!M31</f>
        <v>0</v>
      </c>
      <c r="F52">
        <f>RICEX!N31</f>
        <v>0</v>
      </c>
      <c r="G52">
        <f>RICEX!O31</f>
        <v>0</v>
      </c>
      <c r="H52">
        <f>RICEX!P31</f>
        <v>0</v>
      </c>
      <c r="I52">
        <f>RICEX!Q31</f>
        <v>0</v>
      </c>
      <c r="J52">
        <f>RICEX!R31</f>
        <v>0</v>
      </c>
      <c r="K52">
        <f>RICEX!S31</f>
        <v>0</v>
      </c>
      <c r="L52">
        <f>RICEX!T31</f>
        <v>0</v>
      </c>
      <c r="M52">
        <f>RICEX!U31</f>
        <v>0</v>
      </c>
      <c r="N52">
        <f>RICEX!V31</f>
        <v>0</v>
      </c>
      <c r="O52">
        <f>RICEX!W31</f>
        <v>0</v>
      </c>
      <c r="P52">
        <f>RICEX!X31</f>
        <v>0</v>
      </c>
      <c r="Q52">
        <f>RICEX!Y31</f>
        <v>0</v>
      </c>
      <c r="R52">
        <f>RICEX!Z31</f>
        <v>0</v>
      </c>
      <c r="S52">
        <f>RICEX!AA31</f>
        <v>0</v>
      </c>
      <c r="T52">
        <f>RICEX!AB31</f>
        <v>0</v>
      </c>
    </row>
    <row r="53" spans="2:20" x14ac:dyDescent="0.15">
      <c r="B53">
        <f>RICEX!J35</f>
        <v>0</v>
      </c>
      <c r="C53">
        <f>RICEX!K32</f>
        <v>0</v>
      </c>
      <c r="D53">
        <f>RICEX!L32</f>
        <v>0</v>
      </c>
      <c r="E53">
        <f>RICEX!M32</f>
        <v>0</v>
      </c>
      <c r="F53">
        <f>RICEX!N32</f>
        <v>0</v>
      </c>
      <c r="G53">
        <f>RICEX!O32</f>
        <v>0</v>
      </c>
      <c r="H53">
        <f>RICEX!P32</f>
        <v>0</v>
      </c>
      <c r="I53">
        <f>RICEX!Q32</f>
        <v>0</v>
      </c>
      <c r="J53">
        <f>RICEX!R32</f>
        <v>0</v>
      </c>
      <c r="K53">
        <f>RICEX!S32</f>
        <v>0</v>
      </c>
      <c r="L53">
        <f>RICEX!T32</f>
        <v>0</v>
      </c>
      <c r="M53">
        <f>RICEX!U32</f>
        <v>0</v>
      </c>
      <c r="N53">
        <f>RICEX!V32</f>
        <v>0</v>
      </c>
      <c r="O53">
        <f>RICEX!W32</f>
        <v>0</v>
      </c>
      <c r="P53">
        <f>RICEX!X32</f>
        <v>0</v>
      </c>
      <c r="Q53">
        <f>RICEX!Y32</f>
        <v>0</v>
      </c>
      <c r="R53">
        <f>RICEX!Z32</f>
        <v>0</v>
      </c>
      <c r="S53">
        <f>RICEX!AA32</f>
        <v>0</v>
      </c>
      <c r="T53">
        <f>RICEX!AB32</f>
        <v>0</v>
      </c>
    </row>
    <row r="54" spans="2:20" x14ac:dyDescent="0.15">
      <c r="B54">
        <f>RICEX!J36</f>
        <v>0</v>
      </c>
      <c r="C54">
        <f>RICEX!K33</f>
        <v>0</v>
      </c>
      <c r="D54">
        <f>RICEX!L33</f>
        <v>0</v>
      </c>
      <c r="E54">
        <f>RICEX!M33</f>
        <v>0</v>
      </c>
      <c r="F54">
        <f>RICEX!N33</f>
        <v>0</v>
      </c>
      <c r="G54">
        <f>RICEX!O33</f>
        <v>0</v>
      </c>
      <c r="H54">
        <f>RICEX!P33</f>
        <v>0</v>
      </c>
      <c r="I54">
        <f>RICEX!Q33</f>
        <v>0</v>
      </c>
      <c r="J54">
        <f>RICEX!R33</f>
        <v>0</v>
      </c>
      <c r="K54">
        <f>RICEX!S33</f>
        <v>0</v>
      </c>
      <c r="L54">
        <f>RICEX!T33</f>
        <v>0</v>
      </c>
      <c r="M54">
        <f>RICEX!U33</f>
        <v>0</v>
      </c>
      <c r="N54">
        <f>RICEX!V33</f>
        <v>0</v>
      </c>
      <c r="O54">
        <f>RICEX!W33</f>
        <v>0</v>
      </c>
      <c r="P54">
        <f>RICEX!X33</f>
        <v>0</v>
      </c>
      <c r="Q54">
        <f>RICEX!Y33</f>
        <v>0</v>
      </c>
      <c r="R54">
        <f>RICEX!Z33</f>
        <v>0</v>
      </c>
      <c r="S54">
        <f>RICEX!AA33</f>
        <v>0</v>
      </c>
      <c r="T54">
        <f>RICEX!AB33</f>
        <v>0</v>
      </c>
    </row>
  </sheetData>
  <phoneticPr fontId="14" type="noConversion"/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6:CP86"/>
  <sheetViews>
    <sheetView topLeftCell="I1" workbookViewId="0">
      <pane xSplit="2" ySplit="7" topLeftCell="K8" activePane="bottomRight" state="frozen"/>
      <selection pane="topRight"/>
      <selection pane="bottomLeft"/>
      <selection pane="bottomRight" activeCell="L38" sqref="L38"/>
    </sheetView>
  </sheetViews>
  <sheetFormatPr defaultColWidth="9" defaultRowHeight="13.5" x14ac:dyDescent="0.15"/>
  <cols>
    <col min="1" max="1" width="30.875" customWidth="1"/>
    <col min="2" max="2" width="15.5" style="32" customWidth="1"/>
    <col min="3" max="3" width="12.875" customWidth="1"/>
    <col min="8" max="8" width="4.625" customWidth="1"/>
    <col min="9" max="9" width="2.125" customWidth="1"/>
    <col min="10" max="10" width="53" customWidth="1"/>
    <col min="12" max="12" width="11.5"/>
    <col min="13" max="24" width="9" customWidth="1"/>
    <col min="28" max="28" width="9" style="4"/>
  </cols>
  <sheetData>
    <row r="6" spans="1:94" ht="12.75" customHeight="1" x14ac:dyDescent="0.15">
      <c r="B6" s="32" t="s">
        <v>73</v>
      </c>
      <c r="K6" s="67" t="s">
        <v>73</v>
      </c>
      <c r="L6" s="68" t="s">
        <v>73</v>
      </c>
      <c r="M6" s="68" t="s">
        <v>315</v>
      </c>
      <c r="N6" s="68" t="s">
        <v>315</v>
      </c>
      <c r="O6" s="68" t="s">
        <v>316</v>
      </c>
      <c r="P6" s="68" t="s">
        <v>316</v>
      </c>
      <c r="Q6" s="68" t="s">
        <v>317</v>
      </c>
      <c r="R6" s="68" t="s">
        <v>317</v>
      </c>
      <c r="S6" s="68"/>
      <c r="T6" s="68"/>
      <c r="U6" s="68"/>
      <c r="V6" s="68"/>
      <c r="W6" s="67"/>
      <c r="X6" s="67"/>
      <c r="Y6" s="67"/>
      <c r="Z6" s="67"/>
      <c r="AA6" s="67"/>
      <c r="AB6" s="69"/>
      <c r="AC6" s="67"/>
      <c r="AD6" s="67"/>
      <c r="AE6" s="67"/>
      <c r="AF6" s="67"/>
      <c r="AG6" s="67"/>
      <c r="AH6" s="67"/>
      <c r="AI6" s="67"/>
      <c r="AJ6" s="67"/>
      <c r="AK6" s="67"/>
      <c r="AL6" s="67"/>
      <c r="AM6" s="67"/>
      <c r="AN6" s="67"/>
      <c r="AO6" s="67"/>
      <c r="AP6" s="67"/>
      <c r="AQ6" s="67"/>
      <c r="AR6" s="67"/>
      <c r="AS6" s="67"/>
      <c r="AT6" s="67"/>
      <c r="AU6" s="67"/>
      <c r="AV6" s="67"/>
      <c r="AW6" s="67"/>
      <c r="AX6" s="67"/>
      <c r="AY6" s="67"/>
      <c r="AZ6" s="67"/>
      <c r="BA6" s="67"/>
      <c r="BB6" s="67"/>
      <c r="BC6" s="67"/>
      <c r="BD6" s="67"/>
      <c r="BE6" s="67"/>
      <c r="BF6" s="67"/>
      <c r="BG6" s="67"/>
      <c r="BH6" s="67"/>
      <c r="BI6" s="67"/>
      <c r="BJ6" s="67"/>
      <c r="BK6" s="67"/>
      <c r="BL6" s="67"/>
      <c r="BM6" s="67"/>
      <c r="BN6" s="67"/>
      <c r="BO6" s="67"/>
      <c r="BP6" s="67"/>
      <c r="BQ6" s="67"/>
      <c r="BR6" s="67"/>
      <c r="BS6" s="67"/>
      <c r="BT6" s="67"/>
      <c r="BU6" s="67"/>
      <c r="BV6" s="67"/>
      <c r="BW6" s="67"/>
      <c r="BX6" s="67"/>
      <c r="BY6" s="67"/>
      <c r="BZ6" s="67"/>
      <c r="CA6" s="67"/>
      <c r="CB6" s="67"/>
      <c r="CC6" s="67"/>
      <c r="CD6" s="67"/>
      <c r="CE6" s="67"/>
      <c r="CF6" s="67"/>
      <c r="CG6" s="67"/>
      <c r="CH6" s="67"/>
      <c r="CI6" s="67"/>
      <c r="CJ6" s="67"/>
      <c r="CK6" s="67"/>
      <c r="CL6" s="67"/>
      <c r="CM6" s="67"/>
      <c r="CN6" s="67"/>
      <c r="CO6" s="67"/>
      <c r="CP6" s="67"/>
    </row>
    <row r="7" spans="1:94" x14ac:dyDescent="0.15">
      <c r="B7" s="32" t="s">
        <v>74</v>
      </c>
      <c r="C7" s="32"/>
      <c r="D7" s="32"/>
      <c r="E7" s="32"/>
      <c r="F7" s="32"/>
      <c r="G7" s="32"/>
      <c r="H7" s="11"/>
      <c r="K7" s="67" t="s">
        <v>76</v>
      </c>
      <c r="L7" s="68" t="s">
        <v>77</v>
      </c>
      <c r="M7" s="68" t="s">
        <v>76</v>
      </c>
      <c r="N7" s="68" t="s">
        <v>77</v>
      </c>
      <c r="O7" s="68" t="s">
        <v>76</v>
      </c>
      <c r="P7" s="68" t="s">
        <v>77</v>
      </c>
      <c r="Q7" s="68" t="s">
        <v>76</v>
      </c>
      <c r="R7" s="68" t="s">
        <v>77</v>
      </c>
      <c r="S7" s="68"/>
      <c r="T7" s="68"/>
      <c r="U7" s="68"/>
      <c r="V7" s="68"/>
      <c r="W7" s="67"/>
      <c r="X7" s="67"/>
      <c r="Y7" s="67"/>
      <c r="Z7" s="67"/>
      <c r="AA7" s="67"/>
      <c r="AB7" s="69"/>
      <c r="AC7" s="67"/>
      <c r="AD7" s="67"/>
      <c r="AE7" s="67"/>
      <c r="AF7" s="67"/>
      <c r="AG7" s="67"/>
      <c r="AH7" s="67"/>
      <c r="AI7" s="67"/>
      <c r="AJ7" s="67"/>
      <c r="AK7" s="67"/>
      <c r="AL7" s="67"/>
      <c r="AM7" s="67"/>
      <c r="AN7" s="67"/>
      <c r="AO7" s="67"/>
      <c r="AP7" s="67"/>
      <c r="AQ7" s="67"/>
      <c r="AR7" s="67"/>
      <c r="AS7" s="67"/>
      <c r="AT7" s="67"/>
      <c r="AU7" s="67"/>
      <c r="AV7" s="67"/>
      <c r="AW7" s="67"/>
      <c r="AX7" s="67"/>
      <c r="AY7" s="67"/>
      <c r="AZ7" s="67"/>
      <c r="BA7" s="67"/>
      <c r="BB7" s="67"/>
      <c r="BC7" s="67"/>
      <c r="BD7" s="67"/>
      <c r="BE7" s="67"/>
      <c r="BF7" s="67"/>
      <c r="BG7" s="67"/>
      <c r="BH7" s="67"/>
      <c r="BI7" s="67"/>
      <c r="BJ7" s="67"/>
      <c r="BK7" s="67"/>
      <c r="BL7" s="67"/>
      <c r="BM7" s="67"/>
      <c r="BN7" s="67"/>
      <c r="BO7" s="67"/>
      <c r="BP7" s="67"/>
      <c r="BQ7" s="67"/>
      <c r="BR7" s="67"/>
      <c r="BS7" s="67"/>
      <c r="BT7" s="67"/>
      <c r="BU7" s="67"/>
      <c r="BV7" s="67"/>
      <c r="BW7" s="67"/>
      <c r="BX7" s="67"/>
      <c r="BY7" s="67"/>
      <c r="BZ7" s="67"/>
      <c r="CA7" s="67"/>
      <c r="CB7" s="67"/>
      <c r="CC7" s="67"/>
      <c r="CD7" s="67"/>
      <c r="CE7" s="67"/>
      <c r="CF7" s="67"/>
      <c r="CG7" s="67"/>
      <c r="CH7" s="67"/>
      <c r="CI7" s="67"/>
      <c r="CJ7" s="67"/>
      <c r="CK7" s="67"/>
      <c r="CL7" s="67"/>
      <c r="CM7" s="67"/>
      <c r="CN7" s="67"/>
      <c r="CO7" s="67"/>
      <c r="CP7" s="67"/>
    </row>
    <row r="8" spans="1:94" x14ac:dyDescent="0.15">
      <c r="A8" t="s">
        <v>78</v>
      </c>
      <c r="B8" s="32">
        <f>(AD8/K8)^(1/19)*100-100</f>
        <v>-100</v>
      </c>
      <c r="C8" s="57"/>
      <c r="D8" s="11"/>
      <c r="E8" s="11"/>
      <c r="F8" s="11"/>
      <c r="G8" s="11"/>
      <c r="J8" s="67" t="s">
        <v>79</v>
      </c>
      <c r="K8">
        <v>5259.4</v>
      </c>
      <c r="L8">
        <v>5244.6107250570913</v>
      </c>
      <c r="M8">
        <v>5259.4</v>
      </c>
      <c r="N8">
        <v>5248.8077564723153</v>
      </c>
      <c r="O8">
        <v>5259.4</v>
      </c>
      <c r="P8">
        <v>5254.0578238250546</v>
      </c>
      <c r="Q8">
        <v>5259.4</v>
      </c>
      <c r="R8">
        <v>5245.1352071084566</v>
      </c>
    </row>
    <row r="9" spans="1:94" x14ac:dyDescent="0.15">
      <c r="A9" t="s">
        <v>80</v>
      </c>
      <c r="B9" s="32">
        <f t="shared" ref="B9:B34" si="0">(AD9/K9)^(1/19)*100-100</f>
        <v>-100</v>
      </c>
      <c r="C9" s="57"/>
      <c r="D9" s="11"/>
      <c r="E9" s="11"/>
      <c r="F9" s="11"/>
      <c r="G9" s="11"/>
      <c r="H9" s="11"/>
      <c r="J9" s="67" t="s">
        <v>81</v>
      </c>
      <c r="K9">
        <v>13.145114115890207</v>
      </c>
      <c r="L9">
        <v>13.333935317524475</v>
      </c>
      <c r="M9">
        <v>13.145114115890207</v>
      </c>
      <c r="N9">
        <v>13.523514774284674</v>
      </c>
      <c r="O9">
        <v>13.145114115890207</v>
      </c>
      <c r="P9">
        <v>13.685361044685914</v>
      </c>
      <c r="Q9">
        <v>13.145114115890207</v>
      </c>
      <c r="R9">
        <v>13.400472653190818</v>
      </c>
    </row>
    <row r="10" spans="1:94" x14ac:dyDescent="0.15">
      <c r="A10" t="s">
        <v>82</v>
      </c>
      <c r="B10" s="32">
        <f t="shared" si="0"/>
        <v>-100</v>
      </c>
      <c r="C10" s="57"/>
      <c r="D10" s="11"/>
      <c r="E10" s="11"/>
      <c r="F10" s="11"/>
      <c r="G10" s="11"/>
      <c r="H10" s="11"/>
      <c r="J10" s="67" t="s">
        <v>83</v>
      </c>
      <c r="K10">
        <v>35498.880000000005</v>
      </c>
      <c r="L10">
        <v>35654.028941198478</v>
      </c>
      <c r="M10">
        <v>35498.880000000005</v>
      </c>
      <c r="N10">
        <v>35848.26751161486</v>
      </c>
      <c r="O10">
        <v>35498.880000000005</v>
      </c>
      <c r="P10">
        <v>36313.620731195828</v>
      </c>
      <c r="Q10">
        <v>35498.880000000005</v>
      </c>
      <c r="R10">
        <v>35497.218943503372</v>
      </c>
    </row>
    <row r="11" spans="1:94" x14ac:dyDescent="0.15">
      <c r="A11" t="s">
        <v>84</v>
      </c>
      <c r="B11" s="32">
        <f t="shared" si="0"/>
        <v>-100</v>
      </c>
      <c r="C11" s="57"/>
      <c r="D11" s="11"/>
      <c r="E11" s="11"/>
      <c r="F11" s="11"/>
      <c r="G11" s="11"/>
      <c r="H11" s="11"/>
      <c r="J11" s="67" t="s">
        <v>85</v>
      </c>
      <c r="K11">
        <v>34911.300000000003</v>
      </c>
      <c r="L11">
        <v>35326.086866871883</v>
      </c>
      <c r="M11">
        <v>34911.300000000003</v>
      </c>
      <c r="N11">
        <v>35848.26751161486</v>
      </c>
      <c r="O11">
        <v>34911.300000000003</v>
      </c>
      <c r="P11">
        <v>36313.620731195828</v>
      </c>
      <c r="Q11">
        <v>34911.300000000003</v>
      </c>
      <c r="R11">
        <v>35497.218943503372</v>
      </c>
    </row>
    <row r="12" spans="1:94" x14ac:dyDescent="0.15">
      <c r="A12" s="4" t="s">
        <v>86</v>
      </c>
      <c r="B12" s="32">
        <f t="shared" si="0"/>
        <v>-100</v>
      </c>
      <c r="C12" s="57"/>
      <c r="D12" s="11"/>
      <c r="E12" s="11"/>
      <c r="F12" s="11"/>
      <c r="G12" s="11"/>
      <c r="H12" s="56"/>
      <c r="I12" s="4"/>
      <c r="J12" s="69" t="s">
        <v>87</v>
      </c>
      <c r="K12">
        <v>587.58000000000004</v>
      </c>
      <c r="L12">
        <v>327.94207432659277</v>
      </c>
      <c r="M12">
        <v>587.58000000000004</v>
      </c>
      <c r="O12">
        <v>587.58000000000004</v>
      </c>
      <c r="Q12">
        <v>587.58000000000004</v>
      </c>
    </row>
    <row r="13" spans="1:94" x14ac:dyDescent="0.15">
      <c r="A13" t="s">
        <v>88</v>
      </c>
      <c r="B13" s="32">
        <f t="shared" si="0"/>
        <v>-100</v>
      </c>
      <c r="C13" s="57"/>
      <c r="D13" s="11"/>
      <c r="E13" s="11"/>
      <c r="F13" s="11"/>
      <c r="G13" s="11"/>
      <c r="H13" s="11"/>
      <c r="J13" s="67" t="s">
        <v>89</v>
      </c>
      <c r="K13">
        <v>35498.879999999997</v>
      </c>
      <c r="L13">
        <v>35654.028941198478</v>
      </c>
      <c r="M13">
        <v>35498.879999999997</v>
      </c>
      <c r="N13">
        <v>35848.26751161486</v>
      </c>
      <c r="O13">
        <v>35498.879999999997</v>
      </c>
      <c r="P13">
        <v>36313.620731195828</v>
      </c>
      <c r="Q13">
        <v>35498.879999999997</v>
      </c>
      <c r="R13">
        <v>35497.21894350338</v>
      </c>
    </row>
    <row r="14" spans="1:94" x14ac:dyDescent="0.15">
      <c r="A14" t="s">
        <v>90</v>
      </c>
      <c r="B14" s="32">
        <f t="shared" si="0"/>
        <v>-100</v>
      </c>
      <c r="C14" s="57"/>
      <c r="D14" s="11"/>
      <c r="E14" s="11"/>
      <c r="F14" s="11"/>
      <c r="G14" s="11"/>
      <c r="H14" s="11"/>
      <c r="J14" s="67" t="s">
        <v>91</v>
      </c>
      <c r="K14">
        <v>173.67907807728719</v>
      </c>
      <c r="L14">
        <v>167.22563815925045</v>
      </c>
      <c r="M14">
        <v>173.67907807728719</v>
      </c>
      <c r="N14">
        <v>165.61989023242222</v>
      </c>
      <c r="O14">
        <v>173.67907807728719</v>
      </c>
      <c r="P14">
        <v>165.61989023242228</v>
      </c>
      <c r="Q14">
        <v>173.67907807728719</v>
      </c>
      <c r="R14">
        <v>165.61989023242234</v>
      </c>
    </row>
    <row r="15" spans="1:94" x14ac:dyDescent="0.15">
      <c r="A15" t="s">
        <v>92</v>
      </c>
      <c r="B15" s="32">
        <f t="shared" si="0"/>
        <v>-100</v>
      </c>
      <c r="C15" s="57"/>
      <c r="D15" s="11"/>
      <c r="E15" s="11"/>
      <c r="F15" s="11"/>
      <c r="G15" s="11"/>
      <c r="H15" s="11"/>
      <c r="J15" s="67" t="s">
        <v>93</v>
      </c>
      <c r="K15">
        <v>842</v>
      </c>
      <c r="L15">
        <v>839.38690977988836</v>
      </c>
      <c r="M15">
        <v>842</v>
      </c>
      <c r="N15">
        <v>840.05863422514483</v>
      </c>
      <c r="O15">
        <v>842</v>
      </c>
      <c r="P15">
        <v>840.89889445462154</v>
      </c>
      <c r="Q15">
        <v>842</v>
      </c>
      <c r="R15">
        <v>839.47085182848093</v>
      </c>
    </row>
    <row r="16" spans="1:94" x14ac:dyDescent="0.15">
      <c r="A16" t="s">
        <v>94</v>
      </c>
      <c r="B16" s="32">
        <f t="shared" si="0"/>
        <v>-100</v>
      </c>
      <c r="C16" s="57"/>
      <c r="D16" s="11"/>
      <c r="E16" s="11"/>
      <c r="F16" s="11"/>
      <c r="G16" s="11"/>
      <c r="H16" s="11"/>
      <c r="J16" s="67" t="s">
        <v>95</v>
      </c>
      <c r="K16">
        <v>2903.84</v>
      </c>
      <c r="L16">
        <v>2871.062078432783</v>
      </c>
      <c r="M16">
        <v>2903.84</v>
      </c>
      <c r="N16">
        <v>2866.763418992773</v>
      </c>
      <c r="O16">
        <v>2903.84</v>
      </c>
      <c r="P16">
        <v>2866.7634189927826</v>
      </c>
      <c r="Q16">
        <v>2903.84</v>
      </c>
      <c r="R16">
        <v>2866.7634189927758</v>
      </c>
    </row>
    <row r="17" spans="1:25" x14ac:dyDescent="0.15">
      <c r="A17" t="s">
        <v>96</v>
      </c>
      <c r="B17" s="32">
        <f t="shared" si="0"/>
        <v>-100</v>
      </c>
      <c r="C17" s="57"/>
      <c r="D17" s="11"/>
      <c r="E17" s="11"/>
      <c r="F17" s="11"/>
      <c r="G17" s="11"/>
      <c r="H17" s="11"/>
      <c r="J17" s="67" t="s">
        <v>97</v>
      </c>
      <c r="K17">
        <v>2800</v>
      </c>
      <c r="L17">
        <v>3712.2361481201742</v>
      </c>
      <c r="M17">
        <v>2800</v>
      </c>
      <c r="N17">
        <v>3700.3126716469405</v>
      </c>
      <c r="O17">
        <v>2800</v>
      </c>
      <c r="P17">
        <v>3700.3126716469401</v>
      </c>
      <c r="Q17">
        <v>2800</v>
      </c>
      <c r="R17">
        <v>3700.3126716469396</v>
      </c>
    </row>
    <row r="18" spans="1:25" x14ac:dyDescent="0.15">
      <c r="A18" t="s">
        <v>98</v>
      </c>
      <c r="B18" s="32">
        <f t="shared" si="0"/>
        <v>-100</v>
      </c>
      <c r="C18" s="57"/>
      <c r="D18" s="11"/>
      <c r="E18" s="11"/>
      <c r="F18" s="11"/>
      <c r="G18" s="11"/>
      <c r="H18" s="11"/>
      <c r="J18" s="67" t="s">
        <v>99</v>
      </c>
      <c r="K18">
        <v>1396.164</v>
      </c>
      <c r="L18">
        <v>1412.7533149026603</v>
      </c>
      <c r="M18">
        <v>1396.164</v>
      </c>
      <c r="N18">
        <v>1433.6354015723759</v>
      </c>
      <c r="O18">
        <v>1396.164</v>
      </c>
      <c r="P18">
        <v>1452.2457012525394</v>
      </c>
      <c r="Q18">
        <v>1396.164</v>
      </c>
      <c r="R18">
        <v>1419.5963474164096</v>
      </c>
    </row>
    <row r="19" spans="1:25" x14ac:dyDescent="0.15">
      <c r="A19" t="s">
        <v>100</v>
      </c>
      <c r="B19" s="32">
        <f t="shared" si="0"/>
        <v>-100</v>
      </c>
      <c r="C19" s="57"/>
      <c r="D19" s="11"/>
      <c r="E19" s="11"/>
      <c r="F19" s="11"/>
      <c r="G19" s="11"/>
      <c r="H19" s="11"/>
      <c r="J19" s="67" t="s">
        <v>101</v>
      </c>
      <c r="K19">
        <v>3156.8760000000002</v>
      </c>
      <c r="L19">
        <v>3560.9892043104792</v>
      </c>
      <c r="M19">
        <v>3156.8760000000002</v>
      </c>
      <c r="N19">
        <v>3612.7909547675849</v>
      </c>
      <c r="O19">
        <v>3156.8760000000002</v>
      </c>
      <c r="P19">
        <v>3659.6934429677358</v>
      </c>
      <c r="Q19">
        <v>3156.8760000000002</v>
      </c>
      <c r="R19">
        <v>3577.4091260994542</v>
      </c>
    </row>
    <row r="20" spans="1:25" x14ac:dyDescent="0.15">
      <c r="A20" t="s">
        <v>102</v>
      </c>
      <c r="B20" s="32" t="e">
        <f t="shared" si="0"/>
        <v>#DIV/0!</v>
      </c>
      <c r="C20" s="57"/>
      <c r="D20" s="11"/>
      <c r="E20" s="11"/>
      <c r="F20" s="11"/>
      <c r="G20" s="11"/>
      <c r="H20" s="11"/>
      <c r="J20" s="67" t="s">
        <v>236</v>
      </c>
      <c r="N20">
        <v>360.43121759256121</v>
      </c>
      <c r="P20">
        <v>759.43138906371269</v>
      </c>
      <c r="R20">
        <v>59.391314701799899</v>
      </c>
    </row>
    <row r="21" spans="1:25" x14ac:dyDescent="0.15">
      <c r="A21" t="s">
        <v>104</v>
      </c>
      <c r="B21" s="32">
        <f t="shared" si="0"/>
        <v>-100</v>
      </c>
      <c r="C21" s="57"/>
      <c r="D21" s="11"/>
      <c r="E21" s="11"/>
      <c r="F21" s="11"/>
      <c r="G21" s="11"/>
      <c r="H21" s="11"/>
      <c r="J21" s="67" t="s">
        <v>103</v>
      </c>
      <c r="K21">
        <v>32342.003999999997</v>
      </c>
      <c r="L21">
        <v>32093.039736888</v>
      </c>
      <c r="M21">
        <v>32342.003999999997</v>
      </c>
      <c r="N21">
        <v>31875.045339254717</v>
      </c>
      <c r="O21">
        <v>32342.003999999997</v>
      </c>
      <c r="P21">
        <v>31894.49589916438</v>
      </c>
      <c r="Q21">
        <v>32342.003999999997</v>
      </c>
      <c r="R21">
        <v>31860.418502702123</v>
      </c>
    </row>
    <row r="22" spans="1:25" x14ac:dyDescent="0.15">
      <c r="A22" t="s">
        <v>106</v>
      </c>
      <c r="B22" s="32">
        <f t="shared" si="0"/>
        <v>-100</v>
      </c>
      <c r="C22" s="57"/>
      <c r="D22" s="11"/>
      <c r="E22" s="11"/>
      <c r="F22" s="11"/>
      <c r="G22" s="11"/>
      <c r="H22" s="11"/>
      <c r="J22" s="67" t="s">
        <v>105</v>
      </c>
      <c r="K22">
        <v>1184.2508784939905</v>
      </c>
      <c r="L22">
        <v>1140.2404271873797</v>
      </c>
      <c r="M22">
        <v>1184.2508784939905</v>
      </c>
      <c r="N22">
        <v>1129.3018777378813</v>
      </c>
      <c r="O22">
        <v>1184.2508784939905</v>
      </c>
      <c r="P22">
        <v>1129.3018777378818</v>
      </c>
      <c r="Q22">
        <v>1184.2508784939905</v>
      </c>
      <c r="R22">
        <v>1129.301877737882</v>
      </c>
    </row>
    <row r="23" spans="1:25" x14ac:dyDescent="0.15">
      <c r="A23" t="s">
        <v>108</v>
      </c>
      <c r="B23" s="32">
        <f t="shared" si="0"/>
        <v>-100</v>
      </c>
      <c r="C23" s="57"/>
      <c r="D23" s="11"/>
      <c r="E23" s="11"/>
      <c r="F23" s="11"/>
      <c r="G23" s="11"/>
      <c r="H23" s="11"/>
      <c r="J23" s="67" t="s">
        <v>107</v>
      </c>
      <c r="K23">
        <v>24400</v>
      </c>
      <c r="L23">
        <v>23257.601285652498</v>
      </c>
      <c r="M23">
        <v>24400</v>
      </c>
      <c r="N23">
        <v>23034.275212817487</v>
      </c>
      <c r="O23">
        <v>24400</v>
      </c>
      <c r="P23">
        <v>23034.275212817498</v>
      </c>
      <c r="Q23">
        <v>24400</v>
      </c>
      <c r="R23">
        <v>23034.275212817502</v>
      </c>
    </row>
    <row r="24" spans="1:25" x14ac:dyDescent="0.15">
      <c r="A24" t="s">
        <v>110</v>
      </c>
      <c r="B24" s="32">
        <f t="shared" si="0"/>
        <v>-100</v>
      </c>
      <c r="C24" s="57"/>
      <c r="D24" s="11"/>
      <c r="E24" s="11"/>
      <c r="F24" s="11"/>
      <c r="G24" s="11"/>
      <c r="H24" s="11"/>
      <c r="J24" s="67" t="s">
        <v>109</v>
      </c>
      <c r="K24">
        <v>20847.774409412785</v>
      </c>
      <c r="L24">
        <v>20200.318929843786</v>
      </c>
      <c r="M24">
        <v>20186.437504208508</v>
      </c>
      <c r="N24">
        <v>18601.223480828681</v>
      </c>
      <c r="O24">
        <v>20847.774409412785</v>
      </c>
      <c r="P24">
        <v>19638.162438945161</v>
      </c>
      <c r="Q24">
        <v>20847.774409412785</v>
      </c>
      <c r="R24">
        <v>19987.136329682435</v>
      </c>
    </row>
    <row r="25" spans="1:25" x14ac:dyDescent="0.15">
      <c r="A25" t="s">
        <v>111</v>
      </c>
      <c r="B25" s="32" t="e">
        <f t="shared" si="0"/>
        <v>#DIV/0!</v>
      </c>
      <c r="C25" s="57"/>
      <c r="D25" s="11"/>
      <c r="E25" s="11"/>
      <c r="F25" s="11"/>
      <c r="G25" s="11"/>
      <c r="L25" s="18"/>
      <c r="Y25" s="18"/>
    </row>
    <row r="26" spans="1:25" x14ac:dyDescent="0.15">
      <c r="A26" t="s">
        <v>112</v>
      </c>
      <c r="B26" s="32" t="e">
        <f t="shared" si="0"/>
        <v>#DIV/0!</v>
      </c>
      <c r="C26" s="57"/>
      <c r="D26" s="11"/>
      <c r="E26" s="11"/>
      <c r="F26" s="11"/>
      <c r="G26" s="11"/>
    </row>
    <row r="27" spans="1:25" x14ac:dyDescent="0.15">
      <c r="A27" t="s">
        <v>113</v>
      </c>
      <c r="B27" s="32" t="e">
        <f t="shared" si="0"/>
        <v>#DIV/0!</v>
      </c>
      <c r="C27" s="57"/>
      <c r="D27" s="11"/>
      <c r="E27" s="11"/>
      <c r="F27" s="11"/>
      <c r="G27" s="11"/>
    </row>
    <row r="28" spans="1:25" x14ac:dyDescent="0.15">
      <c r="A28" t="s">
        <v>114</v>
      </c>
      <c r="B28" s="32" t="e">
        <f t="shared" si="0"/>
        <v>#DIV/0!</v>
      </c>
      <c r="C28" s="57"/>
      <c r="D28" s="11"/>
      <c r="E28" s="11"/>
      <c r="F28" s="11"/>
      <c r="G28" s="11"/>
    </row>
    <row r="29" spans="1:25" x14ac:dyDescent="0.15">
      <c r="A29" t="s">
        <v>115</v>
      </c>
      <c r="B29" s="32" t="e">
        <f t="shared" si="0"/>
        <v>#DIV/0!</v>
      </c>
      <c r="C29" s="57"/>
      <c r="D29" s="11"/>
      <c r="E29" s="11"/>
      <c r="F29" s="11"/>
      <c r="G29" s="11"/>
    </row>
    <row r="30" spans="1:25" x14ac:dyDescent="0.15">
      <c r="A30" t="s">
        <v>116</v>
      </c>
      <c r="B30" s="32" t="e">
        <f t="shared" si="0"/>
        <v>#DIV/0!</v>
      </c>
      <c r="C30" s="57"/>
      <c r="D30" s="11"/>
      <c r="E30" s="11"/>
      <c r="F30" s="11"/>
      <c r="G30" s="11"/>
    </row>
    <row r="31" spans="1:25" x14ac:dyDescent="0.15">
      <c r="A31" t="s">
        <v>117</v>
      </c>
      <c r="B31" s="32" t="e">
        <f t="shared" si="0"/>
        <v>#DIV/0!</v>
      </c>
      <c r="C31" s="57"/>
      <c r="D31" s="11"/>
      <c r="E31" s="11"/>
      <c r="F31" s="11"/>
      <c r="G31" s="11"/>
      <c r="H31" s="11"/>
    </row>
    <row r="32" spans="1:25" x14ac:dyDescent="0.15">
      <c r="A32" t="s">
        <v>118</v>
      </c>
      <c r="B32" s="32" t="e">
        <f t="shared" si="0"/>
        <v>#DIV/0!</v>
      </c>
      <c r="C32" s="57"/>
      <c r="D32" s="11"/>
      <c r="E32" s="11"/>
      <c r="F32" s="11"/>
      <c r="G32" s="11"/>
    </row>
    <row r="33" spans="1:10" x14ac:dyDescent="0.15">
      <c r="A33" s="4" t="s">
        <v>119</v>
      </c>
      <c r="B33" s="32" t="e">
        <f t="shared" si="0"/>
        <v>#DIV/0!</v>
      </c>
      <c r="C33" s="57"/>
      <c r="D33" s="11"/>
      <c r="E33" s="11"/>
      <c r="F33" s="11"/>
      <c r="G33" s="11"/>
      <c r="H33" s="56"/>
      <c r="I33" s="4"/>
      <c r="J33" s="4"/>
    </row>
    <row r="34" spans="1:10" x14ac:dyDescent="0.15">
      <c r="A34" t="s">
        <v>120</v>
      </c>
      <c r="B34" s="32" t="e">
        <f t="shared" si="0"/>
        <v>#DIV/0!</v>
      </c>
      <c r="C34" s="57"/>
      <c r="D34" s="11"/>
      <c r="E34" s="11"/>
      <c r="F34" s="11"/>
      <c r="G34" s="11"/>
      <c r="H34" s="11"/>
    </row>
    <row r="35" spans="1:10" x14ac:dyDescent="0.15">
      <c r="C35" s="57"/>
      <c r="D35" s="11"/>
      <c r="E35" s="11"/>
      <c r="F35" s="11"/>
      <c r="G35" s="11"/>
      <c r="H35" s="11"/>
    </row>
    <row r="36" spans="1:10" x14ac:dyDescent="0.15">
      <c r="C36" s="11"/>
      <c r="D36" s="11"/>
      <c r="E36" s="11"/>
      <c r="F36" s="11"/>
      <c r="G36" s="11"/>
      <c r="H36" s="11"/>
    </row>
    <row r="37" spans="1:10" x14ac:dyDescent="0.15">
      <c r="C37" s="11"/>
      <c r="D37" s="11"/>
      <c r="E37" s="11"/>
      <c r="F37" s="11"/>
      <c r="G37" s="11"/>
      <c r="H37" s="11"/>
    </row>
    <row r="38" spans="1:10" x14ac:dyDescent="0.15">
      <c r="C38" s="11"/>
      <c r="D38" s="11"/>
      <c r="E38" s="11"/>
      <c r="F38" s="11"/>
      <c r="G38" s="11"/>
      <c r="H38" s="11"/>
    </row>
    <row r="39" spans="1:10" x14ac:dyDescent="0.15">
      <c r="C39" s="11"/>
      <c r="D39" s="11"/>
      <c r="E39" s="11"/>
      <c r="F39" s="11"/>
      <c r="G39" s="11"/>
      <c r="H39" s="11"/>
    </row>
    <row r="40" spans="1:10" x14ac:dyDescent="0.15">
      <c r="C40" s="11"/>
      <c r="D40" s="11"/>
      <c r="E40" s="11"/>
      <c r="F40" s="11"/>
      <c r="G40" s="11"/>
      <c r="H40" s="11"/>
    </row>
    <row r="41" spans="1:10" x14ac:dyDescent="0.15">
      <c r="C41" s="11"/>
      <c r="D41" s="11"/>
      <c r="E41" s="11"/>
      <c r="F41" s="11"/>
      <c r="G41" s="11"/>
      <c r="H41" s="11"/>
    </row>
    <row r="42" spans="1:10" x14ac:dyDescent="0.15">
      <c r="C42" s="11"/>
      <c r="D42" s="11"/>
      <c r="E42" s="11"/>
      <c r="F42" s="11"/>
      <c r="G42" s="11"/>
      <c r="H42" s="11"/>
    </row>
    <row r="43" spans="1:10" x14ac:dyDescent="0.15">
      <c r="C43" s="11"/>
      <c r="D43" s="11"/>
      <c r="E43" s="11"/>
      <c r="F43" s="11"/>
      <c r="G43" s="11"/>
      <c r="H43" s="11"/>
    </row>
    <row r="44" spans="1:10" x14ac:dyDescent="0.15">
      <c r="C44" s="11"/>
      <c r="D44" s="11"/>
      <c r="E44" s="11"/>
      <c r="F44" s="11"/>
      <c r="G44" s="11"/>
      <c r="H44" s="11"/>
    </row>
    <row r="45" spans="1:10" x14ac:dyDescent="0.15">
      <c r="C45" s="11"/>
      <c r="D45" s="11"/>
      <c r="E45" s="11"/>
      <c r="F45" s="11"/>
      <c r="G45" s="11"/>
      <c r="H45" s="11"/>
    </row>
    <row r="46" spans="1:10" x14ac:dyDescent="0.15">
      <c r="C46" s="11"/>
      <c r="D46" s="11"/>
      <c r="E46" s="11"/>
      <c r="F46" s="11"/>
      <c r="G46" s="11"/>
      <c r="H46" s="11"/>
    </row>
    <row r="51" spans="3:8" x14ac:dyDescent="0.15">
      <c r="C51" s="11"/>
      <c r="D51" s="11"/>
      <c r="E51" s="11"/>
      <c r="F51" s="11"/>
      <c r="G51" s="11"/>
      <c r="H51" s="11"/>
    </row>
    <row r="53" spans="3:8" x14ac:dyDescent="0.15">
      <c r="C53" s="11"/>
      <c r="D53" s="11"/>
      <c r="E53" s="11"/>
      <c r="F53" s="11"/>
      <c r="G53" s="11"/>
      <c r="H53" s="11"/>
    </row>
    <row r="54" spans="3:8" x14ac:dyDescent="0.15">
      <c r="C54" s="11"/>
      <c r="D54" s="11"/>
      <c r="E54" s="11"/>
      <c r="F54" s="11"/>
      <c r="G54" s="11"/>
      <c r="H54" s="11"/>
    </row>
    <row r="55" spans="3:8" x14ac:dyDescent="0.15">
      <c r="C55" s="11"/>
      <c r="D55" s="11"/>
      <c r="E55" s="11"/>
      <c r="F55" s="11"/>
      <c r="G55" s="11"/>
      <c r="H55" s="11"/>
    </row>
    <row r="56" spans="3:8" x14ac:dyDescent="0.15">
      <c r="C56" s="11"/>
      <c r="D56" s="11"/>
      <c r="E56" s="11"/>
      <c r="F56" s="11"/>
      <c r="G56" s="11"/>
      <c r="H56" s="11"/>
    </row>
    <row r="57" spans="3:8" x14ac:dyDescent="0.15">
      <c r="C57" s="11"/>
      <c r="D57" s="11"/>
      <c r="E57" s="11"/>
      <c r="F57" s="11"/>
      <c r="G57" s="11"/>
      <c r="H57" s="11"/>
    </row>
    <row r="58" spans="3:8" x14ac:dyDescent="0.15">
      <c r="C58" s="11"/>
      <c r="D58" s="11"/>
      <c r="E58" s="11"/>
      <c r="F58" s="11"/>
      <c r="G58" s="11"/>
      <c r="H58" s="11"/>
    </row>
    <row r="59" spans="3:8" x14ac:dyDescent="0.15">
      <c r="C59" s="11"/>
      <c r="D59" s="11"/>
      <c r="E59" s="11"/>
      <c r="F59" s="11"/>
      <c r="G59" s="11"/>
      <c r="H59" s="11"/>
    </row>
    <row r="60" spans="3:8" x14ac:dyDescent="0.15">
      <c r="C60" s="11"/>
      <c r="D60" s="11"/>
      <c r="E60" s="11"/>
      <c r="F60" s="11"/>
      <c r="G60" s="11"/>
      <c r="H60" s="11"/>
    </row>
    <row r="61" spans="3:8" x14ac:dyDescent="0.15">
      <c r="C61" s="11"/>
      <c r="D61" s="11"/>
      <c r="E61" s="11"/>
      <c r="F61" s="11"/>
      <c r="G61" s="11"/>
      <c r="H61" s="11"/>
    </row>
    <row r="62" spans="3:8" x14ac:dyDescent="0.15">
      <c r="C62" s="11"/>
      <c r="D62" s="11"/>
      <c r="E62" s="11"/>
      <c r="F62" s="11"/>
      <c r="G62" s="11"/>
      <c r="H62" s="11"/>
    </row>
    <row r="63" spans="3:8" x14ac:dyDescent="0.15">
      <c r="C63" s="11"/>
      <c r="D63" s="11"/>
      <c r="E63" s="11"/>
      <c r="F63" s="11"/>
      <c r="G63" s="11"/>
      <c r="H63" s="11"/>
    </row>
    <row r="64" spans="3:8" x14ac:dyDescent="0.15">
      <c r="C64" s="11"/>
      <c r="D64" s="11"/>
      <c r="E64" s="11"/>
      <c r="F64" s="11"/>
      <c r="G64" s="11"/>
      <c r="H64" s="11"/>
    </row>
    <row r="65" spans="3:8" x14ac:dyDescent="0.15">
      <c r="C65" s="11"/>
      <c r="D65" s="11"/>
      <c r="E65" s="11"/>
      <c r="F65" s="11"/>
      <c r="G65" s="11"/>
      <c r="H65" s="11"/>
    </row>
    <row r="66" spans="3:8" x14ac:dyDescent="0.15">
      <c r="C66" s="11"/>
      <c r="D66" s="11"/>
      <c r="E66" s="11"/>
      <c r="F66" s="11"/>
      <c r="G66" s="11"/>
      <c r="H66" s="11"/>
    </row>
    <row r="71" spans="3:8" x14ac:dyDescent="0.15">
      <c r="C71" s="11"/>
      <c r="D71" s="11"/>
      <c r="E71" s="11"/>
      <c r="F71" s="11"/>
      <c r="G71" s="11"/>
      <c r="H71" s="11"/>
    </row>
    <row r="73" spans="3:8" x14ac:dyDescent="0.15">
      <c r="C73" s="11"/>
      <c r="D73" s="11"/>
      <c r="E73" s="11"/>
      <c r="F73" s="11"/>
      <c r="G73" s="11"/>
      <c r="H73" s="11"/>
    </row>
    <row r="74" spans="3:8" x14ac:dyDescent="0.15">
      <c r="C74" s="11"/>
      <c r="D74" s="11"/>
      <c r="E74" s="11"/>
      <c r="F74" s="11"/>
      <c r="G74" s="11"/>
      <c r="H74" s="11"/>
    </row>
    <row r="75" spans="3:8" x14ac:dyDescent="0.15">
      <c r="C75" s="11"/>
      <c r="D75" s="11"/>
      <c r="E75" s="11"/>
      <c r="F75" s="11"/>
      <c r="G75" s="11"/>
      <c r="H75" s="11"/>
    </row>
    <row r="76" spans="3:8" x14ac:dyDescent="0.15">
      <c r="C76" s="11"/>
      <c r="D76" s="11"/>
      <c r="E76" s="11"/>
      <c r="F76" s="11"/>
      <c r="G76" s="11"/>
      <c r="H76" s="11"/>
    </row>
    <row r="77" spans="3:8" x14ac:dyDescent="0.15">
      <c r="C77" s="11"/>
      <c r="D77" s="11"/>
      <c r="E77" s="11"/>
      <c r="F77" s="11"/>
      <c r="G77" s="11"/>
      <c r="H77" s="11"/>
    </row>
    <row r="78" spans="3:8" x14ac:dyDescent="0.15">
      <c r="C78" s="11"/>
      <c r="D78" s="11"/>
      <c r="E78" s="11"/>
      <c r="F78" s="11"/>
      <c r="G78" s="11"/>
      <c r="H78" s="11"/>
    </row>
    <row r="79" spans="3:8" x14ac:dyDescent="0.15">
      <c r="C79" s="11"/>
      <c r="D79" s="11"/>
      <c r="E79" s="11"/>
      <c r="F79" s="11"/>
      <c r="G79" s="11"/>
      <c r="H79" s="11"/>
    </row>
    <row r="80" spans="3:8" x14ac:dyDescent="0.15">
      <c r="C80" s="11"/>
      <c r="D80" s="11"/>
      <c r="E80" s="11"/>
      <c r="F80" s="11"/>
      <c r="G80" s="11"/>
      <c r="H80" s="11"/>
    </row>
    <row r="81" spans="3:8" x14ac:dyDescent="0.15">
      <c r="C81" s="11"/>
      <c r="D81" s="11"/>
      <c r="E81" s="11"/>
      <c r="F81" s="11"/>
      <c r="G81" s="11"/>
      <c r="H81" s="11"/>
    </row>
    <row r="82" spans="3:8" x14ac:dyDescent="0.15">
      <c r="C82" s="11"/>
      <c r="D82" s="11"/>
      <c r="E82" s="11"/>
      <c r="F82" s="11"/>
      <c r="G82" s="11"/>
      <c r="H82" s="11"/>
    </row>
    <row r="83" spans="3:8" x14ac:dyDescent="0.15">
      <c r="C83" s="11"/>
      <c r="D83" s="11"/>
      <c r="E83" s="11"/>
      <c r="F83" s="11"/>
      <c r="G83" s="11"/>
      <c r="H83" s="11"/>
    </row>
    <row r="84" spans="3:8" x14ac:dyDescent="0.15">
      <c r="C84" s="11"/>
      <c r="D84" s="11"/>
      <c r="E84" s="11"/>
      <c r="F84" s="11"/>
      <c r="G84" s="11"/>
      <c r="H84" s="11"/>
    </row>
    <row r="85" spans="3:8" x14ac:dyDescent="0.15">
      <c r="C85" s="11"/>
      <c r="D85" s="11"/>
      <c r="E85" s="11"/>
      <c r="F85" s="11"/>
      <c r="G85" s="11"/>
      <c r="H85" s="11"/>
    </row>
    <row r="86" spans="3:8" x14ac:dyDescent="0.15">
      <c r="C86" s="11"/>
      <c r="D86" s="11"/>
      <c r="E86" s="11"/>
      <c r="F86" s="11"/>
      <c r="G86" s="11"/>
      <c r="H86" s="11"/>
    </row>
  </sheetData>
  <phoneticPr fontId="14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5:CP86"/>
  <sheetViews>
    <sheetView topLeftCell="J1" workbookViewId="0">
      <pane xSplit="1" ySplit="7" topLeftCell="K8" activePane="bottomRight" state="frozen"/>
      <selection pane="topRight"/>
      <selection pane="bottomLeft"/>
      <selection pane="bottomRight" activeCell="S55" sqref="S55"/>
    </sheetView>
  </sheetViews>
  <sheetFormatPr defaultColWidth="9" defaultRowHeight="13.5" x14ac:dyDescent="0.15"/>
  <cols>
    <col min="1" max="1" width="30.875" customWidth="1"/>
    <col min="2" max="2" width="15.5" style="32" customWidth="1"/>
    <col min="3" max="3" width="12.875" customWidth="1"/>
    <col min="8" max="8" width="4.625" customWidth="1"/>
    <col min="9" max="9" width="2.125" customWidth="1"/>
    <col min="10" max="10" width="35.375" customWidth="1"/>
    <col min="12" max="12" width="12.625"/>
    <col min="25" max="25" width="12.625"/>
    <col min="28" max="28" width="9" style="4"/>
  </cols>
  <sheetData>
    <row r="5" spans="1:94" x14ac:dyDescent="0.15">
      <c r="L5">
        <f>L11/L10</f>
        <v>0.98786754386895737</v>
      </c>
      <c r="Y5" t="e">
        <f>Y11/Y10</f>
        <v>#DIV/0!</v>
      </c>
    </row>
    <row r="6" spans="1:94" ht="12.75" customHeight="1" x14ac:dyDescent="0.15">
      <c r="B6" s="32" t="s">
        <v>73</v>
      </c>
      <c r="K6" s="67" t="s">
        <v>73</v>
      </c>
      <c r="L6" s="68" t="s">
        <v>73</v>
      </c>
      <c r="M6" s="68" t="s">
        <v>315</v>
      </c>
      <c r="N6" s="68" t="s">
        <v>315</v>
      </c>
      <c r="O6" s="68" t="s">
        <v>316</v>
      </c>
      <c r="P6" s="68" t="s">
        <v>316</v>
      </c>
      <c r="Q6" s="68" t="s">
        <v>317</v>
      </c>
      <c r="R6" s="68" t="s">
        <v>317</v>
      </c>
      <c r="S6" s="68"/>
      <c r="T6" s="68"/>
      <c r="U6" s="68"/>
      <c r="V6" s="68"/>
      <c r="W6" s="67"/>
      <c r="X6" s="67"/>
      <c r="Y6" s="67"/>
      <c r="Z6" s="67"/>
      <c r="AA6" s="67"/>
      <c r="AB6" s="69"/>
      <c r="AC6" s="67"/>
      <c r="AD6" s="67"/>
      <c r="AE6" s="67"/>
      <c r="AF6" s="67"/>
      <c r="AG6" s="67"/>
      <c r="AH6" s="67"/>
      <c r="AI6" s="67"/>
      <c r="AJ6" s="67"/>
      <c r="AK6" s="67"/>
      <c r="AL6" s="67"/>
      <c r="AM6" s="67"/>
      <c r="AN6" s="67"/>
      <c r="AO6" s="67"/>
      <c r="AP6" s="67"/>
      <c r="AQ6" s="67"/>
      <c r="AR6" s="67"/>
      <c r="AS6" s="67"/>
      <c r="AT6" s="67"/>
      <c r="AU6" s="67"/>
      <c r="AV6" s="67"/>
      <c r="AW6" s="67"/>
      <c r="AX6" s="67"/>
      <c r="AY6" s="67"/>
      <c r="AZ6" s="67"/>
      <c r="BA6" s="67"/>
      <c r="BB6" s="67"/>
      <c r="BC6" s="67"/>
      <c r="BD6" s="67"/>
      <c r="BE6" s="67"/>
      <c r="BF6" s="67"/>
      <c r="BG6" s="67"/>
      <c r="BH6" s="67"/>
      <c r="BI6" s="67"/>
      <c r="BJ6" s="67"/>
      <c r="BK6" s="67"/>
      <c r="BL6" s="67"/>
      <c r="BM6" s="67"/>
      <c r="BN6" s="67"/>
      <c r="BO6" s="67"/>
      <c r="BP6" s="67"/>
      <c r="BQ6" s="67"/>
      <c r="BR6" s="67"/>
      <c r="BS6" s="67"/>
      <c r="BT6" s="67"/>
      <c r="BU6" s="67"/>
      <c r="BV6" s="67"/>
      <c r="BW6" s="67"/>
      <c r="BX6" s="67"/>
      <c r="BY6" s="67"/>
      <c r="BZ6" s="67"/>
      <c r="CA6" s="67"/>
      <c r="CB6" s="67"/>
      <c r="CC6" s="67"/>
      <c r="CD6" s="67"/>
      <c r="CE6" s="67"/>
      <c r="CF6" s="67"/>
      <c r="CG6" s="67"/>
      <c r="CH6" s="67"/>
      <c r="CI6" s="67"/>
      <c r="CJ6" s="67"/>
      <c r="CK6" s="67"/>
      <c r="CL6" s="67"/>
      <c r="CM6" s="67"/>
      <c r="CN6" s="67"/>
      <c r="CO6" s="67"/>
      <c r="CP6" s="67"/>
    </row>
    <row r="7" spans="1:94" x14ac:dyDescent="0.15">
      <c r="B7" s="32" t="s">
        <v>74</v>
      </c>
      <c r="C7" s="32"/>
      <c r="D7" s="32"/>
      <c r="E7" s="32"/>
      <c r="F7" s="32"/>
      <c r="G7" s="32"/>
      <c r="H7" s="11"/>
      <c r="K7" s="67" t="s">
        <v>76</v>
      </c>
      <c r="L7" s="68" t="s">
        <v>77</v>
      </c>
      <c r="M7" s="68" t="s">
        <v>76</v>
      </c>
      <c r="N7" s="68" t="s">
        <v>77</v>
      </c>
      <c r="O7" s="68" t="s">
        <v>76</v>
      </c>
      <c r="P7" s="68" t="s">
        <v>77</v>
      </c>
      <c r="Q7" s="68" t="s">
        <v>76</v>
      </c>
      <c r="R7" s="68" t="s">
        <v>77</v>
      </c>
      <c r="S7" s="68"/>
      <c r="T7" s="68"/>
      <c r="U7" s="68"/>
      <c r="V7" s="68"/>
      <c r="W7" s="67"/>
      <c r="X7" s="67"/>
      <c r="Y7" s="67"/>
      <c r="Z7" s="67"/>
      <c r="AA7" s="67"/>
      <c r="AB7" s="69"/>
      <c r="AC7" s="67"/>
      <c r="AD7" s="67"/>
      <c r="AE7" s="67"/>
      <c r="AF7" s="67"/>
      <c r="AG7" s="67"/>
      <c r="AH7" s="67"/>
      <c r="AI7" s="67"/>
      <c r="AJ7" s="67"/>
      <c r="AK7" s="67"/>
      <c r="AL7" s="67"/>
      <c r="AM7" s="67"/>
      <c r="AN7" s="67"/>
      <c r="AO7" s="67"/>
      <c r="AP7" s="67"/>
      <c r="AQ7" s="67"/>
      <c r="AR7" s="67"/>
      <c r="AS7" s="67"/>
      <c r="AT7" s="67"/>
      <c r="AU7" s="67"/>
      <c r="AV7" s="67"/>
      <c r="AW7" s="67"/>
      <c r="AX7" s="67"/>
      <c r="AY7" s="67"/>
      <c r="AZ7" s="67"/>
      <c r="BA7" s="67"/>
      <c r="BB7" s="68"/>
      <c r="BC7" s="68"/>
      <c r="BD7" s="68"/>
      <c r="BE7" s="68"/>
      <c r="BF7" s="68"/>
      <c r="BG7" s="68"/>
      <c r="BH7" s="68"/>
      <c r="BI7" s="68"/>
      <c r="BJ7" s="68"/>
      <c r="BK7" s="68"/>
      <c r="BL7" s="68"/>
      <c r="BM7" s="67"/>
      <c r="BN7" s="67"/>
      <c r="BO7" s="67"/>
      <c r="BP7" s="67"/>
      <c r="BQ7" s="67"/>
      <c r="BR7" s="69"/>
      <c r="BS7" s="67"/>
      <c r="BT7" s="67"/>
      <c r="BU7" s="67"/>
      <c r="BV7" s="67"/>
      <c r="BW7" s="67"/>
      <c r="BX7" s="67"/>
      <c r="BY7" s="67"/>
      <c r="BZ7" s="67"/>
      <c r="CA7" s="67"/>
      <c r="CB7" s="67"/>
      <c r="CC7" s="67"/>
      <c r="CD7" s="67"/>
      <c r="CE7" s="67"/>
      <c r="CF7" s="67"/>
      <c r="CG7" s="67"/>
      <c r="CH7" s="67"/>
      <c r="CI7" s="67"/>
      <c r="CJ7" s="67"/>
      <c r="CK7" s="67"/>
      <c r="CL7" s="67"/>
      <c r="CM7" s="67"/>
      <c r="CN7" s="67"/>
      <c r="CO7" s="67"/>
      <c r="CP7" s="67"/>
    </row>
    <row r="8" spans="1:94" x14ac:dyDescent="0.15">
      <c r="A8" t="s">
        <v>78</v>
      </c>
      <c r="B8" s="32">
        <f>(AD8/K8)^(1/19)*100-100</f>
        <v>-100</v>
      </c>
      <c r="C8" s="57"/>
      <c r="D8" s="11"/>
      <c r="E8" s="11"/>
      <c r="F8" s="11"/>
      <c r="G8" s="11"/>
      <c r="J8" s="67" t="s">
        <v>79</v>
      </c>
      <c r="K8">
        <v>9752.7330000000002</v>
      </c>
      <c r="L8">
        <v>9721.1321636941429</v>
      </c>
      <c r="M8">
        <v>9752.7330000000002</v>
      </c>
      <c r="N8">
        <v>9728.9115584331339</v>
      </c>
      <c r="O8">
        <v>9752.7330000000002</v>
      </c>
      <c r="P8">
        <v>9738.6428047123773</v>
      </c>
      <c r="Q8">
        <v>9752.7330000000002</v>
      </c>
      <c r="R8">
        <v>9722.1043157958156</v>
      </c>
    </row>
    <row r="9" spans="1:94" x14ac:dyDescent="0.15">
      <c r="A9" t="s">
        <v>80</v>
      </c>
      <c r="B9" s="32">
        <f t="shared" ref="B9:B34" si="0">(AD9/K9)^(1/19)*100-100</f>
        <v>-100</v>
      </c>
      <c r="C9" s="57"/>
      <c r="D9" s="11"/>
      <c r="E9" s="11"/>
      <c r="F9" s="11"/>
      <c r="G9" s="11"/>
      <c r="H9" s="11"/>
      <c r="J9" s="67" t="s">
        <v>81</v>
      </c>
      <c r="K9">
        <v>19.849157639929043</v>
      </c>
      <c r="L9">
        <v>20.238090195945301</v>
      </c>
      <c r="M9">
        <v>19.849157639929043</v>
      </c>
      <c r="N9">
        <v>20.544082202120251</v>
      </c>
      <c r="O9">
        <v>19.849157639929043</v>
      </c>
      <c r="P9">
        <v>20.789565453564926</v>
      </c>
      <c r="Q9">
        <v>19.849157639929043</v>
      </c>
      <c r="R9">
        <v>20.357453412393518</v>
      </c>
    </row>
    <row r="10" spans="1:94" x14ac:dyDescent="0.15">
      <c r="A10" t="s">
        <v>82</v>
      </c>
      <c r="B10" s="32">
        <f t="shared" si="0"/>
        <v>-100</v>
      </c>
      <c r="C10" s="57"/>
      <c r="D10" s="11"/>
      <c r="E10" s="11"/>
      <c r="F10" s="11"/>
      <c r="G10" s="11"/>
      <c r="H10" s="11"/>
      <c r="J10" s="67" t="s">
        <v>83</v>
      </c>
      <c r="K10">
        <v>65886.69</v>
      </c>
      <c r="L10">
        <v>67046.11828463836</v>
      </c>
      <c r="M10">
        <v>65886.69</v>
      </c>
      <c r="N10">
        <v>67301.13833698332</v>
      </c>
      <c r="O10">
        <v>65886.69</v>
      </c>
      <c r="P10">
        <v>68173.029124408145</v>
      </c>
      <c r="Q10">
        <v>65886.69</v>
      </c>
      <c r="R10">
        <v>66843.474403405911</v>
      </c>
    </row>
    <row r="11" spans="1:94" x14ac:dyDescent="0.15">
      <c r="A11" t="s">
        <v>84</v>
      </c>
      <c r="B11" s="32">
        <f t="shared" si="0"/>
        <v>-100</v>
      </c>
      <c r="C11" s="57"/>
      <c r="D11" s="11"/>
      <c r="E11" s="11"/>
      <c r="F11" s="11"/>
      <c r="G11" s="11"/>
      <c r="H11" s="11"/>
      <c r="J11" s="67" t="s">
        <v>85</v>
      </c>
      <c r="K11">
        <v>65034.8</v>
      </c>
      <c r="L11">
        <v>66232.684195793292</v>
      </c>
      <c r="M11">
        <v>65034.8</v>
      </c>
      <c r="N11">
        <v>67301.13833698332</v>
      </c>
      <c r="O11">
        <v>65034.8</v>
      </c>
      <c r="P11">
        <v>68173.029124408145</v>
      </c>
      <c r="Q11">
        <v>65034.8</v>
      </c>
      <c r="R11">
        <v>66643.406892186191</v>
      </c>
    </row>
    <row r="12" spans="1:94" x14ac:dyDescent="0.15">
      <c r="A12" s="4" t="s">
        <v>86</v>
      </c>
      <c r="B12" s="32">
        <f t="shared" si="0"/>
        <v>-100</v>
      </c>
      <c r="C12" s="57"/>
      <c r="D12" s="11"/>
      <c r="E12" s="11"/>
      <c r="F12" s="11"/>
      <c r="G12" s="11"/>
      <c r="H12" s="56"/>
      <c r="I12" s="4"/>
      <c r="J12" s="69" t="s">
        <v>87</v>
      </c>
      <c r="K12">
        <v>851.8900000000001</v>
      </c>
      <c r="L12">
        <v>813.43408884506744</v>
      </c>
      <c r="M12">
        <v>851.8900000000001</v>
      </c>
      <c r="O12">
        <v>851.8900000000001</v>
      </c>
      <c r="Q12">
        <v>851.8900000000001</v>
      </c>
      <c r="R12">
        <v>200.06751121972343</v>
      </c>
    </row>
    <row r="13" spans="1:94" x14ac:dyDescent="0.15">
      <c r="A13" t="s">
        <v>88</v>
      </c>
      <c r="B13" s="32">
        <f t="shared" si="0"/>
        <v>-100</v>
      </c>
      <c r="C13" s="57"/>
      <c r="D13" s="11"/>
      <c r="E13" s="11"/>
      <c r="F13" s="11"/>
      <c r="G13" s="11"/>
      <c r="H13" s="11"/>
      <c r="J13" s="67" t="s">
        <v>89</v>
      </c>
      <c r="K13">
        <v>65886.69</v>
      </c>
      <c r="L13">
        <v>67046.11828463836</v>
      </c>
      <c r="M13">
        <v>65886.69</v>
      </c>
      <c r="N13">
        <v>67301.13833698332</v>
      </c>
      <c r="O13">
        <v>65886.69</v>
      </c>
      <c r="P13">
        <v>68173.029124408131</v>
      </c>
      <c r="Q13">
        <v>65886.69</v>
      </c>
      <c r="R13">
        <v>66843.474403405926</v>
      </c>
    </row>
    <row r="14" spans="1:94" x14ac:dyDescent="0.15">
      <c r="A14" t="s">
        <v>90</v>
      </c>
      <c r="B14" s="32">
        <f t="shared" si="0"/>
        <v>-100</v>
      </c>
      <c r="C14" s="57"/>
      <c r="D14" s="11"/>
      <c r="E14" s="11"/>
      <c r="F14" s="11"/>
      <c r="G14" s="11"/>
      <c r="H14" s="11"/>
      <c r="J14" s="67" t="s">
        <v>91</v>
      </c>
      <c r="K14">
        <v>187.34562848336881</v>
      </c>
      <c r="L14">
        <v>180.72275151246237</v>
      </c>
      <c r="M14">
        <v>187.34562848336881</v>
      </c>
      <c r="N14">
        <v>179.11266211626582</v>
      </c>
      <c r="O14">
        <v>187.34562848336881</v>
      </c>
      <c r="P14">
        <v>179.11266211626588</v>
      </c>
      <c r="Q14">
        <v>187.34562848336881</v>
      </c>
      <c r="R14">
        <v>179.11266211626594</v>
      </c>
    </row>
    <row r="15" spans="1:94" x14ac:dyDescent="0.15">
      <c r="A15" t="s">
        <v>92</v>
      </c>
      <c r="B15" s="32">
        <f t="shared" si="0"/>
        <v>-100</v>
      </c>
      <c r="C15" s="57"/>
      <c r="D15" s="11"/>
      <c r="E15" s="11"/>
      <c r="F15" s="11"/>
      <c r="G15" s="11"/>
      <c r="H15" s="11"/>
      <c r="J15" s="67" t="s">
        <v>93</v>
      </c>
      <c r="K15">
        <v>966.5</v>
      </c>
      <c r="L15">
        <v>963.42109979213831</v>
      </c>
      <c r="M15">
        <v>966.5</v>
      </c>
      <c r="N15">
        <v>964.19208334723794</v>
      </c>
      <c r="O15">
        <v>966.5</v>
      </c>
      <c r="P15">
        <v>965.1565068150835</v>
      </c>
      <c r="Q15">
        <v>966.5</v>
      </c>
      <c r="R15">
        <v>963.51744575587873</v>
      </c>
    </row>
    <row r="16" spans="1:94" x14ac:dyDescent="0.15">
      <c r="A16" t="s">
        <v>94</v>
      </c>
      <c r="B16" s="32">
        <f t="shared" si="0"/>
        <v>-100</v>
      </c>
      <c r="C16" s="57"/>
      <c r="D16" s="11"/>
      <c r="E16" s="11"/>
      <c r="F16" s="11"/>
      <c r="G16" s="11"/>
      <c r="H16" s="11"/>
      <c r="J16" s="67" t="s">
        <v>95</v>
      </c>
      <c r="K16">
        <v>22403.84</v>
      </c>
      <c r="L16">
        <v>22540.809654230023</v>
      </c>
      <c r="M16">
        <v>22403.84</v>
      </c>
      <c r="N16">
        <v>22507.125419774547</v>
      </c>
      <c r="O16">
        <v>22403.84</v>
      </c>
      <c r="P16">
        <v>22507.125419774544</v>
      </c>
      <c r="Q16">
        <v>22403.84</v>
      </c>
      <c r="R16">
        <v>22507.125419774544</v>
      </c>
    </row>
    <row r="17" spans="1:18" x14ac:dyDescent="0.15">
      <c r="A17" t="s">
        <v>96</v>
      </c>
      <c r="B17" s="32">
        <f t="shared" si="0"/>
        <v>-100</v>
      </c>
      <c r="C17" s="57"/>
      <c r="D17" s="11"/>
      <c r="E17" s="11"/>
      <c r="F17" s="11"/>
      <c r="G17" s="11"/>
      <c r="H17" s="11"/>
      <c r="J17" s="67" t="s">
        <v>97</v>
      </c>
      <c r="K17">
        <v>10700</v>
      </c>
      <c r="L17">
        <v>12031.810464847051</v>
      </c>
      <c r="M17">
        <v>10700</v>
      </c>
      <c r="N17">
        <v>11993.165022239456</v>
      </c>
      <c r="O17">
        <v>10700</v>
      </c>
      <c r="P17">
        <v>11993.16502223946</v>
      </c>
      <c r="Q17">
        <v>10700</v>
      </c>
      <c r="R17">
        <v>11993.165022239458</v>
      </c>
    </row>
    <row r="18" spans="1:18" x14ac:dyDescent="0.15">
      <c r="A18" t="s">
        <v>98</v>
      </c>
      <c r="B18" s="32">
        <f t="shared" si="0"/>
        <v>-100</v>
      </c>
      <c r="C18" s="57"/>
      <c r="D18" s="11"/>
      <c r="E18" s="11"/>
      <c r="F18" s="11"/>
      <c r="G18" s="11"/>
      <c r="H18" s="11"/>
      <c r="J18" s="67" t="s">
        <v>99</v>
      </c>
      <c r="K18">
        <v>2902.3389999999999</v>
      </c>
      <c r="L18">
        <v>2958.0831813487312</v>
      </c>
      <c r="M18">
        <v>2902.3389999999999</v>
      </c>
      <c r="N18">
        <v>3006.2789428407987</v>
      </c>
      <c r="O18">
        <v>2902.3389999999999</v>
      </c>
      <c r="P18">
        <v>3045.2161209131546</v>
      </c>
      <c r="Q18">
        <v>2902.3389999999999</v>
      </c>
      <c r="R18">
        <v>2976.90574485055</v>
      </c>
    </row>
    <row r="19" spans="1:18" x14ac:dyDescent="0.15">
      <c r="A19" t="s">
        <v>100</v>
      </c>
      <c r="B19" s="32">
        <f t="shared" si="0"/>
        <v>-100</v>
      </c>
      <c r="C19" s="57"/>
      <c r="D19" s="11"/>
      <c r="E19" s="11"/>
      <c r="F19" s="11"/>
      <c r="G19" s="11"/>
      <c r="H19" s="11"/>
      <c r="J19" s="67" t="s">
        <v>101</v>
      </c>
      <c r="K19">
        <v>2594.0110000000013</v>
      </c>
      <c r="L19">
        <v>3417.2254111784387</v>
      </c>
      <c r="M19">
        <v>2594.0110000000013</v>
      </c>
      <c r="N19">
        <v>3466.4861394356258</v>
      </c>
      <c r="O19">
        <v>2594.0110000000013</v>
      </c>
      <c r="P19">
        <v>3511.4975950454887</v>
      </c>
      <c r="Q19">
        <v>2594.0110000000013</v>
      </c>
      <c r="R19">
        <v>3432.5308635895917</v>
      </c>
    </row>
    <row r="20" spans="1:18" x14ac:dyDescent="0.15">
      <c r="A20" t="s">
        <v>102</v>
      </c>
      <c r="B20" s="32" t="e">
        <f t="shared" si="0"/>
        <v>#DIV/0!</v>
      </c>
      <c r="C20" s="57"/>
      <c r="D20" s="11"/>
      <c r="E20" s="11"/>
      <c r="F20" s="11"/>
      <c r="G20" s="11"/>
      <c r="H20" s="11"/>
      <c r="J20" s="67" t="s">
        <v>236</v>
      </c>
      <c r="N20">
        <v>453.05213685159299</v>
      </c>
      <c r="P20">
        <v>1240.0298671263358</v>
      </c>
      <c r="R20">
        <v>59.391314701799899</v>
      </c>
    </row>
    <row r="21" spans="1:18" x14ac:dyDescent="0.15">
      <c r="A21" t="s">
        <v>104</v>
      </c>
      <c r="B21" s="32">
        <f t="shared" si="0"/>
        <v>-100</v>
      </c>
      <c r="C21" s="57"/>
      <c r="D21" s="11"/>
      <c r="E21" s="11"/>
      <c r="F21" s="11"/>
      <c r="G21" s="11"/>
      <c r="H21" s="11"/>
      <c r="J21" s="67" t="s">
        <v>103</v>
      </c>
      <c r="K21">
        <v>63292.679000000004</v>
      </c>
      <c r="L21">
        <v>63628.892873459918</v>
      </c>
      <c r="M21">
        <v>63292.679000000004</v>
      </c>
      <c r="N21">
        <v>63381.600060696102</v>
      </c>
      <c r="O21">
        <v>63292.679000000004</v>
      </c>
      <c r="P21">
        <v>63421.501662236311</v>
      </c>
      <c r="Q21">
        <v>63292.679000000004</v>
      </c>
      <c r="R21">
        <v>63351.55222511453</v>
      </c>
    </row>
    <row r="22" spans="1:18" x14ac:dyDescent="0.15">
      <c r="A22" t="s">
        <v>106</v>
      </c>
      <c r="B22" s="32">
        <f t="shared" si="0"/>
        <v>-100</v>
      </c>
      <c r="C22" s="57"/>
      <c r="D22" s="11"/>
      <c r="E22" s="11"/>
      <c r="F22" s="11"/>
      <c r="G22" s="11"/>
      <c r="H22" s="11"/>
      <c r="J22" s="67" t="s">
        <v>105</v>
      </c>
      <c r="K22">
        <v>1280.1863539145411</v>
      </c>
      <c r="L22">
        <v>1234.9865004736741</v>
      </c>
      <c r="M22">
        <v>1280.1863539145411</v>
      </c>
      <c r="N22">
        <v>1224.0174750872716</v>
      </c>
      <c r="O22">
        <v>1280.1863539145411</v>
      </c>
      <c r="P22">
        <v>1224.017475087272</v>
      </c>
      <c r="Q22">
        <v>1280.1863539145411</v>
      </c>
      <c r="R22">
        <v>1224.0174750872725</v>
      </c>
    </row>
    <row r="23" spans="1:18" x14ac:dyDescent="0.15">
      <c r="A23" t="s">
        <v>108</v>
      </c>
      <c r="B23" s="32">
        <f t="shared" si="0"/>
        <v>-100</v>
      </c>
      <c r="C23" s="57"/>
      <c r="D23" s="11"/>
      <c r="E23" s="11"/>
      <c r="F23" s="11"/>
      <c r="G23" s="11"/>
      <c r="H23" s="11"/>
      <c r="J23" s="67" t="s">
        <v>107</v>
      </c>
      <c r="K23">
        <v>26320</v>
      </c>
      <c r="L23">
        <v>25134.768473241995</v>
      </c>
      <c r="M23">
        <v>26320</v>
      </c>
      <c r="N23">
        <v>24910.838592494074</v>
      </c>
      <c r="O23">
        <v>26320</v>
      </c>
      <c r="P23">
        <v>24910.838592494081</v>
      </c>
      <c r="Q23">
        <v>26320</v>
      </c>
      <c r="R23">
        <v>24910.838592494089</v>
      </c>
    </row>
    <row r="24" spans="1:18" x14ac:dyDescent="0.15">
      <c r="A24" t="s">
        <v>110</v>
      </c>
      <c r="B24" s="32">
        <f t="shared" si="0"/>
        <v>-100</v>
      </c>
      <c r="C24" s="57"/>
      <c r="D24" s="11"/>
      <c r="E24" s="11"/>
      <c r="F24" s="11"/>
      <c r="G24" s="11"/>
      <c r="H24" s="11"/>
      <c r="J24" s="67" t="s">
        <v>109</v>
      </c>
      <c r="K24">
        <v>26182.271422040179</v>
      </c>
      <c r="L24">
        <v>25461.157792723818</v>
      </c>
      <c r="M24">
        <v>25384.385256308909</v>
      </c>
      <c r="N24">
        <v>23511.198391459537</v>
      </c>
      <c r="O24">
        <v>26182.271422040179</v>
      </c>
      <c r="P24">
        <v>24748.492398038317</v>
      </c>
      <c r="Q24">
        <v>26182.271422040179</v>
      </c>
      <c r="R24">
        <v>25199.68490999184</v>
      </c>
    </row>
    <row r="25" spans="1:18" x14ac:dyDescent="0.15">
      <c r="A25" t="s">
        <v>111</v>
      </c>
      <c r="B25" s="32" t="e">
        <f t="shared" si="0"/>
        <v>#DIV/0!</v>
      </c>
      <c r="C25" s="57"/>
      <c r="D25" s="11"/>
      <c r="E25" s="11"/>
      <c r="F25" s="11"/>
      <c r="G25" s="11"/>
    </row>
    <row r="26" spans="1:18" x14ac:dyDescent="0.15">
      <c r="A26" t="s">
        <v>112</v>
      </c>
      <c r="B26" s="32" t="e">
        <f t="shared" si="0"/>
        <v>#DIV/0!</v>
      </c>
      <c r="C26" s="57"/>
      <c r="D26" s="11"/>
      <c r="E26" s="11"/>
      <c r="F26" s="11"/>
      <c r="G26" s="11"/>
    </row>
    <row r="27" spans="1:18" x14ac:dyDescent="0.15">
      <c r="A27" t="s">
        <v>113</v>
      </c>
      <c r="B27" s="32" t="e">
        <f t="shared" si="0"/>
        <v>#DIV/0!</v>
      </c>
      <c r="C27" s="57"/>
      <c r="D27" s="11"/>
      <c r="E27" s="11"/>
      <c r="F27" s="11"/>
      <c r="G27" s="11"/>
    </row>
    <row r="28" spans="1:18" x14ac:dyDescent="0.15">
      <c r="A28" t="s">
        <v>114</v>
      </c>
      <c r="B28" s="32" t="e">
        <f t="shared" si="0"/>
        <v>#DIV/0!</v>
      </c>
      <c r="C28" s="57"/>
      <c r="D28" s="11"/>
      <c r="E28" s="11"/>
      <c r="F28" s="11"/>
      <c r="G28" s="11"/>
    </row>
    <row r="29" spans="1:18" x14ac:dyDescent="0.15">
      <c r="A29" t="s">
        <v>115</v>
      </c>
      <c r="B29" s="32" t="e">
        <f t="shared" si="0"/>
        <v>#DIV/0!</v>
      </c>
      <c r="C29" s="57"/>
      <c r="D29" s="11"/>
      <c r="E29" s="11"/>
      <c r="F29" s="11"/>
      <c r="G29" s="11"/>
    </row>
    <row r="30" spans="1:18" x14ac:dyDescent="0.15">
      <c r="A30" t="s">
        <v>116</v>
      </c>
      <c r="B30" s="32" t="e">
        <f t="shared" si="0"/>
        <v>#DIV/0!</v>
      </c>
      <c r="C30" s="57"/>
      <c r="D30" s="11"/>
      <c r="E30" s="11"/>
      <c r="F30" s="11"/>
      <c r="G30" s="11"/>
    </row>
    <row r="31" spans="1:18" x14ac:dyDescent="0.15">
      <c r="A31" t="s">
        <v>117</v>
      </c>
      <c r="B31" s="32" t="e">
        <f t="shared" si="0"/>
        <v>#DIV/0!</v>
      </c>
      <c r="C31" s="57"/>
      <c r="D31" s="11"/>
      <c r="E31" s="11"/>
      <c r="F31" s="11"/>
      <c r="G31" s="11"/>
      <c r="H31" s="11"/>
    </row>
    <row r="32" spans="1:18" x14ac:dyDescent="0.15">
      <c r="A32" t="s">
        <v>118</v>
      </c>
      <c r="B32" s="32" t="e">
        <f t="shared" si="0"/>
        <v>#DIV/0!</v>
      </c>
      <c r="C32" s="57"/>
      <c r="D32" s="11"/>
      <c r="E32" s="11"/>
      <c r="F32" s="11"/>
      <c r="G32" s="11"/>
    </row>
    <row r="33" spans="1:10" x14ac:dyDescent="0.15">
      <c r="A33" s="4" t="s">
        <v>119</v>
      </c>
      <c r="B33" s="32" t="e">
        <f t="shared" si="0"/>
        <v>#DIV/0!</v>
      </c>
      <c r="C33" s="57"/>
      <c r="D33" s="11"/>
      <c r="E33" s="11"/>
      <c r="F33" s="11"/>
      <c r="G33" s="11"/>
      <c r="H33" s="56"/>
      <c r="I33" s="4"/>
      <c r="J33" s="4"/>
    </row>
    <row r="34" spans="1:10" x14ac:dyDescent="0.15">
      <c r="A34" t="s">
        <v>120</v>
      </c>
      <c r="B34" s="32" t="e">
        <f t="shared" si="0"/>
        <v>#DIV/0!</v>
      </c>
      <c r="C34" s="57"/>
      <c r="D34" s="11"/>
      <c r="E34" s="11"/>
      <c r="F34" s="11"/>
      <c r="G34" s="11"/>
      <c r="H34" s="11"/>
    </row>
    <row r="35" spans="1:10" x14ac:dyDescent="0.15">
      <c r="C35" s="57"/>
      <c r="D35" s="11"/>
      <c r="E35" s="11"/>
      <c r="F35" s="11"/>
      <c r="G35" s="11"/>
      <c r="H35" s="11"/>
    </row>
    <row r="36" spans="1:10" x14ac:dyDescent="0.15">
      <c r="C36" s="11"/>
      <c r="D36" s="11"/>
      <c r="E36" s="11"/>
      <c r="F36" s="11"/>
      <c r="G36" s="11"/>
      <c r="H36" s="11"/>
    </row>
    <row r="37" spans="1:10" x14ac:dyDescent="0.15">
      <c r="C37" s="11"/>
      <c r="D37" s="11"/>
      <c r="E37" s="11"/>
      <c r="F37" s="11"/>
      <c r="G37" s="11"/>
      <c r="H37" s="11"/>
    </row>
    <row r="38" spans="1:10" x14ac:dyDescent="0.15">
      <c r="C38" s="11"/>
      <c r="D38" s="11"/>
      <c r="E38" s="11"/>
      <c r="F38" s="11"/>
      <c r="G38" s="11"/>
      <c r="H38" s="11"/>
    </row>
    <row r="39" spans="1:10" x14ac:dyDescent="0.15">
      <c r="C39" s="11"/>
      <c r="D39" s="11"/>
      <c r="E39" s="11"/>
      <c r="F39" s="11"/>
      <c r="G39" s="11"/>
      <c r="H39" s="11"/>
    </row>
    <row r="40" spans="1:10" x14ac:dyDescent="0.15">
      <c r="C40" s="11"/>
      <c r="D40" s="11"/>
      <c r="E40" s="11"/>
      <c r="F40" s="11"/>
      <c r="G40" s="11"/>
      <c r="H40" s="11"/>
    </row>
    <row r="41" spans="1:10" x14ac:dyDescent="0.15">
      <c r="C41" s="11"/>
      <c r="D41" s="11"/>
      <c r="E41" s="11"/>
      <c r="F41" s="11"/>
      <c r="G41" s="11"/>
      <c r="H41" s="11"/>
    </row>
    <row r="42" spans="1:10" x14ac:dyDescent="0.15">
      <c r="C42" s="11"/>
      <c r="D42" s="11"/>
      <c r="E42" s="11"/>
      <c r="F42" s="11"/>
      <c r="G42" s="11"/>
      <c r="H42" s="11"/>
    </row>
    <row r="43" spans="1:10" x14ac:dyDescent="0.15">
      <c r="C43" s="11"/>
      <c r="D43" s="11"/>
      <c r="E43" s="11"/>
      <c r="F43" s="11"/>
      <c r="G43" s="11"/>
      <c r="H43" s="11"/>
    </row>
    <row r="44" spans="1:10" x14ac:dyDescent="0.15">
      <c r="C44" s="11"/>
      <c r="D44" s="11"/>
      <c r="E44" s="11"/>
      <c r="F44" s="11"/>
      <c r="G44" s="11"/>
      <c r="H44" s="11"/>
    </row>
    <row r="45" spans="1:10" x14ac:dyDescent="0.15">
      <c r="C45" s="11"/>
      <c r="D45" s="11"/>
      <c r="E45" s="11"/>
      <c r="F45" s="11"/>
      <c r="G45" s="11"/>
      <c r="H45" s="11"/>
    </row>
    <row r="46" spans="1:10" x14ac:dyDescent="0.15">
      <c r="C46" s="11"/>
      <c r="D46" s="11"/>
      <c r="E46" s="11"/>
      <c r="F46" s="11"/>
      <c r="G46" s="11"/>
      <c r="H46" s="11"/>
    </row>
    <row r="51" spans="3:8" x14ac:dyDescent="0.15">
      <c r="C51" s="11"/>
      <c r="D51" s="11"/>
      <c r="E51" s="11"/>
      <c r="F51" s="11"/>
      <c r="G51" s="11"/>
      <c r="H51" s="11"/>
    </row>
    <row r="53" spans="3:8" x14ac:dyDescent="0.15">
      <c r="C53" s="11"/>
      <c r="D53" s="11"/>
      <c r="E53" s="11"/>
      <c r="F53" s="11"/>
      <c r="G53" s="11"/>
      <c r="H53" s="11"/>
    </row>
    <row r="54" spans="3:8" x14ac:dyDescent="0.15">
      <c r="C54" s="11"/>
      <c r="D54" s="11"/>
      <c r="E54" s="11"/>
      <c r="F54" s="11"/>
      <c r="G54" s="11"/>
      <c r="H54" s="11"/>
    </row>
    <row r="55" spans="3:8" x14ac:dyDescent="0.15">
      <c r="C55" s="11"/>
      <c r="D55" s="11"/>
      <c r="E55" s="11"/>
      <c r="F55" s="11"/>
      <c r="G55" s="11"/>
      <c r="H55" s="11"/>
    </row>
    <row r="56" spans="3:8" x14ac:dyDescent="0.15">
      <c r="C56" s="11"/>
      <c r="D56" s="11"/>
      <c r="E56" s="11"/>
      <c r="F56" s="11"/>
      <c r="G56" s="11"/>
      <c r="H56" s="11"/>
    </row>
    <row r="57" spans="3:8" x14ac:dyDescent="0.15">
      <c r="C57" s="11"/>
      <c r="D57" s="11"/>
      <c r="E57" s="11"/>
      <c r="F57" s="11"/>
      <c r="G57" s="11"/>
      <c r="H57" s="11"/>
    </row>
    <row r="58" spans="3:8" x14ac:dyDescent="0.15">
      <c r="C58" s="11"/>
      <c r="D58" s="11"/>
      <c r="E58" s="11"/>
      <c r="F58" s="11"/>
      <c r="G58" s="11"/>
      <c r="H58" s="11"/>
    </row>
    <row r="59" spans="3:8" x14ac:dyDescent="0.15">
      <c r="C59" s="11"/>
      <c r="D59" s="11"/>
      <c r="E59" s="11"/>
      <c r="F59" s="11"/>
      <c r="G59" s="11"/>
      <c r="H59" s="11"/>
    </row>
    <row r="60" spans="3:8" x14ac:dyDescent="0.15">
      <c r="C60" s="11"/>
      <c r="D60" s="11"/>
      <c r="E60" s="11"/>
      <c r="F60" s="11"/>
      <c r="G60" s="11"/>
      <c r="H60" s="11"/>
    </row>
    <row r="61" spans="3:8" x14ac:dyDescent="0.15">
      <c r="C61" s="11"/>
      <c r="D61" s="11"/>
      <c r="E61" s="11"/>
      <c r="F61" s="11"/>
      <c r="G61" s="11"/>
      <c r="H61" s="11"/>
    </row>
    <row r="62" spans="3:8" x14ac:dyDescent="0.15">
      <c r="C62" s="11"/>
      <c r="D62" s="11"/>
      <c r="E62" s="11"/>
      <c r="F62" s="11"/>
      <c r="G62" s="11"/>
      <c r="H62" s="11"/>
    </row>
    <row r="63" spans="3:8" x14ac:dyDescent="0.15">
      <c r="C63" s="11"/>
      <c r="D63" s="11"/>
      <c r="E63" s="11"/>
      <c r="F63" s="11"/>
      <c r="G63" s="11"/>
      <c r="H63" s="11"/>
    </row>
    <row r="64" spans="3:8" x14ac:dyDescent="0.15">
      <c r="C64" s="11"/>
      <c r="D64" s="11"/>
      <c r="E64" s="11"/>
      <c r="F64" s="11"/>
      <c r="G64" s="11"/>
      <c r="H64" s="11"/>
    </row>
    <row r="65" spans="3:8" x14ac:dyDescent="0.15">
      <c r="C65" s="11"/>
      <c r="D65" s="11"/>
      <c r="E65" s="11"/>
      <c r="F65" s="11"/>
      <c r="G65" s="11"/>
      <c r="H65" s="11"/>
    </row>
    <row r="66" spans="3:8" x14ac:dyDescent="0.15">
      <c r="C66" s="11"/>
      <c r="D66" s="11"/>
      <c r="E66" s="11"/>
      <c r="F66" s="11"/>
      <c r="G66" s="11"/>
      <c r="H66" s="11"/>
    </row>
    <row r="71" spans="3:8" x14ac:dyDescent="0.15">
      <c r="C71" s="11"/>
      <c r="D71" s="11"/>
      <c r="E71" s="11"/>
      <c r="F71" s="11"/>
      <c r="G71" s="11"/>
      <c r="H71" s="11"/>
    </row>
    <row r="73" spans="3:8" x14ac:dyDescent="0.15">
      <c r="C73" s="11"/>
      <c r="D73" s="11"/>
      <c r="E73" s="11"/>
      <c r="F73" s="11"/>
      <c r="G73" s="11"/>
      <c r="H73" s="11"/>
    </row>
    <row r="74" spans="3:8" x14ac:dyDescent="0.15">
      <c r="C74" s="11"/>
      <c r="D74" s="11"/>
      <c r="E74" s="11"/>
      <c r="F74" s="11"/>
      <c r="G74" s="11"/>
      <c r="H74" s="11"/>
    </row>
    <row r="75" spans="3:8" x14ac:dyDescent="0.15">
      <c r="C75" s="11"/>
      <c r="D75" s="11"/>
      <c r="E75" s="11"/>
      <c r="F75" s="11"/>
      <c r="G75" s="11"/>
      <c r="H75" s="11"/>
    </row>
    <row r="76" spans="3:8" x14ac:dyDescent="0.15">
      <c r="C76" s="11"/>
      <c r="D76" s="11"/>
      <c r="E76" s="11"/>
      <c r="F76" s="11"/>
      <c r="G76" s="11"/>
      <c r="H76" s="11"/>
    </row>
    <row r="77" spans="3:8" x14ac:dyDescent="0.15">
      <c r="C77" s="11"/>
      <c r="D77" s="11"/>
      <c r="E77" s="11"/>
      <c r="F77" s="11"/>
      <c r="G77" s="11"/>
      <c r="H77" s="11"/>
    </row>
    <row r="78" spans="3:8" x14ac:dyDescent="0.15">
      <c r="C78" s="11"/>
      <c r="D78" s="11"/>
      <c r="E78" s="11"/>
      <c r="F78" s="11"/>
      <c r="G78" s="11"/>
      <c r="H78" s="11"/>
    </row>
    <row r="79" spans="3:8" x14ac:dyDescent="0.15">
      <c r="C79" s="11"/>
      <c r="D79" s="11"/>
      <c r="E79" s="11"/>
      <c r="F79" s="11"/>
      <c r="G79" s="11"/>
      <c r="H79" s="11"/>
    </row>
    <row r="80" spans="3:8" x14ac:dyDescent="0.15">
      <c r="C80" s="11"/>
      <c r="D80" s="11"/>
      <c r="E80" s="11"/>
      <c r="F80" s="11"/>
      <c r="G80" s="11"/>
      <c r="H80" s="11"/>
    </row>
    <row r="81" spans="3:8" x14ac:dyDescent="0.15">
      <c r="C81" s="11"/>
      <c r="D81" s="11"/>
      <c r="E81" s="11"/>
      <c r="F81" s="11"/>
      <c r="G81" s="11"/>
      <c r="H81" s="11"/>
    </row>
    <row r="82" spans="3:8" x14ac:dyDescent="0.15">
      <c r="C82" s="11"/>
      <c r="D82" s="11"/>
      <c r="E82" s="11"/>
      <c r="F82" s="11"/>
      <c r="G82" s="11"/>
      <c r="H82" s="11"/>
    </row>
    <row r="83" spans="3:8" x14ac:dyDescent="0.15">
      <c r="C83" s="11"/>
      <c r="D83" s="11"/>
      <c r="E83" s="11"/>
      <c r="F83" s="11"/>
      <c r="G83" s="11"/>
      <c r="H83" s="11"/>
    </row>
    <row r="84" spans="3:8" x14ac:dyDescent="0.15">
      <c r="C84" s="11"/>
      <c r="D84" s="11"/>
      <c r="E84" s="11"/>
      <c r="F84" s="11"/>
      <c r="G84" s="11"/>
      <c r="H84" s="11"/>
    </row>
    <row r="85" spans="3:8" x14ac:dyDescent="0.15">
      <c r="C85" s="11"/>
      <c r="D85" s="11"/>
      <c r="E85" s="11"/>
      <c r="F85" s="11"/>
      <c r="G85" s="11"/>
      <c r="H85" s="11"/>
    </row>
    <row r="86" spans="3:8" x14ac:dyDescent="0.15">
      <c r="C86" s="11"/>
      <c r="D86" s="11"/>
      <c r="E86" s="11"/>
      <c r="F86" s="11"/>
      <c r="G86" s="11"/>
      <c r="H86" s="11"/>
    </row>
  </sheetData>
  <phoneticPr fontId="14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P87"/>
  <sheetViews>
    <sheetView topLeftCell="H1" workbookViewId="0">
      <pane xSplit="3" ySplit="7" topLeftCell="K8" activePane="bottomRight" state="frozen"/>
      <selection pane="topRight"/>
      <selection pane="bottomLeft"/>
      <selection pane="bottomRight" activeCell="V5" sqref="V5"/>
    </sheetView>
  </sheetViews>
  <sheetFormatPr defaultColWidth="9" defaultRowHeight="13.5" x14ac:dyDescent="0.15"/>
  <cols>
    <col min="1" max="1" width="39" customWidth="1"/>
    <col min="2" max="2" width="10.375" style="32" customWidth="1"/>
    <col min="3" max="3" width="12.875" customWidth="1"/>
    <col min="8" max="8" width="4.625" customWidth="1"/>
    <col min="9" max="9" width="3.375" customWidth="1"/>
    <col min="10" max="10" width="38.125" customWidth="1"/>
    <col min="11" max="14" width="12.625" customWidth="1"/>
    <col min="15" max="15" width="12.625" style="4" customWidth="1"/>
    <col min="16" max="19" width="12.625" customWidth="1"/>
    <col min="20" max="20" width="12.625" style="4" customWidth="1"/>
    <col min="21" max="24" width="12.625" customWidth="1"/>
    <col min="25" max="25" width="12.625" style="4" customWidth="1"/>
    <col min="27" max="27" width="8.375" customWidth="1"/>
    <col min="30" max="30" width="9" style="4"/>
    <col min="35" max="35" width="9" style="4"/>
  </cols>
  <sheetData>
    <row r="1" spans="1:94" x14ac:dyDescent="0.15">
      <c r="X1" s="14">
        <f>X2/X3</f>
        <v>-1</v>
      </c>
    </row>
    <row r="2" spans="1:94" x14ac:dyDescent="0.15">
      <c r="X2">
        <f>X11-X3</f>
        <v>-66949.2</v>
      </c>
    </row>
    <row r="3" spans="1:94" x14ac:dyDescent="0.15">
      <c r="X3">
        <v>66949.2</v>
      </c>
    </row>
    <row r="4" spans="1:94" x14ac:dyDescent="0.15">
      <c r="K4">
        <v>141.67236736241199</v>
      </c>
      <c r="M4">
        <f>M16/M10</f>
        <v>0.31422976853071777</v>
      </c>
      <c r="V4" t="e">
        <f>V11/V10</f>
        <v>#DIV/0!</v>
      </c>
      <c r="W4" t="e">
        <f>W11/W10</f>
        <v>#DIV/0!</v>
      </c>
      <c r="X4" t="e">
        <f>X11/X13</f>
        <v>#DIV/0!</v>
      </c>
      <c r="AA4" t="e">
        <f>AA10/AA9</f>
        <v>#DIV/0!</v>
      </c>
    </row>
    <row r="5" spans="1:94" x14ac:dyDescent="0.15">
      <c r="Y5" s="4" t="e">
        <f>Y11/Y13</f>
        <v>#DIV/0!</v>
      </c>
    </row>
    <row r="6" spans="1:94" ht="12.75" customHeight="1" x14ac:dyDescent="0.15">
      <c r="B6" s="32" t="s">
        <v>73</v>
      </c>
      <c r="K6" s="67" t="s">
        <v>73</v>
      </c>
      <c r="L6" s="68" t="s">
        <v>73</v>
      </c>
      <c r="M6" s="68" t="s">
        <v>315</v>
      </c>
      <c r="N6" s="68" t="s">
        <v>315</v>
      </c>
      <c r="O6" s="70" t="s">
        <v>316</v>
      </c>
      <c r="P6" s="68" t="s">
        <v>316</v>
      </c>
      <c r="Q6" s="68" t="s">
        <v>317</v>
      </c>
      <c r="R6" s="68" t="s">
        <v>317</v>
      </c>
      <c r="S6" s="68"/>
      <c r="T6" s="70"/>
      <c r="U6" s="68"/>
      <c r="V6" s="68"/>
      <c r="W6" s="67"/>
      <c r="X6" s="67"/>
      <c r="Y6" s="69"/>
      <c r="Z6" s="67"/>
      <c r="AA6" s="67"/>
      <c r="AB6" s="67"/>
      <c r="AC6" s="67"/>
      <c r="AD6" s="69"/>
      <c r="AE6" s="67"/>
      <c r="AF6" s="67"/>
      <c r="AG6" s="67"/>
      <c r="AH6" s="67"/>
      <c r="AI6" s="69"/>
      <c r="AJ6" s="67"/>
      <c r="AK6" s="67"/>
      <c r="AL6" s="67"/>
      <c r="AM6" s="67"/>
      <c r="AN6" s="67"/>
      <c r="AO6" s="67"/>
      <c r="AP6" s="67"/>
      <c r="AQ6" s="67"/>
      <c r="AR6" s="67"/>
      <c r="AS6" s="67"/>
      <c r="AT6" s="67"/>
      <c r="AU6" s="67"/>
      <c r="AV6" s="67"/>
      <c r="AW6" s="67"/>
      <c r="AX6" s="67"/>
      <c r="AY6" s="67"/>
      <c r="AZ6" s="67"/>
      <c r="BA6" s="67"/>
      <c r="BB6" s="67"/>
      <c r="BC6" s="67"/>
      <c r="BD6" s="67"/>
      <c r="BE6" s="67"/>
      <c r="BF6" s="67"/>
      <c r="BG6" s="67"/>
      <c r="BH6" s="67"/>
      <c r="BI6" s="67"/>
      <c r="BJ6" s="67"/>
      <c r="BK6" s="67"/>
      <c r="BL6" s="67"/>
      <c r="BM6" s="67"/>
      <c r="BN6" s="67"/>
      <c r="BO6" s="67"/>
      <c r="BP6" s="67"/>
      <c r="BQ6" s="67"/>
      <c r="BR6" s="67"/>
      <c r="BS6" s="67"/>
      <c r="BT6" s="67"/>
      <c r="BU6" s="67"/>
      <c r="BV6" s="67"/>
      <c r="BW6" s="67"/>
      <c r="BX6" s="67"/>
      <c r="BY6" s="67"/>
      <c r="BZ6" s="67"/>
      <c r="CA6" s="67"/>
      <c r="CB6" s="67"/>
      <c r="CC6" s="67"/>
      <c r="CD6" s="67"/>
      <c r="CE6" s="67"/>
      <c r="CF6" s="67"/>
      <c r="CG6" s="67"/>
      <c r="CH6" s="67"/>
      <c r="CI6" s="67"/>
      <c r="CJ6" s="67"/>
      <c r="CK6" s="67"/>
      <c r="CL6" s="67"/>
      <c r="CM6" s="67"/>
      <c r="CN6" s="67"/>
      <c r="CO6" s="67"/>
      <c r="CP6" s="67"/>
    </row>
    <row r="7" spans="1:94" x14ac:dyDescent="0.15">
      <c r="B7" s="32" t="s">
        <v>74</v>
      </c>
      <c r="C7" s="32"/>
      <c r="D7" s="32"/>
      <c r="E7" s="32"/>
      <c r="F7" s="32"/>
      <c r="G7" s="32"/>
      <c r="H7" s="11"/>
      <c r="I7">
        <v>1</v>
      </c>
      <c r="K7" s="67" t="s">
        <v>76</v>
      </c>
      <c r="L7" s="68" t="s">
        <v>77</v>
      </c>
      <c r="M7" s="68" t="s">
        <v>76</v>
      </c>
      <c r="N7" s="68" t="s">
        <v>77</v>
      </c>
      <c r="O7" s="70" t="s">
        <v>76</v>
      </c>
      <c r="P7" s="68" t="s">
        <v>77</v>
      </c>
      <c r="Q7" s="68" t="s">
        <v>76</v>
      </c>
      <c r="R7" s="68" t="s">
        <v>77</v>
      </c>
      <c r="S7" s="68"/>
      <c r="T7" s="70"/>
      <c r="U7" s="68"/>
      <c r="V7" s="68"/>
      <c r="W7" s="67"/>
      <c r="X7" s="67"/>
      <c r="Y7" s="69"/>
      <c r="Z7" s="67"/>
      <c r="AA7" s="67"/>
      <c r="AB7" s="67"/>
      <c r="AC7" s="67"/>
      <c r="AD7" s="69"/>
      <c r="AE7" s="67"/>
      <c r="AF7" s="67"/>
      <c r="AG7" s="67"/>
      <c r="AH7" s="67"/>
      <c r="AI7" s="69"/>
      <c r="AJ7" s="67"/>
      <c r="AK7" s="67"/>
      <c r="AL7" s="67"/>
      <c r="AM7" s="67"/>
      <c r="AN7" s="67"/>
      <c r="AO7" s="67"/>
      <c r="AP7" s="67"/>
      <c r="AQ7" s="67"/>
      <c r="AR7" s="67"/>
      <c r="AS7" s="67"/>
      <c r="AT7" s="67"/>
      <c r="AU7" s="67"/>
      <c r="AV7" s="67"/>
      <c r="AW7" s="67"/>
      <c r="AX7" s="67"/>
      <c r="AY7" s="67"/>
      <c r="AZ7" s="67"/>
      <c r="BA7" s="67"/>
      <c r="BB7" s="67"/>
      <c r="BC7" s="67"/>
      <c r="BD7" s="67"/>
      <c r="BE7" s="67"/>
      <c r="BF7" s="67"/>
      <c r="BG7" s="67"/>
      <c r="BH7" s="67"/>
      <c r="BI7" s="67"/>
      <c r="BJ7" s="67"/>
      <c r="BK7" s="67"/>
      <c r="BL7" s="67"/>
      <c r="BM7" s="67"/>
      <c r="BN7" s="67"/>
      <c r="BO7" s="67"/>
      <c r="BP7" s="67"/>
      <c r="BQ7" s="67"/>
      <c r="BR7" s="67"/>
      <c r="BS7" s="67"/>
      <c r="BT7" s="67"/>
      <c r="BU7" s="67"/>
      <c r="BV7" s="67"/>
      <c r="BW7" s="67"/>
      <c r="BX7" s="67"/>
      <c r="BY7" s="67"/>
      <c r="BZ7" s="67"/>
      <c r="CA7" s="67"/>
      <c r="CB7" s="67"/>
      <c r="CC7" s="67"/>
      <c r="CD7" s="67"/>
      <c r="CE7" s="67"/>
      <c r="CF7" s="67"/>
      <c r="CG7" s="67"/>
      <c r="CH7" s="67"/>
      <c r="CI7" s="67"/>
      <c r="CJ7" s="67"/>
      <c r="CK7" s="67"/>
      <c r="CL7" s="67"/>
      <c r="CM7" s="67"/>
      <c r="CN7" s="67"/>
      <c r="CO7" s="67"/>
      <c r="CP7" s="67"/>
    </row>
    <row r="8" spans="1:94" x14ac:dyDescent="0.15">
      <c r="A8" t="s">
        <v>78</v>
      </c>
      <c r="B8" s="32">
        <f>(AD8/K8)^(1/19)*100-100</f>
        <v>-100</v>
      </c>
      <c r="C8" s="57"/>
      <c r="D8" s="11"/>
      <c r="E8" s="11"/>
      <c r="F8" s="11"/>
      <c r="G8" s="11"/>
      <c r="I8">
        <v>2</v>
      </c>
      <c r="J8" s="67" t="s">
        <v>79</v>
      </c>
      <c r="K8" s="12">
        <v>11931.9</v>
      </c>
      <c r="L8" s="12">
        <v>11998.496061716454</v>
      </c>
      <c r="M8" s="12">
        <v>11931.9</v>
      </c>
      <c r="N8" s="12">
        <v>12007.389129525416</v>
      </c>
      <c r="O8" s="58">
        <v>11931.9</v>
      </c>
      <c r="P8" s="12">
        <v>12018.272150954646</v>
      </c>
      <c r="Q8" s="12">
        <v>11931.9</v>
      </c>
      <c r="R8" s="12">
        <v>11999.77619225407</v>
      </c>
      <c r="S8" s="12"/>
      <c r="T8" s="58"/>
      <c r="U8" s="12"/>
      <c r="V8" s="12"/>
      <c r="W8" s="12"/>
    </row>
    <row r="9" spans="1:94" x14ac:dyDescent="0.15">
      <c r="A9" t="s">
        <v>80</v>
      </c>
      <c r="B9" s="32">
        <f t="shared" ref="B9:B23" si="0">(AD9/K9)^(1/19)*100-100</f>
        <v>-100</v>
      </c>
      <c r="C9" s="57"/>
      <c r="D9" s="11"/>
      <c r="E9" s="11"/>
      <c r="F9" s="11"/>
      <c r="G9" s="11"/>
      <c r="H9" s="11"/>
      <c r="I9">
        <v>3</v>
      </c>
      <c r="J9" s="67" t="s">
        <v>81</v>
      </c>
      <c r="K9" s="12">
        <v>33.524714087454306</v>
      </c>
      <c r="L9" s="12">
        <v>34.324919230726721</v>
      </c>
      <c r="M9" s="12">
        <v>33.524714087454306</v>
      </c>
      <c r="N9" s="12">
        <v>34.824933836968562</v>
      </c>
      <c r="O9" s="58">
        <v>33.524714087454306</v>
      </c>
      <c r="P9" s="12">
        <v>35.212447533296007</v>
      </c>
      <c r="Q9" s="12">
        <v>33.524714087454306</v>
      </c>
      <c r="R9" s="12">
        <v>34.530330687925947</v>
      </c>
      <c r="S9" s="12"/>
      <c r="T9" s="58"/>
      <c r="U9" s="12"/>
      <c r="V9" s="12"/>
      <c r="W9" s="12"/>
    </row>
    <row r="10" spans="1:94" x14ac:dyDescent="0.15">
      <c r="A10" t="s">
        <v>82</v>
      </c>
      <c r="B10" s="32">
        <f t="shared" si="0"/>
        <v>-100</v>
      </c>
      <c r="C10" s="57"/>
      <c r="D10" s="11"/>
      <c r="E10" s="11"/>
      <c r="F10" s="11"/>
      <c r="G10" s="11"/>
      <c r="H10" s="11"/>
      <c r="I10">
        <v>4</v>
      </c>
      <c r="J10" s="67" t="s">
        <v>83</v>
      </c>
      <c r="K10" s="12">
        <v>86074</v>
      </c>
      <c r="L10" s="12">
        <v>86835.034938957862</v>
      </c>
      <c r="M10" s="12">
        <v>86074</v>
      </c>
      <c r="N10" s="12">
        <v>87057.225807540206</v>
      </c>
      <c r="O10" s="58">
        <v>86074</v>
      </c>
      <c r="P10" s="12">
        <v>87929.306091346429</v>
      </c>
      <c r="Q10" s="12">
        <v>86074</v>
      </c>
      <c r="R10" s="12">
        <v>86599.423790028814</v>
      </c>
      <c r="S10" s="12"/>
      <c r="T10" s="58"/>
      <c r="U10" s="12"/>
      <c r="V10" s="12"/>
      <c r="W10" s="12"/>
    </row>
    <row r="11" spans="1:94" x14ac:dyDescent="0.15">
      <c r="A11" t="s">
        <v>84</v>
      </c>
      <c r="B11" s="32">
        <f t="shared" si="0"/>
        <v>-100</v>
      </c>
      <c r="C11" s="57"/>
      <c r="D11" s="11"/>
      <c r="E11" s="11"/>
      <c r="F11" s="11"/>
      <c r="G11" s="11"/>
      <c r="H11" s="11"/>
      <c r="I11">
        <v>5</v>
      </c>
      <c r="J11" s="67" t="s">
        <v>85</v>
      </c>
      <c r="K11" s="12">
        <v>70650</v>
      </c>
      <c r="L11" s="12">
        <v>72530.430960918602</v>
      </c>
      <c r="M11" s="12">
        <v>70650</v>
      </c>
      <c r="N11" s="12">
        <v>73660.642021964115</v>
      </c>
      <c r="O11" s="58">
        <v>70650</v>
      </c>
      <c r="P11" s="12">
        <v>74579.340831569469</v>
      </c>
      <c r="Q11" s="12">
        <v>70650</v>
      </c>
      <c r="R11" s="12">
        <v>72967.600226190465</v>
      </c>
      <c r="S11" s="12"/>
      <c r="T11" s="58"/>
      <c r="U11" s="12"/>
      <c r="V11" s="12"/>
      <c r="W11" s="12"/>
    </row>
    <row r="12" spans="1:94" x14ac:dyDescent="0.15">
      <c r="A12" t="s">
        <v>86</v>
      </c>
      <c r="B12" s="32">
        <f t="shared" si="0"/>
        <v>-100</v>
      </c>
      <c r="C12" s="57"/>
      <c r="D12" s="11"/>
      <c r="E12" s="11"/>
      <c r="F12" s="11"/>
      <c r="G12" s="11"/>
      <c r="H12" s="11"/>
      <c r="I12">
        <v>6</v>
      </c>
      <c r="J12" s="67" t="s">
        <v>87</v>
      </c>
      <c r="K12" s="12">
        <v>15424</v>
      </c>
      <c r="L12" s="12">
        <v>14304.603978039255</v>
      </c>
      <c r="M12" s="12">
        <v>15424</v>
      </c>
      <c r="N12" s="12">
        <v>13396.583785576093</v>
      </c>
      <c r="O12" s="58">
        <v>15424</v>
      </c>
      <c r="P12" s="12">
        <v>13349.965259776956</v>
      </c>
      <c r="Q12" s="12">
        <v>15424</v>
      </c>
      <c r="R12" s="12">
        <v>13631.823563838352</v>
      </c>
      <c r="S12" s="12"/>
      <c r="T12" s="58"/>
      <c r="U12" s="12"/>
      <c r="V12" s="12"/>
      <c r="W12" s="12"/>
    </row>
    <row r="13" spans="1:94" x14ac:dyDescent="0.15">
      <c r="A13" t="s">
        <v>88</v>
      </c>
      <c r="B13" s="32">
        <f t="shared" si="0"/>
        <v>-100</v>
      </c>
      <c r="C13" s="57"/>
      <c r="D13" s="11"/>
      <c r="E13" s="11"/>
      <c r="F13" s="11"/>
      <c r="G13" s="11"/>
      <c r="H13" s="11"/>
      <c r="I13">
        <v>7</v>
      </c>
      <c r="J13" s="67" t="s">
        <v>89</v>
      </c>
      <c r="K13" s="12">
        <v>86074</v>
      </c>
      <c r="L13" s="12">
        <v>86835.034938957862</v>
      </c>
      <c r="M13" s="12">
        <v>86074</v>
      </c>
      <c r="N13" s="12">
        <v>87057.225807540221</v>
      </c>
      <c r="O13" s="58">
        <v>86074</v>
      </c>
      <c r="P13" s="12">
        <v>87929.306091346429</v>
      </c>
      <c r="Q13" s="12">
        <v>86074</v>
      </c>
      <c r="R13" s="12">
        <v>86599.423790028828</v>
      </c>
      <c r="S13" s="12"/>
      <c r="T13" s="58"/>
      <c r="U13" s="12"/>
      <c r="V13" s="12"/>
      <c r="W13" s="12"/>
    </row>
    <row r="14" spans="1:94" x14ac:dyDescent="0.15">
      <c r="A14" t="s">
        <v>90</v>
      </c>
      <c r="B14" s="32">
        <f t="shared" si="0"/>
        <v>-100</v>
      </c>
      <c r="C14" s="57"/>
      <c r="D14" s="11"/>
      <c r="E14" s="11"/>
      <c r="F14" s="11"/>
      <c r="G14" s="11"/>
      <c r="H14" s="11"/>
      <c r="I14">
        <v>8</v>
      </c>
      <c r="J14" s="67" t="s">
        <v>91</v>
      </c>
      <c r="K14" s="12">
        <v>203.45097398945219</v>
      </c>
      <c r="L14" s="12">
        <v>197.18116680044693</v>
      </c>
      <c r="M14" s="12">
        <v>203.45097398945219</v>
      </c>
      <c r="N14" s="12">
        <v>195.51262324891999</v>
      </c>
      <c r="O14" s="58">
        <v>203.45097398945219</v>
      </c>
      <c r="P14" s="12">
        <v>195.51262324892005</v>
      </c>
      <c r="Q14" s="12">
        <v>203.45097398945219</v>
      </c>
      <c r="R14" s="12">
        <v>195.51262324892011</v>
      </c>
      <c r="S14" s="12"/>
      <c r="T14" s="58"/>
      <c r="U14" s="12"/>
      <c r="V14" s="12"/>
      <c r="W14" s="12"/>
    </row>
    <row r="15" spans="1:94" x14ac:dyDescent="0.15">
      <c r="A15" t="s">
        <v>92</v>
      </c>
      <c r="B15" s="32">
        <f t="shared" si="0"/>
        <v>-100</v>
      </c>
      <c r="C15" s="57"/>
      <c r="D15" s="11"/>
      <c r="E15" s="11"/>
      <c r="F15" s="11"/>
      <c r="G15" s="11"/>
      <c r="H15" s="11"/>
      <c r="I15">
        <v>9</v>
      </c>
      <c r="J15" s="67" t="s">
        <v>93</v>
      </c>
      <c r="K15" s="12">
        <v>1138.4333324310867</v>
      </c>
      <c r="L15" s="12">
        <v>1143.307608520887</v>
      </c>
      <c r="M15" s="12">
        <v>1138.4333324310867</v>
      </c>
      <c r="N15" s="12">
        <v>1144.1643355907213</v>
      </c>
      <c r="O15" s="58">
        <v>1138.4333324310867</v>
      </c>
      <c r="P15" s="12">
        <v>1145.21746731454</v>
      </c>
      <c r="Q15" s="12">
        <v>1138.4333324310867</v>
      </c>
      <c r="R15" s="12">
        <v>1143.4276444242068</v>
      </c>
      <c r="S15" s="12"/>
      <c r="T15" s="58"/>
      <c r="U15" s="12"/>
      <c r="V15" s="12"/>
      <c r="W15" s="12"/>
    </row>
    <row r="16" spans="1:94" x14ac:dyDescent="0.15">
      <c r="A16" t="s">
        <v>94</v>
      </c>
      <c r="B16" s="32">
        <f t="shared" si="0"/>
        <v>-100</v>
      </c>
      <c r="C16" s="57"/>
      <c r="D16" s="11"/>
      <c r="E16" s="11"/>
      <c r="F16" s="11"/>
      <c r="G16" s="11"/>
      <c r="H16" s="11"/>
      <c r="I16">
        <v>10</v>
      </c>
      <c r="J16" s="67" t="s">
        <v>95</v>
      </c>
      <c r="K16" s="12">
        <v>27047.013096513001</v>
      </c>
      <c r="L16" s="12">
        <v>27215.719362871943</v>
      </c>
      <c r="M16" s="12">
        <v>27047.013096513001</v>
      </c>
      <c r="N16" s="12">
        <v>27175.054479170245</v>
      </c>
      <c r="O16" s="58">
        <v>27047.013096513001</v>
      </c>
      <c r="P16" s="12">
        <v>27175.054479170238</v>
      </c>
      <c r="Q16" s="12">
        <v>27047.013096513001</v>
      </c>
      <c r="R16" s="12">
        <v>27175.054479170238</v>
      </c>
      <c r="S16" s="12"/>
      <c r="T16" s="58"/>
      <c r="U16" s="12"/>
      <c r="V16" s="12"/>
      <c r="W16" s="12"/>
    </row>
    <row r="17" spans="1:25" x14ac:dyDescent="0.15">
      <c r="A17" t="s">
        <v>96</v>
      </c>
      <c r="B17" s="32">
        <f t="shared" si="0"/>
        <v>-100</v>
      </c>
      <c r="C17" s="57"/>
      <c r="D17" s="11"/>
      <c r="E17" s="11"/>
      <c r="F17" s="11"/>
      <c r="G17" s="11"/>
      <c r="H17" s="11"/>
      <c r="I17">
        <v>11</v>
      </c>
      <c r="J17" s="67" t="s">
        <v>97</v>
      </c>
      <c r="K17" s="12">
        <v>12317.699403780631</v>
      </c>
      <c r="L17" s="12">
        <v>13695.423257406315</v>
      </c>
      <c r="M17" s="12">
        <v>12317.699403780631</v>
      </c>
      <c r="N17" s="12">
        <v>13651.434391804822</v>
      </c>
      <c r="O17" s="58">
        <v>12317.699403780631</v>
      </c>
      <c r="P17" s="12">
        <v>13651.434391804825</v>
      </c>
      <c r="Q17" s="12">
        <v>12317.699403780631</v>
      </c>
      <c r="R17" s="12">
        <v>13651.434391804825</v>
      </c>
      <c r="S17" s="12"/>
      <c r="T17" s="58"/>
      <c r="U17" s="12"/>
      <c r="V17" s="12"/>
      <c r="W17" s="12"/>
    </row>
    <row r="18" spans="1:25" x14ac:dyDescent="0.15">
      <c r="A18" t="s">
        <v>98</v>
      </c>
      <c r="B18" s="32">
        <f t="shared" si="0"/>
        <v>-100</v>
      </c>
      <c r="C18" s="57"/>
      <c r="D18" s="11"/>
      <c r="E18" s="11"/>
      <c r="F18" s="11"/>
      <c r="G18" s="11"/>
      <c r="H18" s="11"/>
      <c r="I18">
        <v>12</v>
      </c>
      <c r="J18" s="67" t="s">
        <v>121</v>
      </c>
      <c r="K18" s="12">
        <v>10650</v>
      </c>
      <c r="L18" s="12">
        <v>10537.209944595646</v>
      </c>
      <c r="M18" s="12">
        <v>10650</v>
      </c>
      <c r="N18" s="12">
        <v>10521.430313105056</v>
      </c>
      <c r="O18" s="58">
        <v>10650</v>
      </c>
      <c r="P18" s="12">
        <v>10521.430313105038</v>
      </c>
      <c r="Q18" s="12">
        <v>10650</v>
      </c>
      <c r="R18" s="12">
        <v>10521.430313105038</v>
      </c>
      <c r="S18" s="12"/>
      <c r="T18" s="58"/>
      <c r="U18" s="12"/>
      <c r="V18" s="12"/>
      <c r="W18" s="12"/>
    </row>
    <row r="19" spans="1:25" x14ac:dyDescent="0.15">
      <c r="A19" t="s">
        <v>100</v>
      </c>
      <c r="B19" s="32">
        <f t="shared" si="0"/>
        <v>-100</v>
      </c>
      <c r="C19" s="57"/>
      <c r="D19" s="11"/>
      <c r="E19" s="11"/>
      <c r="F19" s="11"/>
      <c r="G19" s="11"/>
      <c r="H19" s="11"/>
      <c r="I19">
        <v>13</v>
      </c>
      <c r="J19" s="67" t="s">
        <v>99</v>
      </c>
      <c r="K19" s="12">
        <v>3184.7093324310868</v>
      </c>
      <c r="L19" s="12">
        <v>3282.6856114835114</v>
      </c>
      <c r="M19" s="12">
        <v>3184.7093324310868</v>
      </c>
      <c r="N19" s="12">
        <v>3334.1695821762919</v>
      </c>
      <c r="O19" s="58">
        <v>3184.7093324310868</v>
      </c>
      <c r="P19" s="12">
        <v>3375.0915863703794</v>
      </c>
      <c r="Q19" s="12">
        <v>3184.7093324310868</v>
      </c>
      <c r="R19" s="12">
        <v>3303.2991006181196</v>
      </c>
      <c r="S19" s="12"/>
      <c r="T19" s="58"/>
      <c r="U19" s="12"/>
      <c r="V19" s="12"/>
      <c r="W19" s="12"/>
    </row>
    <row r="20" spans="1:25" x14ac:dyDescent="0.15">
      <c r="A20" t="s">
        <v>102</v>
      </c>
      <c r="B20" s="32">
        <f t="shared" si="0"/>
        <v>-100</v>
      </c>
      <c r="C20" s="57"/>
      <c r="D20" s="11"/>
      <c r="E20" s="11"/>
      <c r="F20" s="11"/>
      <c r="G20" s="11"/>
      <c r="H20" s="11"/>
      <c r="I20">
        <v>14</v>
      </c>
      <c r="J20" s="67" t="s">
        <v>122</v>
      </c>
      <c r="K20" s="12">
        <v>1.8353650000000099</v>
      </c>
      <c r="L20" s="12">
        <v>1.8391447899346591</v>
      </c>
      <c r="M20" s="12">
        <v>1.8353650000000099</v>
      </c>
      <c r="N20" s="12">
        <v>1.87180519840017</v>
      </c>
      <c r="O20" s="58">
        <v>1.8353650000000099</v>
      </c>
      <c r="P20" s="12">
        <v>1.8961775244360255</v>
      </c>
      <c r="Q20" s="12">
        <v>1.8353650000000099</v>
      </c>
      <c r="R20" s="12">
        <v>1.8534195768826962</v>
      </c>
      <c r="S20" s="12"/>
      <c r="T20" s="58"/>
      <c r="U20" s="12"/>
      <c r="V20" s="12"/>
      <c r="W20" s="12"/>
    </row>
    <row r="21" spans="1:25" x14ac:dyDescent="0.15">
      <c r="A21" t="s">
        <v>104</v>
      </c>
      <c r="B21" s="32">
        <f t="shared" si="0"/>
        <v>-100</v>
      </c>
      <c r="C21" s="57"/>
      <c r="D21" s="11"/>
      <c r="E21" s="11"/>
      <c r="F21" s="11"/>
      <c r="G21" s="11"/>
      <c r="H21" s="11"/>
      <c r="J21" s="67" t="s">
        <v>101</v>
      </c>
      <c r="K21" s="12">
        <v>3151.685585040047</v>
      </c>
      <c r="L21" s="12">
        <v>3535.058962863588</v>
      </c>
      <c r="M21" s="12">
        <v>3151.685585040047</v>
      </c>
      <c r="N21" s="12">
        <v>3584.317352786833</v>
      </c>
      <c r="O21" s="58">
        <v>3151.685585040047</v>
      </c>
      <c r="P21" s="12">
        <v>3627.4203980743882</v>
      </c>
      <c r="Q21" s="12">
        <v>3151.685585040047</v>
      </c>
      <c r="R21" s="12">
        <v>3551.8017157714303</v>
      </c>
      <c r="S21" s="12"/>
      <c r="T21" s="58"/>
      <c r="U21" s="12"/>
      <c r="V21" s="12"/>
      <c r="W21" s="12"/>
    </row>
    <row r="22" spans="1:25" x14ac:dyDescent="0.15">
      <c r="A22" t="s">
        <v>106</v>
      </c>
      <c r="B22" s="32" t="e">
        <f t="shared" si="0"/>
        <v>#DIV/0!</v>
      </c>
      <c r="C22" s="57"/>
      <c r="D22" s="11"/>
      <c r="E22" s="11"/>
      <c r="F22" s="11"/>
      <c r="G22" s="11"/>
      <c r="H22" s="11"/>
      <c r="J22" s="67" t="s">
        <v>236</v>
      </c>
      <c r="K22" s="12"/>
      <c r="L22" s="12"/>
      <c r="M22" s="12"/>
      <c r="N22" s="12">
        <v>453.05213685159299</v>
      </c>
      <c r="O22" s="58"/>
      <c r="P22" s="12">
        <v>1240.0298671263358</v>
      </c>
      <c r="Q22" s="12"/>
      <c r="R22" s="12">
        <v>59.391314701799899</v>
      </c>
      <c r="S22" s="12"/>
      <c r="T22" s="58"/>
      <c r="U22" s="12"/>
      <c r="V22" s="12"/>
      <c r="W22" s="12"/>
    </row>
    <row r="23" spans="1:25" x14ac:dyDescent="0.15">
      <c r="A23" t="s">
        <v>108</v>
      </c>
      <c r="B23" s="32">
        <f t="shared" si="0"/>
        <v>-100</v>
      </c>
      <c r="C23" s="57"/>
      <c r="D23" s="11"/>
      <c r="E23" s="11"/>
      <c r="F23" s="11"/>
      <c r="G23" s="11"/>
      <c r="H23" s="11"/>
      <c r="J23" s="67" t="s">
        <v>103</v>
      </c>
      <c r="K23" s="12">
        <v>82922.314414959954</v>
      </c>
      <c r="L23" s="12">
        <v>83299.975976094269</v>
      </c>
      <c r="M23" s="12">
        <v>82922.314414959954</v>
      </c>
      <c r="N23" s="12">
        <v>83019.856317901795</v>
      </c>
      <c r="O23" s="58">
        <v>82922.314414959954</v>
      </c>
      <c r="P23" s="12">
        <v>83061.855826145707</v>
      </c>
      <c r="Q23" s="12">
        <v>82922.314414959954</v>
      </c>
      <c r="R23" s="12">
        <v>82988.23075955559</v>
      </c>
      <c r="S23" s="12"/>
      <c r="T23" s="58"/>
      <c r="U23" s="12"/>
      <c r="V23" s="12"/>
      <c r="W23" s="12"/>
    </row>
    <row r="24" spans="1:25" x14ac:dyDescent="0.15">
      <c r="C24" s="57"/>
      <c r="D24" s="11"/>
      <c r="E24" s="11"/>
      <c r="F24" s="11"/>
      <c r="G24" s="11"/>
      <c r="H24" s="11"/>
      <c r="J24" s="67" t="s">
        <v>105</v>
      </c>
      <c r="K24" s="12">
        <v>1448.9095521001309</v>
      </c>
      <c r="L24" s="12">
        <v>1407.7247943496664</v>
      </c>
      <c r="M24" s="12">
        <v>1448.9095521001309</v>
      </c>
      <c r="N24" s="12">
        <v>1396.1588305009693</v>
      </c>
      <c r="O24" s="58">
        <v>1448.9095521001309</v>
      </c>
      <c r="P24" s="12">
        <v>1396.1588305009695</v>
      </c>
      <c r="Q24" s="12">
        <v>1448.9095521001309</v>
      </c>
      <c r="R24" s="12">
        <v>1396.15883050097</v>
      </c>
      <c r="S24" s="12"/>
      <c r="T24" s="58"/>
      <c r="U24" s="12"/>
      <c r="V24" s="12"/>
      <c r="W24" s="12"/>
    </row>
    <row r="25" spans="1:25" x14ac:dyDescent="0.15">
      <c r="A25" t="s">
        <v>110</v>
      </c>
      <c r="B25" s="32">
        <f t="shared" ref="B25:B35" si="1">(AD25/K25)^(1/19)*100-100</f>
        <v>-100</v>
      </c>
      <c r="C25" s="57"/>
      <c r="D25" s="11"/>
      <c r="E25" s="11"/>
      <c r="F25" s="11"/>
      <c r="G25" s="11"/>
      <c r="H25" s="11"/>
      <c r="J25" s="67" t="s">
        <v>107</v>
      </c>
      <c r="K25">
        <v>28582.62388480415</v>
      </c>
      <c r="L25">
        <v>27423.791046426049</v>
      </c>
      <c r="M25">
        <v>28582.62388480415</v>
      </c>
      <c r="N25">
        <v>27191.731410856268</v>
      </c>
      <c r="O25">
        <v>28582.62388480415</v>
      </c>
      <c r="P25">
        <v>27191.731410856271</v>
      </c>
      <c r="Q25">
        <v>28582.62388480415</v>
      </c>
      <c r="R25">
        <v>27191.731410856279</v>
      </c>
      <c r="T25"/>
      <c r="Y25"/>
    </row>
    <row r="26" spans="1:25" x14ac:dyDescent="0.15">
      <c r="A26" t="s">
        <v>111</v>
      </c>
      <c r="B26" s="32">
        <f t="shared" si="1"/>
        <v>-100</v>
      </c>
      <c r="C26" s="57"/>
      <c r="D26" s="11"/>
      <c r="E26" s="11"/>
      <c r="F26" s="11"/>
      <c r="G26" s="11"/>
      <c r="J26" s="67" t="s">
        <v>109</v>
      </c>
      <c r="K26">
        <v>26863.590667701483</v>
      </c>
      <c r="L26">
        <v>25941.22921983201</v>
      </c>
      <c r="M26">
        <v>26048.974797654882</v>
      </c>
      <c r="N26">
        <v>23962.375858657892</v>
      </c>
      <c r="O26">
        <v>26863.590667701483</v>
      </c>
      <c r="P26">
        <v>25222.527599117409</v>
      </c>
      <c r="Q26">
        <v>26863.590667701483</v>
      </c>
      <c r="R26">
        <v>25673.538022175038</v>
      </c>
      <c r="T26"/>
      <c r="Y26"/>
    </row>
    <row r="27" spans="1:25" x14ac:dyDescent="0.15">
      <c r="A27" t="s">
        <v>112</v>
      </c>
      <c r="B27" s="32" t="e">
        <f t="shared" si="1"/>
        <v>#DIV/0!</v>
      </c>
      <c r="C27" s="57"/>
      <c r="D27" s="11"/>
      <c r="E27" s="11"/>
      <c r="F27" s="11"/>
      <c r="G27" s="11"/>
      <c r="O27"/>
      <c r="T27"/>
      <c r="Y27"/>
    </row>
    <row r="28" spans="1:25" x14ac:dyDescent="0.15">
      <c r="A28" t="s">
        <v>113</v>
      </c>
      <c r="B28" s="32" t="e">
        <f t="shared" si="1"/>
        <v>#DIV/0!</v>
      </c>
      <c r="C28" s="57"/>
      <c r="D28" s="11"/>
      <c r="E28" s="11"/>
      <c r="F28" s="11"/>
      <c r="G28" s="11"/>
      <c r="O28"/>
      <c r="T28"/>
      <c r="Y28"/>
    </row>
    <row r="29" spans="1:25" x14ac:dyDescent="0.15">
      <c r="A29" t="s">
        <v>114</v>
      </c>
      <c r="B29" s="32" t="e">
        <f t="shared" si="1"/>
        <v>#DIV/0!</v>
      </c>
      <c r="C29" s="57"/>
      <c r="D29" s="11"/>
      <c r="E29" s="11"/>
      <c r="F29" s="11"/>
      <c r="G29" s="11"/>
      <c r="Y29"/>
    </row>
    <row r="30" spans="1:25" x14ac:dyDescent="0.15">
      <c r="A30" t="s">
        <v>115</v>
      </c>
      <c r="B30" s="32" t="e">
        <f t="shared" si="1"/>
        <v>#DIV/0!</v>
      </c>
      <c r="C30" s="57"/>
      <c r="D30" s="11"/>
      <c r="E30" s="11"/>
      <c r="F30" s="11"/>
      <c r="G30" s="11"/>
    </row>
    <row r="31" spans="1:25" x14ac:dyDescent="0.15">
      <c r="A31" t="s">
        <v>116</v>
      </c>
      <c r="B31" s="32" t="e">
        <f t="shared" si="1"/>
        <v>#DIV/0!</v>
      </c>
      <c r="C31" s="57"/>
      <c r="D31" s="11"/>
      <c r="E31" s="11"/>
      <c r="F31" s="11"/>
      <c r="G31" s="11"/>
    </row>
    <row r="32" spans="1:25" s="4" customFormat="1" x14ac:dyDescent="0.15">
      <c r="A32" s="4" t="s">
        <v>117</v>
      </c>
      <c r="B32" s="59" t="e">
        <f t="shared" si="1"/>
        <v>#DIV/0!</v>
      </c>
      <c r="C32" s="60"/>
      <c r="D32" s="56"/>
      <c r="E32" s="56"/>
      <c r="F32" s="56"/>
      <c r="G32" s="56"/>
      <c r="H32" s="56"/>
      <c r="I32" s="4" t="s">
        <v>123</v>
      </c>
    </row>
    <row r="33" spans="1:25" x14ac:dyDescent="0.15">
      <c r="A33" t="s">
        <v>118</v>
      </c>
      <c r="B33" s="32" t="e">
        <f t="shared" si="1"/>
        <v>#DIV/0!</v>
      </c>
      <c r="C33" s="57"/>
      <c r="D33" s="11"/>
      <c r="E33" s="11"/>
      <c r="F33" s="11"/>
      <c r="G33" s="11"/>
    </row>
    <row r="34" spans="1:25" x14ac:dyDescent="0.15">
      <c r="A34" t="s">
        <v>119</v>
      </c>
      <c r="B34" s="32" t="e">
        <f t="shared" si="1"/>
        <v>#DIV/0!</v>
      </c>
      <c r="C34" s="57"/>
      <c r="D34" s="11"/>
      <c r="E34" s="11"/>
      <c r="F34" s="11"/>
      <c r="G34" s="11"/>
      <c r="H34" s="11"/>
    </row>
    <row r="35" spans="1:25" x14ac:dyDescent="0.15">
      <c r="A35" t="s">
        <v>120</v>
      </c>
      <c r="B35" s="32" t="e">
        <f t="shared" si="1"/>
        <v>#DIV/0!</v>
      </c>
      <c r="C35" s="57"/>
      <c r="D35" s="11"/>
      <c r="E35" s="11"/>
      <c r="F35" s="11"/>
      <c r="G35" s="11"/>
      <c r="H35" s="11"/>
      <c r="O35"/>
      <c r="T35"/>
      <c r="Y35"/>
    </row>
    <row r="36" spans="1:25" x14ac:dyDescent="0.15">
      <c r="C36" s="57"/>
      <c r="D36" s="11"/>
      <c r="E36" s="11"/>
      <c r="F36" s="11"/>
      <c r="G36" s="11"/>
      <c r="H36" s="11"/>
      <c r="O36"/>
      <c r="T36"/>
      <c r="Y36"/>
    </row>
    <row r="37" spans="1:25" x14ac:dyDescent="0.15">
      <c r="C37" s="11"/>
      <c r="D37" s="11"/>
      <c r="E37" s="11"/>
      <c r="F37" s="11"/>
      <c r="G37" s="11"/>
      <c r="H37" s="11"/>
      <c r="O37"/>
      <c r="T37"/>
      <c r="Y37"/>
    </row>
    <row r="38" spans="1:25" x14ac:dyDescent="0.15">
      <c r="C38" s="11"/>
      <c r="D38" s="11"/>
      <c r="E38" s="11"/>
      <c r="F38" s="11"/>
      <c r="G38" s="11"/>
      <c r="H38" s="11"/>
      <c r="O38"/>
      <c r="T38"/>
      <c r="Y38"/>
    </row>
    <row r="39" spans="1:25" x14ac:dyDescent="0.15">
      <c r="C39" s="11"/>
      <c r="D39" s="11"/>
      <c r="E39" s="11"/>
      <c r="F39" s="11"/>
      <c r="G39" s="11"/>
      <c r="H39" s="11"/>
      <c r="O39"/>
      <c r="T39"/>
      <c r="Y39"/>
    </row>
    <row r="40" spans="1:25" x14ac:dyDescent="0.15">
      <c r="C40" s="11"/>
      <c r="D40" s="11"/>
      <c r="E40" s="11"/>
      <c r="F40" s="11"/>
      <c r="G40" s="11"/>
      <c r="H40" s="11"/>
    </row>
    <row r="41" spans="1:25" x14ac:dyDescent="0.15">
      <c r="C41" s="11"/>
      <c r="D41" s="11"/>
      <c r="E41" s="11"/>
      <c r="F41" s="11"/>
      <c r="G41" s="11"/>
      <c r="H41" s="11"/>
    </row>
    <row r="42" spans="1:25" x14ac:dyDescent="0.15">
      <c r="C42" s="11"/>
      <c r="D42" s="11"/>
      <c r="E42" s="11"/>
      <c r="F42" s="11"/>
      <c r="G42" s="11"/>
      <c r="H42" s="11"/>
    </row>
    <row r="43" spans="1:25" x14ac:dyDescent="0.15">
      <c r="C43" s="11"/>
      <c r="D43" s="11"/>
      <c r="E43" s="11"/>
      <c r="F43" s="11"/>
      <c r="G43" s="11"/>
      <c r="H43" s="11"/>
    </row>
    <row r="44" spans="1:25" x14ac:dyDescent="0.15">
      <c r="C44" s="11"/>
      <c r="D44" s="11"/>
      <c r="E44" s="11"/>
      <c r="F44" s="11"/>
      <c r="G44" s="11"/>
      <c r="H44" s="11"/>
    </row>
    <row r="45" spans="1:25" x14ac:dyDescent="0.15">
      <c r="C45" s="11"/>
      <c r="D45" s="11"/>
      <c r="E45" s="11"/>
      <c r="F45" s="11"/>
      <c r="G45" s="11"/>
      <c r="H45" s="11"/>
    </row>
    <row r="46" spans="1:25" x14ac:dyDescent="0.15">
      <c r="C46" s="11"/>
      <c r="D46" s="11"/>
      <c r="E46" s="11"/>
      <c r="F46" s="11"/>
      <c r="G46" s="11"/>
      <c r="H46" s="11"/>
    </row>
    <row r="47" spans="1:25" x14ac:dyDescent="0.15">
      <c r="C47" s="11"/>
      <c r="D47" s="11"/>
      <c r="E47" s="11"/>
      <c r="F47" s="11"/>
      <c r="G47" s="11"/>
      <c r="H47" s="11"/>
    </row>
    <row r="52" spans="3:8" x14ac:dyDescent="0.15">
      <c r="C52" s="11"/>
      <c r="D52" s="11"/>
      <c r="E52" s="11"/>
      <c r="F52" s="11"/>
      <c r="G52" s="11"/>
      <c r="H52" s="11"/>
    </row>
    <row r="54" spans="3:8" x14ac:dyDescent="0.15">
      <c r="C54" s="11"/>
      <c r="D54" s="11"/>
      <c r="E54" s="11"/>
      <c r="F54" s="11"/>
      <c r="G54" s="11"/>
      <c r="H54" s="11"/>
    </row>
    <row r="55" spans="3:8" x14ac:dyDescent="0.15">
      <c r="C55" s="11"/>
      <c r="D55" s="11"/>
      <c r="E55" s="11"/>
      <c r="F55" s="11"/>
      <c r="G55" s="11"/>
      <c r="H55" s="11"/>
    </row>
    <row r="56" spans="3:8" x14ac:dyDescent="0.15">
      <c r="C56" s="11"/>
      <c r="D56" s="11"/>
      <c r="E56" s="11"/>
      <c r="F56" s="11"/>
      <c r="G56" s="11"/>
      <c r="H56" s="11"/>
    </row>
    <row r="57" spans="3:8" x14ac:dyDescent="0.15">
      <c r="C57" s="11"/>
      <c r="D57" s="11"/>
      <c r="E57" s="11"/>
      <c r="F57" s="11"/>
      <c r="G57" s="11"/>
      <c r="H57" s="11"/>
    </row>
    <row r="58" spans="3:8" x14ac:dyDescent="0.15">
      <c r="C58" s="11"/>
      <c r="D58" s="11"/>
      <c r="E58" s="11"/>
      <c r="F58" s="11"/>
      <c r="G58" s="11"/>
      <c r="H58" s="11"/>
    </row>
    <row r="59" spans="3:8" x14ac:dyDescent="0.15">
      <c r="C59" s="11"/>
      <c r="D59" s="11"/>
      <c r="E59" s="11"/>
      <c r="F59" s="11"/>
      <c r="G59" s="11"/>
      <c r="H59" s="11"/>
    </row>
    <row r="60" spans="3:8" x14ac:dyDescent="0.15">
      <c r="C60" s="11"/>
      <c r="D60" s="11"/>
      <c r="E60" s="11"/>
      <c r="F60" s="11"/>
      <c r="G60" s="11"/>
      <c r="H60" s="11"/>
    </row>
    <row r="61" spans="3:8" x14ac:dyDescent="0.15">
      <c r="C61" s="11"/>
      <c r="D61" s="11"/>
      <c r="E61" s="11"/>
      <c r="F61" s="11"/>
      <c r="G61" s="11"/>
      <c r="H61" s="11"/>
    </row>
    <row r="62" spans="3:8" x14ac:dyDescent="0.15">
      <c r="C62" s="11"/>
      <c r="D62" s="11"/>
      <c r="E62" s="11"/>
      <c r="F62" s="11"/>
      <c r="G62" s="11"/>
      <c r="H62" s="11"/>
    </row>
    <row r="63" spans="3:8" x14ac:dyDescent="0.15">
      <c r="C63" s="11"/>
      <c r="D63" s="11"/>
      <c r="E63" s="11"/>
      <c r="F63" s="11"/>
      <c r="G63" s="11"/>
      <c r="H63" s="11"/>
    </row>
    <row r="64" spans="3:8" x14ac:dyDescent="0.15">
      <c r="C64" s="11"/>
      <c r="D64" s="11"/>
      <c r="E64" s="11"/>
      <c r="F64" s="11"/>
      <c r="G64" s="11"/>
      <c r="H64" s="11"/>
    </row>
    <row r="65" spans="3:8" x14ac:dyDescent="0.15">
      <c r="C65" s="11"/>
      <c r="D65" s="11"/>
      <c r="E65" s="11"/>
      <c r="F65" s="11"/>
      <c r="G65" s="11"/>
      <c r="H65" s="11"/>
    </row>
    <row r="66" spans="3:8" x14ac:dyDescent="0.15">
      <c r="C66" s="11"/>
      <c r="D66" s="11"/>
      <c r="E66" s="11"/>
      <c r="F66" s="11"/>
      <c r="G66" s="11"/>
      <c r="H66" s="11"/>
    </row>
    <row r="67" spans="3:8" x14ac:dyDescent="0.15">
      <c r="C67" s="11"/>
      <c r="D67" s="11"/>
      <c r="E67" s="11"/>
      <c r="F67" s="11"/>
      <c r="G67" s="11"/>
      <c r="H67" s="11"/>
    </row>
    <row r="72" spans="3:8" x14ac:dyDescent="0.15">
      <c r="C72" s="11"/>
      <c r="D72" s="11"/>
      <c r="E72" s="11"/>
      <c r="F72" s="11"/>
      <c r="G72" s="11"/>
      <c r="H72" s="11"/>
    </row>
    <row r="74" spans="3:8" x14ac:dyDescent="0.15">
      <c r="C74" s="11"/>
      <c r="D74" s="11"/>
      <c r="E74" s="11"/>
      <c r="F74" s="11"/>
      <c r="G74" s="11"/>
      <c r="H74" s="11"/>
    </row>
    <row r="75" spans="3:8" x14ac:dyDescent="0.15">
      <c r="C75" s="11"/>
      <c r="D75" s="11"/>
      <c r="E75" s="11"/>
      <c r="F75" s="11"/>
      <c r="G75" s="11"/>
      <c r="H75" s="11"/>
    </row>
    <row r="76" spans="3:8" x14ac:dyDescent="0.15">
      <c r="C76" s="11"/>
      <c r="D76" s="11"/>
      <c r="E76" s="11"/>
      <c r="F76" s="11"/>
      <c r="G76" s="11"/>
      <c r="H76" s="11"/>
    </row>
    <row r="77" spans="3:8" x14ac:dyDescent="0.15">
      <c r="C77" s="11"/>
      <c r="D77" s="11"/>
      <c r="E77" s="11"/>
      <c r="F77" s="11"/>
      <c r="G77" s="11"/>
      <c r="H77" s="11"/>
    </row>
    <row r="78" spans="3:8" x14ac:dyDescent="0.15">
      <c r="C78" s="11"/>
      <c r="D78" s="11"/>
      <c r="E78" s="11"/>
      <c r="F78" s="11"/>
      <c r="G78" s="11"/>
      <c r="H78" s="11"/>
    </row>
    <row r="79" spans="3:8" x14ac:dyDescent="0.15">
      <c r="C79" s="11"/>
      <c r="D79" s="11"/>
      <c r="E79" s="11"/>
      <c r="F79" s="11"/>
      <c r="G79" s="11"/>
      <c r="H79" s="11"/>
    </row>
    <row r="80" spans="3:8" x14ac:dyDescent="0.15">
      <c r="C80" s="11"/>
      <c r="D80" s="11"/>
      <c r="E80" s="11"/>
      <c r="F80" s="11"/>
      <c r="G80" s="11"/>
      <c r="H80" s="11"/>
    </row>
    <row r="81" spans="3:8" x14ac:dyDescent="0.15">
      <c r="C81" s="11"/>
      <c r="D81" s="11"/>
      <c r="E81" s="11"/>
      <c r="F81" s="11"/>
      <c r="G81" s="11"/>
      <c r="H81" s="11"/>
    </row>
    <row r="82" spans="3:8" x14ac:dyDescent="0.15">
      <c r="C82" s="11"/>
      <c r="D82" s="11"/>
      <c r="E82" s="11"/>
      <c r="F82" s="11"/>
      <c r="G82" s="11"/>
      <c r="H82" s="11"/>
    </row>
    <row r="83" spans="3:8" x14ac:dyDescent="0.15">
      <c r="C83" s="11"/>
      <c r="D83" s="11"/>
      <c r="E83" s="11"/>
      <c r="F83" s="11"/>
      <c r="G83" s="11"/>
      <c r="H83" s="11"/>
    </row>
    <row r="84" spans="3:8" x14ac:dyDescent="0.15">
      <c r="C84" s="11"/>
      <c r="D84" s="11"/>
      <c r="E84" s="11"/>
      <c r="F84" s="11"/>
      <c r="G84" s="11"/>
      <c r="H84" s="11"/>
    </row>
    <row r="85" spans="3:8" x14ac:dyDescent="0.15">
      <c r="C85" s="11"/>
      <c r="D85" s="11"/>
      <c r="E85" s="11"/>
      <c r="F85" s="11"/>
      <c r="G85" s="11"/>
      <c r="H85" s="11"/>
    </row>
    <row r="86" spans="3:8" x14ac:dyDescent="0.15">
      <c r="C86" s="11"/>
      <c r="D86" s="11"/>
      <c r="E86" s="11"/>
      <c r="F86" s="11"/>
      <c r="G86" s="11"/>
      <c r="H86" s="11"/>
    </row>
    <row r="87" spans="3:8" x14ac:dyDescent="0.15">
      <c r="C87" s="11"/>
      <c r="D87" s="11"/>
      <c r="E87" s="11"/>
      <c r="F87" s="11"/>
      <c r="G87" s="11"/>
      <c r="H87" s="11"/>
    </row>
  </sheetData>
  <phoneticPr fontId="14" type="noConversion"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I4:CP9"/>
  <sheetViews>
    <sheetView workbookViewId="0">
      <selection activeCell="I5" sqref="I5"/>
    </sheetView>
  </sheetViews>
  <sheetFormatPr defaultColWidth="9" defaultRowHeight="13.5" x14ac:dyDescent="0.15"/>
  <cols>
    <col min="9" max="9" width="11.125" customWidth="1"/>
    <col min="14" max="14" width="9" style="4"/>
  </cols>
  <sheetData>
    <row r="4" spans="9:94" ht="14.25" x14ac:dyDescent="0.15">
      <c r="I4" t="s">
        <v>124</v>
      </c>
      <c r="J4" s="54">
        <v>6.4512</v>
      </c>
      <c r="K4" s="54">
        <v>6.7208249999999996</v>
      </c>
      <c r="L4" s="54">
        <v>7.0422500000000001</v>
      </c>
      <c r="M4" s="54">
        <v>6.7386845690238504</v>
      </c>
      <c r="N4" s="54">
        <v>6.61140109601146</v>
      </c>
      <c r="O4" s="54">
        <v>6.5208986469806502</v>
      </c>
      <c r="P4" s="54">
        <v>6.5132847694045601</v>
      </c>
      <c r="Q4" s="54">
        <v>6.4965676351724602</v>
      </c>
      <c r="R4" s="54">
        <v>6.4798934074900902</v>
      </c>
      <c r="S4" s="54">
        <v>6.4632619762326202</v>
      </c>
      <c r="T4" s="54">
        <v>6.4466732315578197</v>
      </c>
      <c r="U4" s="54">
        <v>6.4301270639054096</v>
      </c>
      <c r="V4" s="54">
        <v>6.4136233639963098</v>
      </c>
      <c r="W4" s="54">
        <v>6.3971620228319104</v>
      </c>
      <c r="X4" s="54">
        <v>6.3896926215862901</v>
      </c>
      <c r="Y4" s="54">
        <v>6.3822319417009901</v>
      </c>
      <c r="Z4" s="54">
        <v>6.3747799729928296</v>
      </c>
      <c r="AA4" s="54">
        <v>6.3673367052905503</v>
      </c>
      <c r="AB4" s="54">
        <v>6.3599021284347499</v>
      </c>
      <c r="AC4" s="54">
        <v>6.3524762322778896</v>
      </c>
      <c r="AD4" s="54">
        <v>6.3450590066843002</v>
      </c>
      <c r="AE4" s="54">
        <v>6.33765044153012</v>
      </c>
      <c r="AF4" s="54">
        <v>6.3302505267033098</v>
      </c>
      <c r="AG4" s="54">
        <v>6.32285925210366</v>
      </c>
      <c r="AH4" s="54">
        <v>6.3154766076427302</v>
      </c>
      <c r="AI4" s="54">
        <v>6.3081025832438797</v>
      </c>
      <c r="AJ4" s="54">
        <v>6.3007371688422102</v>
      </c>
      <c r="AK4" s="54">
        <v>6.2933803543845999</v>
      </c>
      <c r="AL4" s="54">
        <v>6.2860321298296498</v>
      </c>
      <c r="AM4" s="54">
        <v>6.2786924851476904</v>
      </c>
    </row>
    <row r="6" spans="9:94" x14ac:dyDescent="0.15">
      <c r="K6" s="67" t="s">
        <v>73</v>
      </c>
      <c r="L6" s="67" t="s">
        <v>73</v>
      </c>
      <c r="M6" s="67" t="s">
        <v>315</v>
      </c>
      <c r="N6" s="69" t="s">
        <v>315</v>
      </c>
      <c r="O6" s="67" t="s">
        <v>316</v>
      </c>
      <c r="P6" s="67" t="s">
        <v>316</v>
      </c>
      <c r="Q6" s="67" t="s">
        <v>317</v>
      </c>
      <c r="R6" s="67" t="s">
        <v>317</v>
      </c>
      <c r="S6" s="67"/>
      <c r="T6" s="67"/>
      <c r="U6" s="67"/>
      <c r="V6" s="67"/>
      <c r="W6" s="67"/>
      <c r="X6" s="67"/>
      <c r="Y6" s="67"/>
      <c r="Z6" s="67"/>
      <c r="AA6" s="67"/>
      <c r="AB6" s="67"/>
      <c r="AC6" s="67"/>
      <c r="AD6" s="67"/>
      <c r="AE6" s="67"/>
      <c r="AF6" s="67"/>
      <c r="AG6" s="67"/>
      <c r="AH6" s="67"/>
      <c r="AI6" s="67"/>
      <c r="AJ6" s="67"/>
      <c r="AK6" s="67"/>
      <c r="AL6" s="67"/>
      <c r="AM6" s="67"/>
      <c r="AN6" s="67"/>
      <c r="AO6" s="67"/>
      <c r="AP6" s="67"/>
      <c r="AQ6" s="67"/>
      <c r="AR6" s="67"/>
      <c r="AS6" s="67"/>
      <c r="AT6" s="67"/>
      <c r="AU6" s="67"/>
      <c r="AV6" s="67"/>
      <c r="AW6" s="67"/>
      <c r="AX6" s="67"/>
      <c r="AY6" s="67"/>
      <c r="AZ6" s="67"/>
      <c r="BA6" s="67"/>
      <c r="BB6" s="67"/>
      <c r="BC6" s="67"/>
      <c r="BD6" s="67"/>
      <c r="BE6" s="67"/>
      <c r="BF6" s="67"/>
      <c r="BG6" s="67"/>
      <c r="BH6" s="67"/>
      <c r="BI6" s="67"/>
      <c r="BJ6" s="67"/>
      <c r="BK6" s="67"/>
      <c r="BL6" s="67"/>
      <c r="BM6" s="67"/>
      <c r="BN6" s="67"/>
      <c r="BO6" s="67"/>
      <c r="BP6" s="67"/>
      <c r="BQ6" s="67"/>
      <c r="BR6" s="67"/>
      <c r="BS6" s="67"/>
      <c r="BT6" s="67"/>
      <c r="BU6" s="67"/>
      <c r="BV6" s="67"/>
      <c r="BW6" s="67"/>
      <c r="BX6" s="67"/>
      <c r="BY6" s="67"/>
      <c r="BZ6" s="67"/>
      <c r="CA6" s="67"/>
      <c r="CB6" s="67"/>
      <c r="CC6" s="67"/>
      <c r="CD6" s="67"/>
      <c r="CE6" s="67"/>
      <c r="CF6" s="67"/>
      <c r="CG6" s="67"/>
      <c r="CH6" s="67"/>
      <c r="CI6" s="67"/>
      <c r="CJ6" s="67"/>
      <c r="CK6" s="67"/>
      <c r="CL6" s="67"/>
      <c r="CM6" s="67"/>
      <c r="CN6" s="67"/>
      <c r="CO6" s="67"/>
      <c r="CP6" s="67"/>
    </row>
    <row r="7" spans="9:94" x14ac:dyDescent="0.15">
      <c r="K7" s="67" t="s">
        <v>76</v>
      </c>
      <c r="L7" s="67" t="s">
        <v>77</v>
      </c>
      <c r="M7" s="67" t="s">
        <v>76</v>
      </c>
      <c r="N7" s="69" t="s">
        <v>77</v>
      </c>
      <c r="O7" s="67" t="s">
        <v>76</v>
      </c>
      <c r="P7" s="67" t="s">
        <v>77</v>
      </c>
      <c r="Q7" s="67" t="s">
        <v>76</v>
      </c>
      <c r="R7" s="67" t="s">
        <v>77</v>
      </c>
      <c r="S7" s="67"/>
      <c r="T7" s="67"/>
      <c r="U7" s="67"/>
      <c r="V7" s="67"/>
      <c r="W7" s="67"/>
      <c r="X7" s="67"/>
      <c r="Y7" s="67"/>
      <c r="Z7" s="67"/>
      <c r="AA7" s="67"/>
      <c r="AB7" s="67"/>
      <c r="AC7" s="67"/>
      <c r="AD7" s="67"/>
      <c r="AE7" s="67"/>
      <c r="AF7" s="67"/>
      <c r="AG7" s="67"/>
      <c r="AH7" s="67"/>
      <c r="AI7" s="67"/>
      <c r="AJ7" s="67"/>
      <c r="AK7" s="67"/>
      <c r="AL7" s="67"/>
      <c r="AM7" s="67"/>
      <c r="AN7" s="67"/>
      <c r="AO7" s="67"/>
      <c r="AP7" s="67"/>
      <c r="AQ7" s="67"/>
      <c r="AR7" s="67"/>
      <c r="AS7" s="67"/>
      <c r="AT7" s="67"/>
      <c r="AU7" s="67"/>
      <c r="AV7" s="67"/>
      <c r="AW7" s="67"/>
      <c r="AX7" s="67"/>
      <c r="AY7" s="67"/>
      <c r="AZ7" s="67"/>
      <c r="BA7" s="67"/>
      <c r="BB7" s="67"/>
      <c r="BC7" s="67"/>
      <c r="BD7" s="67"/>
      <c r="BE7" s="67"/>
      <c r="BF7" s="67"/>
      <c r="BG7" s="67"/>
      <c r="BH7" s="67"/>
      <c r="BI7" s="67"/>
      <c r="BJ7" s="67"/>
      <c r="BK7" s="67"/>
      <c r="BL7" s="67"/>
      <c r="BM7" s="67"/>
      <c r="BN7" s="67"/>
      <c r="BO7" s="67"/>
      <c r="BP7" s="67"/>
      <c r="BQ7" s="67"/>
      <c r="BR7" s="67"/>
      <c r="BS7" s="67"/>
      <c r="BT7" s="67"/>
      <c r="BU7" s="67"/>
      <c r="BV7" s="67"/>
      <c r="BW7" s="67"/>
      <c r="BX7" s="67"/>
      <c r="BY7" s="67"/>
      <c r="BZ7" s="67"/>
      <c r="CA7" s="67"/>
      <c r="CB7" s="67"/>
      <c r="CC7" s="67"/>
      <c r="CD7" s="67"/>
      <c r="CE7" s="67"/>
      <c r="CF7" s="67"/>
      <c r="CG7" s="67"/>
      <c r="CH7" s="67"/>
      <c r="CI7" s="67"/>
      <c r="CJ7" s="67"/>
      <c r="CK7" s="67"/>
      <c r="CL7" s="67"/>
      <c r="CM7" s="67"/>
      <c r="CN7" s="67"/>
      <c r="CO7" s="67"/>
      <c r="CP7" s="67"/>
    </row>
    <row r="8" spans="9:94" x14ac:dyDescent="0.15">
      <c r="I8" t="s">
        <v>125</v>
      </c>
      <c r="J8" s="67" t="s">
        <v>126</v>
      </c>
      <c r="K8">
        <v>99785.677170454626</v>
      </c>
      <c r="L8">
        <v>126902.63289767873</v>
      </c>
      <c r="M8">
        <v>99785.677170454626</v>
      </c>
      <c r="N8" s="4">
        <v>126902.63289767873</v>
      </c>
      <c r="O8">
        <v>99785.677170454626</v>
      </c>
      <c r="P8">
        <v>126902.63289767873</v>
      </c>
      <c r="Q8">
        <v>99785.677170454626</v>
      </c>
      <c r="R8">
        <v>126902.63289767873</v>
      </c>
    </row>
    <row r="9" spans="9:94" s="18" customFormat="1" x14ac:dyDescent="0.15">
      <c r="I9" s="18" t="s">
        <v>127</v>
      </c>
      <c r="N9" s="55"/>
    </row>
  </sheetData>
  <phoneticPr fontId="14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I6:CD10"/>
  <sheetViews>
    <sheetView workbookViewId="0">
      <selection activeCell="B13" sqref="B13"/>
    </sheetView>
  </sheetViews>
  <sheetFormatPr defaultColWidth="9" defaultRowHeight="13.5" x14ac:dyDescent="0.15"/>
  <cols>
    <col min="9" max="9" width="21.375" customWidth="1"/>
    <col min="10" max="10" width="23.5" customWidth="1"/>
  </cols>
  <sheetData>
    <row r="6" spans="9:82" x14ac:dyDescent="0.15">
      <c r="K6" s="67" t="s">
        <v>73</v>
      </c>
      <c r="L6" s="67" t="s">
        <v>73</v>
      </c>
      <c r="M6" s="67" t="s">
        <v>315</v>
      </c>
      <c r="N6" s="67" t="s">
        <v>315</v>
      </c>
      <c r="O6" s="67" t="s">
        <v>316</v>
      </c>
      <c r="P6" s="67" t="s">
        <v>316</v>
      </c>
      <c r="Q6" s="67" t="s">
        <v>317</v>
      </c>
      <c r="R6" s="67" t="s">
        <v>317</v>
      </c>
      <c r="S6" s="67"/>
      <c r="T6" s="67"/>
      <c r="U6" s="67"/>
      <c r="V6" s="67"/>
      <c r="W6" s="67"/>
      <c r="X6" s="67"/>
      <c r="Y6" s="67"/>
      <c r="Z6" s="67"/>
      <c r="AA6" s="67"/>
      <c r="AB6" s="67"/>
      <c r="AC6" s="67"/>
      <c r="AD6" s="67"/>
      <c r="AE6" s="67"/>
      <c r="AF6" s="67"/>
      <c r="AG6" s="67"/>
      <c r="AH6" s="67"/>
      <c r="AI6" s="67"/>
      <c r="AJ6" s="67"/>
      <c r="AK6" s="67"/>
      <c r="AL6" s="67"/>
      <c r="AM6" s="67"/>
      <c r="AN6" s="67"/>
      <c r="AO6" s="67"/>
      <c r="AP6" s="67"/>
      <c r="AQ6" s="67"/>
      <c r="AR6" s="67"/>
      <c r="AS6" s="67"/>
      <c r="AT6" s="67"/>
      <c r="AU6" s="67"/>
      <c r="AV6" s="67"/>
      <c r="AW6" s="67"/>
      <c r="AX6" s="67"/>
      <c r="AY6" s="67"/>
      <c r="AZ6" s="67"/>
      <c r="BA6" s="67"/>
      <c r="BB6" s="67"/>
      <c r="BC6" s="67"/>
      <c r="BD6" s="67"/>
      <c r="BE6" s="67"/>
      <c r="BF6" s="67"/>
      <c r="BG6" s="67"/>
      <c r="BH6" s="67"/>
      <c r="BI6" s="67"/>
      <c r="BJ6" s="67"/>
      <c r="BK6" s="67"/>
      <c r="BL6" s="67"/>
      <c r="BM6" s="67"/>
      <c r="BN6" s="67"/>
      <c r="BO6" s="67"/>
      <c r="BP6" s="67"/>
      <c r="BQ6" s="67"/>
      <c r="BR6" s="67"/>
      <c r="BS6" s="67"/>
      <c r="BT6" s="67"/>
      <c r="BU6" s="67"/>
      <c r="BV6" s="67"/>
      <c r="BW6" s="67"/>
      <c r="BX6" s="67"/>
      <c r="BY6" s="67"/>
      <c r="BZ6" s="67"/>
      <c r="CA6" s="67"/>
      <c r="CB6" s="67"/>
      <c r="CC6" s="67"/>
      <c r="CD6" s="67"/>
    </row>
    <row r="7" spans="9:82" x14ac:dyDescent="0.15">
      <c r="K7" s="67" t="s">
        <v>76</v>
      </c>
      <c r="L7" s="67" t="s">
        <v>77</v>
      </c>
      <c r="M7" s="67" t="s">
        <v>76</v>
      </c>
      <c r="N7" s="67" t="s">
        <v>77</v>
      </c>
      <c r="O7" s="67" t="s">
        <v>76</v>
      </c>
      <c r="P7" s="67" t="s">
        <v>77</v>
      </c>
      <c r="Q7" s="67" t="s">
        <v>76</v>
      </c>
      <c r="R7" s="67" t="s">
        <v>77</v>
      </c>
      <c r="S7" s="67"/>
      <c r="T7" s="67"/>
      <c r="U7" s="67"/>
      <c r="V7" s="67"/>
      <c r="W7" s="67"/>
      <c r="X7" s="67"/>
      <c r="Y7" s="67"/>
      <c r="Z7" s="67"/>
      <c r="AA7" s="67"/>
      <c r="AB7" s="67"/>
      <c r="AC7" s="67"/>
      <c r="AD7" s="67"/>
      <c r="AE7" s="67"/>
      <c r="AF7" s="67"/>
      <c r="AG7" s="67"/>
      <c r="AH7" s="67"/>
      <c r="AI7" s="67"/>
      <c r="AJ7" s="67"/>
      <c r="AK7" s="67"/>
      <c r="AL7" s="67"/>
      <c r="AM7" s="67"/>
      <c r="AN7" s="67"/>
      <c r="AO7" s="67"/>
      <c r="AP7" s="67"/>
      <c r="AQ7" s="67"/>
      <c r="AR7" s="67"/>
      <c r="AS7" s="67"/>
      <c r="AT7" s="67"/>
      <c r="AU7" s="67"/>
      <c r="AV7" s="67"/>
      <c r="AW7" s="67"/>
      <c r="AX7" s="67"/>
      <c r="AY7" s="67"/>
      <c r="AZ7" s="67"/>
      <c r="BA7" s="67"/>
      <c r="BB7" s="67"/>
      <c r="BC7" s="67"/>
      <c r="BD7" s="67"/>
      <c r="BE7" s="67"/>
      <c r="BF7" s="67"/>
      <c r="BG7" s="67"/>
      <c r="BH7" s="67"/>
      <c r="BI7" s="67"/>
      <c r="BJ7" s="67"/>
      <c r="BK7" s="67"/>
      <c r="BL7" s="67"/>
      <c r="BM7" s="67"/>
      <c r="BN7" s="67"/>
      <c r="BO7" s="67"/>
      <c r="BP7" s="67"/>
      <c r="BQ7" s="67"/>
      <c r="BR7" s="67"/>
      <c r="BS7" s="67"/>
      <c r="BT7" s="67"/>
      <c r="BU7" s="67"/>
      <c r="BV7" s="67"/>
      <c r="BW7" s="67"/>
      <c r="BX7" s="67"/>
      <c r="BY7" s="67"/>
      <c r="BZ7" s="67"/>
      <c r="CA7" s="67"/>
      <c r="CB7" s="67"/>
      <c r="CC7" s="67"/>
      <c r="CD7" s="67"/>
    </row>
    <row r="8" spans="9:82" x14ac:dyDescent="0.15">
      <c r="I8" t="s">
        <v>128</v>
      </c>
      <c r="J8" s="67" t="s">
        <v>129</v>
      </c>
      <c r="K8">
        <v>33530.489977450976</v>
      </c>
      <c r="L8">
        <v>32478.755601616456</v>
      </c>
      <c r="M8">
        <v>32480.651512202345</v>
      </c>
      <c r="N8">
        <v>30016.284433042609</v>
      </c>
      <c r="O8">
        <v>33530.489977450976</v>
      </c>
      <c r="P8">
        <v>31727.316534010082</v>
      </c>
      <c r="Q8">
        <v>33530.489977450976</v>
      </c>
      <c r="R8">
        <v>32178.326957067715</v>
      </c>
    </row>
    <row r="9" spans="9:82" x14ac:dyDescent="0.15">
      <c r="I9" t="s">
        <v>130</v>
      </c>
      <c r="J9" s="67" t="s">
        <v>131</v>
      </c>
      <c r="K9">
        <v>31580.703945263427</v>
      </c>
      <c r="L9">
        <v>31176.350997691094</v>
      </c>
      <c r="M9">
        <v>31580.703945263427</v>
      </c>
      <c r="N9">
        <v>32559.912889024701</v>
      </c>
      <c r="O9">
        <v>30230.963531385201</v>
      </c>
      <c r="P9">
        <v>29834.052153618828</v>
      </c>
      <c r="Q9">
        <v>31580.703945263427</v>
      </c>
      <c r="R9">
        <v>32559.912889024657</v>
      </c>
    </row>
    <row r="10" spans="9:82" x14ac:dyDescent="0.15">
      <c r="I10" t="s">
        <v>132</v>
      </c>
      <c r="J10" s="67" t="s">
        <v>133</v>
      </c>
      <c r="K10">
        <v>65111.193922714403</v>
      </c>
      <c r="L10">
        <v>63655.106599307546</v>
      </c>
      <c r="M10">
        <v>64061.355457465776</v>
      </c>
      <c r="N10">
        <v>62576.19732206731</v>
      </c>
      <c r="O10">
        <v>63761.453508836174</v>
      </c>
      <c r="P10">
        <v>61561.368687628914</v>
      </c>
      <c r="Q10">
        <v>65111.193922714403</v>
      </c>
      <c r="R10">
        <v>64738.239846092372</v>
      </c>
    </row>
  </sheetData>
  <phoneticPr fontId="14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I6:CP10"/>
  <sheetViews>
    <sheetView topLeftCell="G1" workbookViewId="0">
      <selection activeCell="Y8" sqref="L8 Y8"/>
    </sheetView>
  </sheetViews>
  <sheetFormatPr defaultColWidth="9" defaultRowHeight="13.5" x14ac:dyDescent="0.15"/>
  <sheetData>
    <row r="6" spans="9:94" x14ac:dyDescent="0.15">
      <c r="K6" s="67" t="s">
        <v>73</v>
      </c>
      <c r="L6" s="67" t="s">
        <v>73</v>
      </c>
      <c r="M6" s="67" t="s">
        <v>315</v>
      </c>
      <c r="N6" s="67" t="s">
        <v>315</v>
      </c>
      <c r="O6" s="67" t="s">
        <v>316</v>
      </c>
      <c r="P6" s="67" t="s">
        <v>316</v>
      </c>
      <c r="Q6" s="67" t="s">
        <v>317</v>
      </c>
      <c r="R6" s="67" t="s">
        <v>317</v>
      </c>
      <c r="S6" s="67"/>
      <c r="T6" s="67"/>
      <c r="U6" s="67"/>
      <c r="V6" s="67"/>
      <c r="W6" s="67"/>
      <c r="X6" s="67"/>
      <c r="Y6" s="67"/>
      <c r="Z6" s="67"/>
      <c r="AA6" s="67"/>
      <c r="AB6" s="67"/>
      <c r="AC6" s="67"/>
      <c r="AD6" s="67"/>
      <c r="AE6" s="67"/>
      <c r="AF6" s="67"/>
      <c r="AG6" s="67"/>
      <c r="AH6" s="67"/>
      <c r="AI6" s="67"/>
      <c r="AJ6" s="67"/>
      <c r="AK6" s="67"/>
      <c r="AL6" s="67"/>
      <c r="AM6" s="67"/>
      <c r="AN6" s="67"/>
      <c r="AO6" s="67"/>
      <c r="AP6" s="67"/>
      <c r="AQ6" s="67"/>
      <c r="AR6" s="67"/>
      <c r="AS6" s="67"/>
      <c r="AT6" s="67"/>
      <c r="AU6" s="67"/>
      <c r="AV6" s="67"/>
      <c r="AW6" s="67"/>
      <c r="AX6" s="67"/>
      <c r="AY6" s="67"/>
      <c r="AZ6" s="67"/>
      <c r="BA6" s="67"/>
      <c r="BB6" s="67"/>
      <c r="BC6" s="67"/>
      <c r="BD6" s="67"/>
      <c r="BE6" s="67"/>
      <c r="BF6" s="67"/>
      <c r="BG6" s="67"/>
      <c r="BH6" s="67"/>
      <c r="BI6" s="67"/>
      <c r="BJ6" s="67"/>
      <c r="BK6" s="67"/>
      <c r="BL6" s="67"/>
      <c r="BM6" s="67"/>
      <c r="BN6" s="67"/>
      <c r="BO6" s="67"/>
      <c r="BP6" s="67"/>
      <c r="BQ6" s="67"/>
      <c r="BR6" s="67"/>
      <c r="BS6" s="67"/>
      <c r="BT6" s="67"/>
      <c r="BU6" s="67"/>
      <c r="BV6" s="67"/>
      <c r="BW6" s="67"/>
      <c r="BX6" s="67"/>
      <c r="BY6" s="67"/>
      <c r="BZ6" s="67"/>
      <c r="CA6" s="67"/>
      <c r="CB6" s="67"/>
      <c r="CC6" s="67"/>
      <c r="CD6" s="67"/>
      <c r="CE6" s="67"/>
      <c r="CF6" s="67"/>
      <c r="CG6" s="67"/>
      <c r="CH6" s="67"/>
      <c r="CI6" s="67"/>
      <c r="CJ6" s="67"/>
      <c r="CK6" s="67"/>
      <c r="CL6" s="67"/>
      <c r="CM6" s="67"/>
      <c r="CN6" s="67"/>
      <c r="CO6" s="67"/>
      <c r="CP6" s="67"/>
    </row>
    <row r="7" spans="9:94" x14ac:dyDescent="0.15">
      <c r="K7" s="67" t="s">
        <v>76</v>
      </c>
      <c r="L7" s="67" t="s">
        <v>77</v>
      </c>
      <c r="M7" s="67" t="s">
        <v>76</v>
      </c>
      <c r="N7" s="67" t="s">
        <v>77</v>
      </c>
      <c r="O7" s="67" t="s">
        <v>76</v>
      </c>
      <c r="P7" s="67" t="s">
        <v>77</v>
      </c>
      <c r="Q7" s="67" t="s">
        <v>76</v>
      </c>
      <c r="R7" s="67" t="s">
        <v>77</v>
      </c>
      <c r="S7" s="67"/>
      <c r="T7" s="67"/>
      <c r="U7" s="67"/>
      <c r="V7" s="67"/>
      <c r="W7" s="67"/>
      <c r="X7" s="67"/>
      <c r="Y7" s="67"/>
      <c r="Z7" s="67"/>
      <c r="AA7" s="67"/>
      <c r="AB7" s="67"/>
      <c r="AC7" s="67"/>
      <c r="AD7" s="67"/>
      <c r="AE7" s="67"/>
      <c r="AF7" s="67"/>
      <c r="AG7" s="67"/>
      <c r="AH7" s="67"/>
      <c r="AI7" s="67"/>
      <c r="AJ7" s="67"/>
      <c r="AK7" s="67"/>
      <c r="AL7" s="67"/>
      <c r="AM7" s="67"/>
      <c r="AN7" s="67"/>
      <c r="AO7" s="67"/>
      <c r="AP7" s="67"/>
      <c r="AQ7" s="67"/>
      <c r="AR7" s="67"/>
      <c r="AS7" s="67"/>
      <c r="AT7" s="67"/>
      <c r="AU7" s="67"/>
      <c r="AV7" s="67"/>
      <c r="AW7" s="67"/>
      <c r="AX7" s="67"/>
      <c r="AY7" s="67"/>
      <c r="AZ7" s="67"/>
      <c r="BA7" s="67"/>
      <c r="BB7" s="67"/>
      <c r="BC7" s="67"/>
      <c r="BD7" s="67"/>
      <c r="BE7" s="67"/>
      <c r="BF7" s="67"/>
      <c r="BG7" s="67"/>
      <c r="BH7" s="67"/>
      <c r="BI7" s="67"/>
      <c r="BJ7" s="67"/>
      <c r="BK7" s="67"/>
      <c r="BL7" s="67"/>
      <c r="BM7" s="67"/>
      <c r="BN7" s="67"/>
      <c r="BO7" s="67"/>
      <c r="BP7" s="67"/>
      <c r="BQ7" s="67"/>
      <c r="BR7" s="67"/>
      <c r="BS7" s="67"/>
      <c r="BT7" s="67"/>
      <c r="BU7" s="67"/>
      <c r="BV7" s="67"/>
      <c r="BW7" s="67"/>
      <c r="BX7" s="67"/>
      <c r="BY7" s="67"/>
      <c r="BZ7" s="67"/>
      <c r="CA7" s="67"/>
      <c r="CB7" s="67"/>
      <c r="CC7" s="67"/>
      <c r="CD7" s="67"/>
      <c r="CE7" s="67"/>
      <c r="CF7" s="67"/>
      <c r="CG7" s="67"/>
      <c r="CH7" s="67"/>
      <c r="CI7" s="67"/>
      <c r="CJ7" s="67"/>
      <c r="CK7" s="67"/>
      <c r="CL7" s="67"/>
      <c r="CM7" s="67"/>
      <c r="CN7" s="67"/>
      <c r="CO7" s="67"/>
      <c r="CP7" s="67"/>
    </row>
    <row r="8" spans="9:94" x14ac:dyDescent="0.15">
      <c r="I8" t="s">
        <v>123</v>
      </c>
      <c r="J8" s="67" t="s">
        <v>134</v>
      </c>
      <c r="K8">
        <v>140489</v>
      </c>
      <c r="L8">
        <v>139079.16</v>
      </c>
      <c r="M8">
        <v>140489</v>
      </c>
      <c r="N8">
        <v>139079.16</v>
      </c>
      <c r="O8">
        <v>140489</v>
      </c>
      <c r="P8">
        <v>139079.16</v>
      </c>
      <c r="Q8">
        <v>140489</v>
      </c>
      <c r="R8">
        <v>139079.16</v>
      </c>
    </row>
    <row r="9" spans="9:94" x14ac:dyDescent="0.15">
      <c r="I9" t="s">
        <v>135</v>
      </c>
      <c r="J9" s="67" t="s">
        <v>136</v>
      </c>
      <c r="K9">
        <v>95380</v>
      </c>
      <c r="L9">
        <v>98992.234634039996</v>
      </c>
      <c r="M9">
        <v>95380</v>
      </c>
      <c r="N9">
        <v>98992.234634039996</v>
      </c>
      <c r="O9">
        <v>95380</v>
      </c>
      <c r="P9">
        <v>98992.234634039996</v>
      </c>
      <c r="Q9">
        <v>95380</v>
      </c>
      <c r="R9">
        <v>98992.234634039996</v>
      </c>
    </row>
    <row r="10" spans="9:94" x14ac:dyDescent="0.15">
      <c r="I10" t="s">
        <v>137</v>
      </c>
      <c r="J10" s="67" t="s">
        <v>138</v>
      </c>
      <c r="K10">
        <v>0.67891436340211686</v>
      </c>
      <c r="L10">
        <v>0.71176899999999999</v>
      </c>
      <c r="M10">
        <v>0.67891436340211686</v>
      </c>
      <c r="N10">
        <v>0.71176899999999999</v>
      </c>
      <c r="O10">
        <v>0.67891436340211686</v>
      </c>
      <c r="P10">
        <v>0.71176899999999999</v>
      </c>
      <c r="Q10">
        <v>0.67891436340211686</v>
      </c>
      <c r="R10">
        <v>0.71176899999999999</v>
      </c>
    </row>
  </sheetData>
  <phoneticPr fontId="14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H6:CP19"/>
  <sheetViews>
    <sheetView topLeftCell="G1" workbookViewId="0">
      <pane xSplit="4" ySplit="7" topLeftCell="Y8" activePane="bottomRight" state="frozen"/>
      <selection pane="topRight"/>
      <selection pane="bottomLeft"/>
      <selection pane="bottomRight" activeCell="AK19" sqref="AK19"/>
    </sheetView>
  </sheetViews>
  <sheetFormatPr defaultColWidth="9" defaultRowHeight="13.5" x14ac:dyDescent="0.15"/>
  <cols>
    <col min="8" max="8" width="15.125" customWidth="1"/>
    <col min="9" max="9" width="11" customWidth="1"/>
    <col min="10" max="10" width="29.375" customWidth="1"/>
  </cols>
  <sheetData>
    <row r="6" spans="8:94" x14ac:dyDescent="0.15">
      <c r="K6" s="67" t="s">
        <v>73</v>
      </c>
      <c r="L6" s="67" t="s">
        <v>73</v>
      </c>
      <c r="M6" s="67" t="s">
        <v>315</v>
      </c>
      <c r="N6" s="67" t="s">
        <v>315</v>
      </c>
      <c r="O6" s="67" t="s">
        <v>316</v>
      </c>
      <c r="P6" s="67" t="s">
        <v>316</v>
      </c>
      <c r="Q6" s="67" t="s">
        <v>317</v>
      </c>
      <c r="R6" s="67" t="s">
        <v>317</v>
      </c>
      <c r="S6" s="67"/>
      <c r="T6" s="67"/>
      <c r="U6" s="67"/>
      <c r="V6" s="67"/>
      <c r="W6" s="67"/>
      <c r="X6" s="67"/>
      <c r="Y6" s="67"/>
      <c r="Z6" s="67"/>
      <c r="AA6" s="67"/>
      <c r="AB6" s="67"/>
      <c r="AC6" s="67"/>
      <c r="AD6" s="67"/>
      <c r="AE6" s="67"/>
      <c r="AF6" s="67"/>
      <c r="AG6" s="67"/>
      <c r="AH6" s="67"/>
      <c r="AI6" s="67"/>
      <c r="AJ6" s="67"/>
      <c r="AK6" s="67"/>
      <c r="AL6" s="67"/>
      <c r="AM6" s="67"/>
      <c r="AN6" s="67"/>
      <c r="AO6" s="67"/>
      <c r="AP6" s="67"/>
      <c r="AQ6" s="67"/>
      <c r="AR6" s="67"/>
      <c r="AS6" s="67"/>
      <c r="AT6" s="67"/>
      <c r="AU6" s="67"/>
      <c r="AV6" s="67"/>
      <c r="AW6" s="67"/>
      <c r="AX6" s="67"/>
      <c r="AY6" s="67"/>
      <c r="AZ6" s="67"/>
      <c r="BA6" s="67"/>
      <c r="BB6" s="67"/>
      <c r="BC6" s="67"/>
      <c r="BD6" s="67"/>
      <c r="BE6" s="67"/>
      <c r="BF6" s="67"/>
      <c r="BG6" s="67"/>
      <c r="BH6" s="67"/>
      <c r="BI6" s="67"/>
      <c r="BJ6" s="67"/>
      <c r="BK6" s="67"/>
      <c r="BL6" s="67"/>
      <c r="BM6" s="67"/>
      <c r="BN6" s="67"/>
      <c r="BO6" s="67"/>
      <c r="BP6" s="67"/>
      <c r="BQ6" s="67"/>
      <c r="BR6" s="67"/>
      <c r="BS6" s="67"/>
      <c r="BT6" s="67"/>
      <c r="BU6" s="67"/>
      <c r="BV6" s="67"/>
      <c r="BW6" s="67"/>
      <c r="BX6" s="67"/>
      <c r="BY6" s="67"/>
      <c r="BZ6" s="67"/>
      <c r="CA6" s="67"/>
      <c r="CB6" s="67"/>
      <c r="CC6" s="67"/>
      <c r="CD6" s="67"/>
      <c r="CE6" s="67"/>
      <c r="CF6" s="67"/>
      <c r="CG6" s="67"/>
      <c r="CH6" s="67"/>
      <c r="CI6" s="67"/>
      <c r="CJ6" s="67"/>
      <c r="CK6" s="67"/>
      <c r="CL6" s="67"/>
      <c r="CM6" s="67"/>
      <c r="CN6" s="67"/>
      <c r="CO6" s="67"/>
      <c r="CP6" s="67"/>
    </row>
    <row r="7" spans="8:94" x14ac:dyDescent="0.15">
      <c r="K7" s="67" t="s">
        <v>76</v>
      </c>
      <c r="L7" s="67" t="s">
        <v>77</v>
      </c>
      <c r="M7" s="67" t="s">
        <v>76</v>
      </c>
      <c r="N7" s="67" t="s">
        <v>77</v>
      </c>
      <c r="O7" s="67" t="s">
        <v>76</v>
      </c>
      <c r="P7" s="67" t="s">
        <v>77</v>
      </c>
      <c r="Q7" s="67" t="s">
        <v>76</v>
      </c>
      <c r="R7" s="67" t="s">
        <v>77</v>
      </c>
      <c r="S7" s="67"/>
      <c r="T7" s="67"/>
      <c r="U7" s="67"/>
      <c r="V7" s="67"/>
      <c r="W7" s="67"/>
      <c r="X7" s="67"/>
      <c r="Y7" s="67"/>
      <c r="Z7" s="67"/>
      <c r="AA7" s="67"/>
      <c r="AB7" s="67"/>
      <c r="AC7" s="67"/>
      <c r="AD7" s="67"/>
      <c r="AE7" s="67"/>
      <c r="AF7" s="67"/>
      <c r="AG7" s="67"/>
      <c r="AH7" s="67"/>
      <c r="AI7" s="67"/>
      <c r="AJ7" s="67"/>
      <c r="AK7" s="67"/>
      <c r="AL7" s="67"/>
      <c r="AM7" s="67"/>
      <c r="AN7" s="67"/>
      <c r="AO7" s="67"/>
      <c r="AP7" s="67"/>
      <c r="AQ7" s="67"/>
      <c r="AR7" s="67"/>
      <c r="AS7" s="67"/>
      <c r="AT7" s="67"/>
      <c r="AU7" s="67"/>
      <c r="AV7" s="67"/>
      <c r="AW7" s="67"/>
      <c r="AX7" s="67"/>
      <c r="AY7" s="67"/>
      <c r="AZ7" s="67"/>
      <c r="BA7" s="67"/>
      <c r="BB7" s="67"/>
      <c r="BC7" s="67"/>
      <c r="BD7" s="67"/>
      <c r="BE7" s="67"/>
      <c r="BF7" s="67"/>
      <c r="BG7" s="67"/>
      <c r="BH7" s="67"/>
      <c r="BI7" s="67"/>
      <c r="BJ7" s="67"/>
      <c r="BK7" s="67"/>
      <c r="BL7" s="67"/>
      <c r="BM7" s="67"/>
      <c r="BN7" s="67"/>
      <c r="BO7" s="67"/>
      <c r="BP7" s="67"/>
      <c r="BQ7" s="67"/>
      <c r="BR7" s="67"/>
      <c r="BS7" s="67"/>
      <c r="BT7" s="67"/>
      <c r="BU7" s="67"/>
      <c r="BV7" s="67"/>
      <c r="BW7" s="67"/>
      <c r="BX7" s="67"/>
      <c r="BY7" s="67"/>
      <c r="BZ7" s="67"/>
      <c r="CA7" s="67"/>
      <c r="CB7" s="67"/>
      <c r="CC7" s="67"/>
      <c r="CD7" s="67"/>
      <c r="CE7" s="67"/>
      <c r="CF7" s="67"/>
      <c r="CG7" s="67"/>
      <c r="CH7" s="67"/>
      <c r="CI7" s="67"/>
      <c r="CJ7" s="67"/>
      <c r="CK7" s="67"/>
      <c r="CL7" s="67"/>
      <c r="CM7" s="67"/>
      <c r="CN7" s="67"/>
      <c r="CO7" s="67"/>
      <c r="CP7" s="67"/>
    </row>
    <row r="8" spans="8:94" x14ac:dyDescent="0.15">
      <c r="H8" t="s">
        <v>139</v>
      </c>
      <c r="I8" t="s">
        <v>140</v>
      </c>
      <c r="J8" s="67" t="s">
        <v>105</v>
      </c>
      <c r="K8" s="53">
        <v>2993.8945193741024</v>
      </c>
      <c r="L8" s="53">
        <v>2985.4638247517528</v>
      </c>
      <c r="M8" s="53">
        <v>2993.8945193741024</v>
      </c>
      <c r="N8" s="53">
        <v>2996.8905597715657</v>
      </c>
      <c r="O8" s="53">
        <v>2993.8945193741024</v>
      </c>
      <c r="P8" s="53">
        <v>2996.8905597715652</v>
      </c>
      <c r="Q8" s="53">
        <v>2993.8945193741024</v>
      </c>
      <c r="R8" s="53">
        <v>2996.8905597715661</v>
      </c>
      <c r="S8" s="53"/>
      <c r="T8" s="53"/>
      <c r="U8" s="53"/>
      <c r="V8" s="53"/>
      <c r="W8" s="53"/>
      <c r="X8" s="53"/>
      <c r="Y8" s="53"/>
      <c r="Z8" s="53"/>
      <c r="AA8" s="53"/>
      <c r="AB8" s="53"/>
      <c r="AC8" s="53"/>
      <c r="AD8" s="53"/>
      <c r="AE8" s="53"/>
      <c r="AF8" s="53"/>
      <c r="AG8" s="53"/>
      <c r="AH8" s="53"/>
      <c r="AI8" s="53"/>
      <c r="AJ8" s="53"/>
      <c r="AK8" s="53"/>
      <c r="AL8" s="53"/>
      <c r="AM8" s="53"/>
      <c r="AN8" s="53"/>
      <c r="AO8" s="53"/>
      <c r="AP8" s="53"/>
      <c r="AQ8" s="53"/>
      <c r="AR8" s="53"/>
      <c r="AS8" s="53"/>
      <c r="AT8" s="53"/>
      <c r="AU8" s="53"/>
      <c r="AV8" s="53"/>
      <c r="AW8" s="53"/>
      <c r="AX8" s="53"/>
      <c r="AY8" s="53"/>
      <c r="AZ8" s="53"/>
    </row>
    <row r="9" spans="8:94" x14ac:dyDescent="0.15">
      <c r="I9" t="s">
        <v>141</v>
      </c>
      <c r="J9" s="67" t="s">
        <v>142</v>
      </c>
      <c r="K9" s="53">
        <v>96.002425492689895</v>
      </c>
      <c r="L9" s="53">
        <v>96.616760814534416</v>
      </c>
      <c r="M9" s="53">
        <v>96.002425492689895</v>
      </c>
      <c r="N9" s="53">
        <v>97.119895796868008</v>
      </c>
      <c r="O9" s="53">
        <v>96.002425492689895</v>
      </c>
      <c r="P9" s="53">
        <v>97.119895796868008</v>
      </c>
      <c r="Q9" s="53">
        <v>96.002425492689895</v>
      </c>
      <c r="R9" s="53">
        <v>97.119895796868022</v>
      </c>
      <c r="S9" s="53"/>
      <c r="T9" s="53"/>
      <c r="U9" s="53"/>
      <c r="V9" s="53"/>
      <c r="W9" s="53"/>
      <c r="X9" s="53"/>
      <c r="Y9" s="53"/>
      <c r="Z9" s="53"/>
      <c r="AA9" s="53"/>
      <c r="AB9" s="53"/>
      <c r="AC9" s="53"/>
      <c r="AD9" s="53"/>
      <c r="AE9" s="53"/>
      <c r="AF9" s="53"/>
      <c r="AG9" s="53"/>
      <c r="AH9" s="53"/>
      <c r="AI9" s="53"/>
      <c r="AJ9" s="53"/>
      <c r="AK9" s="53"/>
      <c r="AL9" s="53"/>
      <c r="AM9" s="53"/>
      <c r="AN9" s="53"/>
      <c r="AO9" s="53"/>
      <c r="AP9" s="53"/>
      <c r="AQ9" s="53"/>
      <c r="AR9" s="53"/>
      <c r="AS9" s="53"/>
      <c r="AT9" s="53"/>
      <c r="AU9" s="53"/>
      <c r="AV9" s="53"/>
      <c r="AW9" s="53"/>
      <c r="AX9" s="53"/>
      <c r="AY9" s="53"/>
      <c r="AZ9" s="53"/>
    </row>
    <row r="10" spans="8:94" x14ac:dyDescent="0.15">
      <c r="I10" t="s">
        <v>143</v>
      </c>
      <c r="J10" s="67" t="s">
        <v>144</v>
      </c>
      <c r="K10" s="53">
        <v>119.49442721163182</v>
      </c>
      <c r="L10" s="53">
        <v>121.65347916080403</v>
      </c>
      <c r="M10" s="53">
        <v>119.49442721163182</v>
      </c>
      <c r="N10" s="53">
        <v>123.69820017617435</v>
      </c>
      <c r="O10" s="53">
        <v>119.49442721163182</v>
      </c>
      <c r="P10" s="53">
        <v>123.69820017617431</v>
      </c>
      <c r="Q10" s="53">
        <v>119.49442721163182</v>
      </c>
      <c r="R10" s="53">
        <v>123.69820017617437</v>
      </c>
      <c r="S10" s="53"/>
      <c r="T10" s="53"/>
      <c r="U10" s="53"/>
      <c r="V10" s="53"/>
      <c r="W10" s="53"/>
      <c r="X10" s="53"/>
      <c r="Y10" s="53"/>
      <c r="Z10" s="53"/>
      <c r="AA10" s="53"/>
      <c r="AB10" s="53"/>
      <c r="AC10" s="53"/>
      <c r="AD10" s="53"/>
      <c r="AE10" s="53"/>
      <c r="AF10" s="53"/>
      <c r="AG10" s="53"/>
      <c r="AH10" s="53"/>
      <c r="AI10" s="53"/>
      <c r="AJ10" s="53"/>
      <c r="AK10" s="53"/>
      <c r="AL10" s="53"/>
      <c r="AM10" s="53"/>
      <c r="AN10" s="53"/>
      <c r="AO10" s="53"/>
      <c r="AP10" s="53"/>
      <c r="AQ10" s="53"/>
      <c r="AR10" s="53"/>
      <c r="AS10" s="53"/>
      <c r="AT10" s="53"/>
      <c r="AU10" s="53"/>
      <c r="AV10" s="53"/>
      <c r="AW10" s="53"/>
      <c r="AX10" s="53"/>
      <c r="AY10" s="53"/>
      <c r="AZ10" s="53"/>
    </row>
    <row r="11" spans="8:94" x14ac:dyDescent="0.15">
      <c r="I11" t="s">
        <v>145</v>
      </c>
      <c r="J11" s="67" t="s">
        <v>146</v>
      </c>
      <c r="K11" s="53">
        <v>377.97045827862235</v>
      </c>
      <c r="L11" s="53">
        <v>369.79161389326879</v>
      </c>
      <c r="M11" s="53">
        <v>377.97045827862235</v>
      </c>
      <c r="N11" s="53">
        <v>367.79438448361418</v>
      </c>
      <c r="O11" s="53">
        <v>377.97045827862235</v>
      </c>
      <c r="P11" s="53">
        <v>367.79438448361424</v>
      </c>
      <c r="Q11" s="53">
        <v>377.97045827862235</v>
      </c>
      <c r="R11" s="53">
        <v>367.79438448361429</v>
      </c>
      <c r="S11" s="53"/>
      <c r="T11" s="53"/>
      <c r="U11" s="53"/>
      <c r="V11" s="53"/>
      <c r="W11" s="53"/>
      <c r="X11" s="53"/>
      <c r="Y11" s="53"/>
      <c r="Z11" s="53"/>
      <c r="AA11" s="53"/>
      <c r="AB11" s="53"/>
      <c r="AC11" s="53"/>
      <c r="AD11" s="53"/>
      <c r="AE11" s="53"/>
      <c r="AF11" s="53"/>
      <c r="AG11" s="53"/>
      <c r="AH11" s="53"/>
      <c r="AI11" s="53"/>
      <c r="AJ11" s="53"/>
      <c r="AK11" s="53"/>
      <c r="AL11" s="53"/>
      <c r="AM11" s="53"/>
      <c r="AN11" s="53"/>
      <c r="AO11" s="53"/>
      <c r="AP11" s="53"/>
      <c r="AQ11" s="53"/>
      <c r="AR11" s="53"/>
      <c r="AS11" s="53"/>
      <c r="AT11" s="53"/>
      <c r="AU11" s="53"/>
      <c r="AV11" s="53"/>
      <c r="AW11" s="53"/>
      <c r="AX11" s="53"/>
      <c r="AY11" s="53"/>
      <c r="AZ11" s="53"/>
    </row>
    <row r="12" spans="8:94" x14ac:dyDescent="0.15">
      <c r="H12" t="s">
        <v>147</v>
      </c>
      <c r="I12" t="s">
        <v>141</v>
      </c>
      <c r="J12" s="67" t="s">
        <v>148</v>
      </c>
      <c r="K12" s="18">
        <v>0.12826427233349552</v>
      </c>
      <c r="L12" s="18">
        <v>0.12944958168778789</v>
      </c>
      <c r="M12" s="18">
        <v>0.12826427233349552</v>
      </c>
      <c r="N12" s="18">
        <v>0.12962755076951607</v>
      </c>
      <c r="O12" s="18">
        <v>0.12826427233349552</v>
      </c>
      <c r="P12" s="18">
        <v>0.12962755076951607</v>
      </c>
      <c r="Q12" s="18">
        <v>0.12826427233349552</v>
      </c>
      <c r="R12" s="18">
        <v>0.12962755076951607</v>
      </c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</row>
    <row r="13" spans="8:94" x14ac:dyDescent="0.15">
      <c r="I13" t="s">
        <v>143</v>
      </c>
      <c r="J13" s="67" t="s">
        <v>149</v>
      </c>
      <c r="K13" s="18">
        <v>0.35921434036678013</v>
      </c>
      <c r="L13" s="18">
        <v>0.36673742397072179</v>
      </c>
      <c r="M13" s="18">
        <v>0.35921434036678013</v>
      </c>
      <c r="N13" s="18">
        <v>0.37147963176554161</v>
      </c>
      <c r="O13" s="18">
        <v>0.35921434036678013</v>
      </c>
      <c r="P13" s="18">
        <v>0.37147963176554161</v>
      </c>
      <c r="Q13" s="18">
        <v>0.35921434036678013</v>
      </c>
      <c r="R13" s="18">
        <v>0.37147963176554166</v>
      </c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</row>
    <row r="14" spans="8:94" x14ac:dyDescent="0.15">
      <c r="I14" t="s">
        <v>145</v>
      </c>
      <c r="J14" s="67" t="s">
        <v>150</v>
      </c>
      <c r="K14" s="18">
        <v>0.51252138729972441</v>
      </c>
      <c r="L14" s="18">
        <v>0.50381299434149041</v>
      </c>
      <c r="M14" s="18">
        <v>0.51252138729972441</v>
      </c>
      <c r="N14" s="18">
        <v>0.49889281746494235</v>
      </c>
      <c r="O14" s="18">
        <v>0.51252138729972441</v>
      </c>
      <c r="P14" s="18">
        <v>0.49889281746494235</v>
      </c>
      <c r="Q14" s="18">
        <v>0.51252138729972441</v>
      </c>
      <c r="R14" s="18">
        <v>0.4988928174649423</v>
      </c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</row>
    <row r="15" spans="8:94" x14ac:dyDescent="0.15">
      <c r="H15" t="s">
        <v>147</v>
      </c>
      <c r="I15" t="s">
        <v>151</v>
      </c>
      <c r="J15" s="67" t="s">
        <v>152</v>
      </c>
      <c r="K15" s="18">
        <v>0.60222068852227839</v>
      </c>
      <c r="L15" s="18">
        <v>0.59325033948594597</v>
      </c>
      <c r="M15" s="18">
        <v>0.60222068852227839</v>
      </c>
      <c r="N15" s="18">
        <v>0.58723395178943671</v>
      </c>
      <c r="O15" s="18">
        <v>0.60222068852227839</v>
      </c>
      <c r="P15" s="18">
        <v>0.58723395178943683</v>
      </c>
      <c r="Q15" s="18">
        <v>0.60222068852227839</v>
      </c>
      <c r="R15" s="18">
        <v>0.58723395178943694</v>
      </c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</row>
    <row r="16" spans="8:94" x14ac:dyDescent="0.15">
      <c r="I16" t="s">
        <v>153</v>
      </c>
      <c r="J16" s="67" t="s">
        <v>154</v>
      </c>
      <c r="K16" s="18">
        <v>0.18480704721075777</v>
      </c>
      <c r="L16" s="18">
        <v>0.19153503794150983</v>
      </c>
      <c r="M16" s="18">
        <v>0.18480704721075777</v>
      </c>
      <c r="N16" s="18">
        <v>0.19206596646209922</v>
      </c>
      <c r="O16" s="18">
        <v>0.18480704721075777</v>
      </c>
      <c r="P16" s="18">
        <v>0.19206596646209914</v>
      </c>
      <c r="Q16" s="18">
        <v>0.18480704721075777</v>
      </c>
      <c r="R16" s="18">
        <v>0.19206596646209914</v>
      </c>
      <c r="S16" s="18"/>
      <c r="T16" s="18"/>
      <c r="U16" s="18"/>
      <c r="V16" s="18"/>
      <c r="W16" s="18"/>
      <c r="X16" s="18"/>
      <c r="Y16" s="18"/>
      <c r="Z16" s="18"/>
      <c r="AA16" s="18"/>
      <c r="AB16" s="18"/>
      <c r="AC16" s="18"/>
      <c r="AD16" s="18"/>
      <c r="AE16" s="18"/>
      <c r="AF16" s="18"/>
      <c r="AG16" s="18"/>
      <c r="AH16" s="18"/>
      <c r="AI16" s="18"/>
      <c r="AJ16" s="18"/>
      <c r="AK16" s="18"/>
      <c r="AL16" s="18"/>
      <c r="AM16" s="18"/>
      <c r="AN16" s="18"/>
      <c r="AO16" s="18"/>
      <c r="AP16" s="18"/>
      <c r="AQ16" s="18"/>
      <c r="AR16" s="18"/>
      <c r="AS16" s="18"/>
      <c r="AT16" s="18"/>
      <c r="AU16" s="18"/>
      <c r="AV16" s="18"/>
      <c r="AW16" s="18"/>
      <c r="AX16" s="18"/>
      <c r="AY16" s="18"/>
      <c r="AZ16" s="18"/>
    </row>
    <row r="17" spans="8:52" x14ac:dyDescent="0.15">
      <c r="I17" t="s">
        <v>155</v>
      </c>
      <c r="J17" s="67" t="s">
        <v>156</v>
      </c>
      <c r="K17" s="18">
        <v>0.19418302331298826</v>
      </c>
      <c r="L17" s="18">
        <v>0.19608265308271511</v>
      </c>
      <c r="M17" s="18">
        <v>0.19418302331298826</v>
      </c>
      <c r="N17" s="18">
        <v>0.2016594454577543</v>
      </c>
      <c r="O17" s="18">
        <v>0.19418302331298826</v>
      </c>
      <c r="P17" s="18">
        <v>0.2016594454577543</v>
      </c>
      <c r="Q17" s="18">
        <v>0.19418302331298826</v>
      </c>
      <c r="R17" s="18">
        <v>0.20165944545775435</v>
      </c>
      <c r="S17" s="18"/>
      <c r="T17" s="18"/>
      <c r="U17" s="18"/>
      <c r="V17" s="18"/>
      <c r="W17" s="18"/>
      <c r="X17" s="18"/>
      <c r="Y17" s="18"/>
      <c r="Z17" s="18"/>
      <c r="AA17" s="18"/>
      <c r="AB17" s="18"/>
      <c r="AC17" s="18"/>
      <c r="AD17" s="18"/>
      <c r="AE17" s="18"/>
      <c r="AF17" s="18"/>
      <c r="AG17" s="18"/>
      <c r="AH17" s="18"/>
      <c r="AI17" s="18"/>
      <c r="AJ17" s="18"/>
      <c r="AK17" s="18"/>
      <c r="AL17" s="18"/>
      <c r="AM17" s="18"/>
      <c r="AN17" s="18"/>
      <c r="AO17" s="18"/>
      <c r="AP17" s="18"/>
      <c r="AQ17" s="18"/>
      <c r="AR17" s="18"/>
      <c r="AS17" s="18"/>
      <c r="AT17" s="18"/>
      <c r="AU17" s="18"/>
      <c r="AV17" s="18"/>
      <c r="AW17" s="18"/>
      <c r="AX17" s="18"/>
      <c r="AY17" s="18"/>
      <c r="AZ17" s="18"/>
    </row>
    <row r="18" spans="8:52" x14ac:dyDescent="0.15">
      <c r="H18" t="s">
        <v>157</v>
      </c>
      <c r="I18" t="s">
        <v>151</v>
      </c>
      <c r="J18" s="67" t="s">
        <v>158</v>
      </c>
      <c r="K18" s="18">
        <v>0.58147729232754741</v>
      </c>
      <c r="L18" s="18">
        <v>0.57351939860581269</v>
      </c>
      <c r="M18" s="18">
        <v>0.58147729232754741</v>
      </c>
      <c r="N18" s="18">
        <v>0.56728370691688013</v>
      </c>
      <c r="O18" s="18">
        <v>0.58147729232754741</v>
      </c>
      <c r="P18" s="18">
        <v>0.56728370691688002</v>
      </c>
      <c r="Q18" s="18">
        <v>0.58147729232754741</v>
      </c>
      <c r="R18" s="18">
        <v>0.56728370691688013</v>
      </c>
      <c r="S18" s="18"/>
      <c r="T18" s="18"/>
      <c r="U18" s="18"/>
      <c r="V18" s="18"/>
      <c r="W18" s="18"/>
      <c r="X18" s="18"/>
      <c r="Y18" s="18"/>
      <c r="Z18" s="18"/>
      <c r="AA18" s="18"/>
      <c r="AB18" s="18"/>
      <c r="AC18" s="18"/>
      <c r="AD18" s="18"/>
      <c r="AE18" s="18"/>
      <c r="AF18" s="18"/>
      <c r="AG18" s="18"/>
      <c r="AH18" s="18"/>
      <c r="AI18" s="18"/>
      <c r="AJ18" s="18"/>
      <c r="AK18" s="18"/>
      <c r="AL18" s="18"/>
      <c r="AM18" s="18"/>
      <c r="AN18" s="18"/>
      <c r="AO18" s="18"/>
      <c r="AP18" s="18"/>
      <c r="AQ18" s="18"/>
      <c r="AR18" s="18"/>
      <c r="AS18" s="18"/>
      <c r="AT18" s="18"/>
      <c r="AU18" s="18"/>
      <c r="AV18" s="18"/>
      <c r="AW18" s="18"/>
      <c r="AX18" s="18"/>
      <c r="AY18" s="18"/>
      <c r="AZ18" s="18"/>
    </row>
    <row r="19" spans="8:52" x14ac:dyDescent="0.15">
      <c r="I19" t="s">
        <v>155</v>
      </c>
      <c r="J19" s="67" t="s">
        <v>159</v>
      </c>
      <c r="K19" s="18">
        <v>0.41852270767245259</v>
      </c>
      <c r="L19" s="18">
        <v>0.42648060139418725</v>
      </c>
      <c r="M19" s="18">
        <v>0.41852270767245259</v>
      </c>
      <c r="N19" s="18">
        <v>0.43271629308311993</v>
      </c>
      <c r="O19" s="18">
        <v>0.41852270767245259</v>
      </c>
      <c r="P19" s="18">
        <v>0.43271629308311993</v>
      </c>
      <c r="Q19" s="18">
        <v>0.41852270767245259</v>
      </c>
      <c r="R19" s="18">
        <v>0.43271629308311993</v>
      </c>
      <c r="S19" s="18"/>
      <c r="T19" s="18"/>
      <c r="U19" s="18"/>
      <c r="V19" s="18"/>
      <c r="W19" s="18"/>
      <c r="X19" s="18"/>
      <c r="Y19" s="18"/>
      <c r="Z19" s="18"/>
      <c r="AA19" s="18"/>
      <c r="AB19" s="18"/>
      <c r="AC19" s="18"/>
      <c r="AD19" s="18"/>
      <c r="AE19" s="18"/>
      <c r="AF19" s="18"/>
      <c r="AG19" s="18"/>
      <c r="AH19" s="18"/>
      <c r="AI19" s="18"/>
      <c r="AJ19" s="18"/>
      <c r="AK19" s="18"/>
      <c r="AL19" s="18"/>
      <c r="AM19" s="18"/>
      <c r="AN19" s="18"/>
      <c r="AO19" s="18"/>
      <c r="AP19" s="18"/>
      <c r="AQ19" s="18"/>
      <c r="AR19" s="18"/>
      <c r="AS19" s="18"/>
      <c r="AT19" s="18"/>
      <c r="AU19" s="18"/>
      <c r="AV19" s="18"/>
      <c r="AW19" s="18"/>
      <c r="AX19" s="18"/>
      <c r="AY19" s="18"/>
      <c r="AZ19" s="18"/>
    </row>
  </sheetData>
  <phoneticPr fontId="14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3:CP44"/>
  <sheetViews>
    <sheetView topLeftCell="D1" zoomScale="90" zoomScaleNormal="90" workbookViewId="0">
      <pane xSplit="7" ySplit="7" topLeftCell="K8" activePane="bottomRight" state="frozen"/>
      <selection pane="topRight"/>
      <selection pane="bottomLeft"/>
      <selection pane="bottomRight" activeCell="R15" sqref="R15:R19"/>
    </sheetView>
  </sheetViews>
  <sheetFormatPr defaultColWidth="9" defaultRowHeight="15" x14ac:dyDescent="0.25"/>
  <cols>
    <col min="1" max="1" width="30.875" style="27" customWidth="1"/>
    <col min="2" max="2" width="11.125" style="35" customWidth="1"/>
    <col min="3" max="3" width="12.875" style="27" customWidth="1"/>
    <col min="4" max="4" width="3.625" style="27" customWidth="1"/>
    <col min="5" max="7" width="9" style="27" hidden="1" customWidth="1"/>
    <col min="8" max="8" width="37.125" style="27" customWidth="1"/>
    <col min="9" max="9" width="3.125" style="27" customWidth="1"/>
    <col min="10" max="10" width="28.125" style="27" customWidth="1"/>
    <col min="11" max="25" width="11.125" style="27" customWidth="1"/>
    <col min="26" max="35" width="14.5" style="27" customWidth="1"/>
    <col min="36" max="46" width="12.875" style="27" customWidth="1"/>
    <col min="47" max="16384" width="9" style="27"/>
  </cols>
  <sheetData>
    <row r="3" spans="3:94" x14ac:dyDescent="0.25">
      <c r="K3" s="27">
        <f t="shared" ref="K3:W3" si="0">K9/15</f>
        <v>480.35194389486713</v>
      </c>
      <c r="L3" s="27">
        <f t="shared" si="0"/>
        <v>488.67689334292152</v>
      </c>
      <c r="M3" s="27">
        <f t="shared" si="0"/>
        <v>480.35194389486713</v>
      </c>
      <c r="N3" s="27">
        <f t="shared" si="0"/>
        <v>494.55223657744853</v>
      </c>
      <c r="O3" s="27">
        <f t="shared" si="0"/>
        <v>480.35194389486713</v>
      </c>
      <c r="P3" s="27">
        <f t="shared" si="0"/>
        <v>500.47625095312259</v>
      </c>
      <c r="Q3" s="27">
        <f t="shared" si="0"/>
        <v>480.35194389486713</v>
      </c>
      <c r="R3" s="27">
        <f t="shared" si="0"/>
        <v>490.04859370025639</v>
      </c>
      <c r="S3" s="27">
        <f t="shared" si="0"/>
        <v>0</v>
      </c>
      <c r="T3" s="27">
        <f t="shared" si="0"/>
        <v>0</v>
      </c>
      <c r="U3" s="27">
        <f t="shared" si="0"/>
        <v>0</v>
      </c>
      <c r="V3" s="27">
        <f t="shared" si="0"/>
        <v>0</v>
      </c>
      <c r="W3" s="27">
        <f t="shared" si="0"/>
        <v>0</v>
      </c>
    </row>
    <row r="4" spans="3:94" x14ac:dyDescent="0.25">
      <c r="L4" s="27">
        <f>L5/GUWUX!L22</f>
        <v>8.033215659701919E-4</v>
      </c>
    </row>
    <row r="5" spans="3:94" x14ac:dyDescent="0.25">
      <c r="L5" s="22">
        <f>L11/L10</f>
        <v>0.99209128951255898</v>
      </c>
      <c r="M5" s="51"/>
      <c r="N5" s="51"/>
      <c r="O5" s="51"/>
      <c r="P5" s="51"/>
      <c r="Q5" s="51"/>
      <c r="R5" s="51"/>
      <c r="S5" s="51"/>
      <c r="T5" s="51"/>
      <c r="U5" s="51"/>
      <c r="V5" s="51"/>
      <c r="W5" s="51"/>
      <c r="X5" s="51"/>
      <c r="Y5" s="51"/>
    </row>
    <row r="6" spans="3:94" ht="12.75" customHeight="1" x14ac:dyDescent="0.25">
      <c r="K6" s="71" t="s">
        <v>73</v>
      </c>
      <c r="L6" s="71" t="s">
        <v>73</v>
      </c>
      <c r="M6" s="71" t="s">
        <v>315</v>
      </c>
      <c r="N6" s="71" t="s">
        <v>315</v>
      </c>
      <c r="O6" s="71" t="s">
        <v>316</v>
      </c>
      <c r="P6" s="71" t="s">
        <v>316</v>
      </c>
      <c r="Q6" s="71" t="s">
        <v>317</v>
      </c>
      <c r="R6" s="71" t="s">
        <v>317</v>
      </c>
      <c r="S6" s="71"/>
      <c r="T6" s="71"/>
      <c r="U6" s="71"/>
      <c r="V6" s="71"/>
      <c r="W6" s="71"/>
      <c r="X6" s="71"/>
      <c r="Y6" s="72"/>
      <c r="Z6" s="72"/>
      <c r="AA6" s="72"/>
      <c r="AB6" s="72"/>
      <c r="AC6" s="72"/>
      <c r="AD6" s="72"/>
      <c r="AE6" s="72"/>
      <c r="AF6" s="72"/>
      <c r="AG6" s="72"/>
      <c r="AH6" s="72"/>
      <c r="AI6" s="72"/>
      <c r="AJ6" s="72"/>
      <c r="AK6" s="72"/>
      <c r="AL6" s="72"/>
      <c r="AM6" s="72"/>
      <c r="AN6" s="72"/>
      <c r="AO6" s="72"/>
      <c r="AP6" s="72"/>
      <c r="AQ6" s="72"/>
      <c r="AR6" s="72"/>
      <c r="AS6" s="72"/>
      <c r="AT6" s="72"/>
      <c r="AU6" s="72"/>
      <c r="AV6" s="72"/>
      <c r="AW6" s="72"/>
      <c r="AX6" s="72"/>
      <c r="AY6" s="72"/>
      <c r="AZ6" s="72"/>
      <c r="BA6" s="72"/>
      <c r="BB6" s="72"/>
      <c r="BC6" s="72"/>
      <c r="BD6" s="72"/>
      <c r="BE6" s="72"/>
      <c r="BF6" s="72"/>
      <c r="BG6" s="72"/>
      <c r="BH6" s="72"/>
      <c r="BI6" s="72"/>
      <c r="BJ6" s="72"/>
      <c r="BK6" s="72"/>
      <c r="BL6" s="72"/>
      <c r="BM6" s="72"/>
      <c r="BN6" s="72"/>
      <c r="BO6" s="72"/>
      <c r="BP6" s="72"/>
      <c r="BQ6" s="72"/>
      <c r="BR6" s="72"/>
      <c r="BS6" s="72"/>
      <c r="BT6" s="72"/>
      <c r="BU6" s="72"/>
      <c r="BV6" s="72"/>
      <c r="BW6" s="72"/>
      <c r="BX6" s="72"/>
      <c r="BY6" s="72"/>
      <c r="BZ6" s="72"/>
      <c r="CA6" s="72"/>
      <c r="CB6" s="72"/>
      <c r="CC6" s="72"/>
      <c r="CD6" s="72"/>
      <c r="CE6" s="72"/>
      <c r="CF6" s="72"/>
      <c r="CG6" s="72"/>
      <c r="CH6" s="72"/>
      <c r="CI6" s="72"/>
      <c r="CJ6" s="72"/>
      <c r="CK6" s="72"/>
      <c r="CL6" s="72"/>
      <c r="CM6" s="72"/>
      <c r="CN6" s="72"/>
      <c r="CO6" s="72"/>
      <c r="CP6" s="72"/>
    </row>
    <row r="7" spans="3:94" x14ac:dyDescent="0.25">
      <c r="C7" s="35"/>
      <c r="D7" s="35"/>
      <c r="E7" s="35"/>
      <c r="F7" s="35"/>
      <c r="G7" s="35"/>
      <c r="K7" s="71" t="s">
        <v>76</v>
      </c>
      <c r="L7" s="71" t="s">
        <v>77</v>
      </c>
      <c r="M7" s="71" t="s">
        <v>76</v>
      </c>
      <c r="N7" s="71" t="s">
        <v>77</v>
      </c>
      <c r="O7" s="71" t="s">
        <v>76</v>
      </c>
      <c r="P7" s="71" t="s">
        <v>77</v>
      </c>
      <c r="Q7" s="71" t="s">
        <v>76</v>
      </c>
      <c r="R7" s="71" t="s">
        <v>77</v>
      </c>
      <c r="S7" s="71"/>
      <c r="T7" s="71"/>
      <c r="U7" s="71"/>
      <c r="V7" s="71"/>
      <c r="W7" s="71"/>
      <c r="X7" s="71"/>
      <c r="Y7" s="72"/>
      <c r="Z7" s="72"/>
      <c r="AA7" s="72"/>
      <c r="AB7" s="72"/>
      <c r="AC7" s="72"/>
      <c r="AD7" s="72"/>
      <c r="AE7" s="72"/>
      <c r="AF7" s="72"/>
      <c r="AG7" s="72"/>
      <c r="AH7" s="72"/>
      <c r="AI7" s="72"/>
      <c r="AJ7" s="72"/>
      <c r="AK7" s="72"/>
      <c r="AL7" s="72"/>
      <c r="AM7" s="72"/>
      <c r="AN7" s="72"/>
      <c r="AO7" s="72"/>
      <c r="AP7" s="72"/>
      <c r="AQ7" s="72"/>
      <c r="AR7" s="72"/>
      <c r="AS7" s="72"/>
      <c r="AT7" s="72"/>
      <c r="AU7" s="72"/>
      <c r="AV7" s="72"/>
      <c r="AW7" s="72"/>
      <c r="AX7" s="72"/>
      <c r="AY7" s="72"/>
      <c r="AZ7" s="72"/>
      <c r="BA7" s="72"/>
      <c r="BB7" s="72"/>
      <c r="BC7" s="72"/>
      <c r="BD7" s="72"/>
      <c r="BE7" s="72"/>
      <c r="BF7" s="72"/>
      <c r="BG7" s="72"/>
      <c r="BH7" s="72"/>
      <c r="BI7" s="72"/>
      <c r="BJ7" s="72"/>
      <c r="BK7" s="72"/>
      <c r="BL7" s="72"/>
      <c r="BM7" s="72"/>
      <c r="BN7" s="72"/>
      <c r="BO7" s="72"/>
      <c r="BP7" s="72"/>
      <c r="BQ7" s="72"/>
      <c r="BR7" s="72"/>
      <c r="BS7" s="72"/>
      <c r="BT7" s="72"/>
      <c r="BU7" s="72"/>
      <c r="BV7" s="72"/>
      <c r="BW7" s="72"/>
      <c r="BX7" s="72"/>
      <c r="BY7" s="72"/>
      <c r="BZ7" s="72"/>
      <c r="CA7" s="72"/>
      <c r="CB7" s="72"/>
      <c r="CC7" s="72"/>
      <c r="CD7" s="72"/>
      <c r="CE7" s="72"/>
      <c r="CF7" s="72"/>
      <c r="CG7" s="72"/>
      <c r="CH7" s="72"/>
      <c r="CI7" s="72"/>
      <c r="CJ7" s="72"/>
      <c r="CK7" s="72"/>
      <c r="CL7" s="72"/>
      <c r="CM7" s="72"/>
      <c r="CN7" s="72"/>
      <c r="CO7" s="72"/>
      <c r="CP7" s="72"/>
    </row>
    <row r="8" spans="3:94" ht="16.5" x14ac:dyDescent="0.3">
      <c r="H8" s="27" t="s">
        <v>160</v>
      </c>
      <c r="J8" s="72" t="s">
        <v>79</v>
      </c>
      <c r="K8" s="27">
        <v>2901.2200000000003</v>
      </c>
      <c r="L8" s="27">
        <v>2894.0518414017292</v>
      </c>
      <c r="M8" s="27">
        <v>2901.2200000000003</v>
      </c>
      <c r="N8" s="27">
        <v>2896.3678238706698</v>
      </c>
      <c r="O8" s="27">
        <v>2901.2200000000003</v>
      </c>
      <c r="P8" s="27">
        <v>2899.2648867579273</v>
      </c>
      <c r="Q8" s="27">
        <v>2901.2200000000003</v>
      </c>
      <c r="R8" s="27">
        <v>2894.3412581623061</v>
      </c>
      <c r="AB8" s="52"/>
      <c r="AC8" s="52"/>
      <c r="AD8" s="52"/>
      <c r="AE8" s="52"/>
      <c r="AF8" s="52"/>
      <c r="AG8" s="52"/>
      <c r="AH8" s="52"/>
      <c r="AI8" s="52"/>
      <c r="AJ8" s="52"/>
      <c r="AK8" s="52"/>
      <c r="AL8" s="52"/>
      <c r="AM8" s="52"/>
      <c r="AN8" s="52"/>
      <c r="AO8" s="52"/>
      <c r="AP8" s="52"/>
      <c r="AQ8" s="52"/>
      <c r="AR8" s="52"/>
      <c r="AS8" s="52"/>
      <c r="AT8" s="52"/>
    </row>
    <row r="9" spans="3:94" ht="16.5" x14ac:dyDescent="0.3">
      <c r="H9" s="27" t="s">
        <v>161</v>
      </c>
      <c r="J9" s="72" t="s">
        <v>81</v>
      </c>
      <c r="K9" s="27">
        <v>7205.2791584230072</v>
      </c>
      <c r="L9" s="27">
        <v>7330.1534001438231</v>
      </c>
      <c r="M9" s="27">
        <v>7205.2791584230072</v>
      </c>
      <c r="N9" s="27">
        <v>7418.2835486617278</v>
      </c>
      <c r="O9" s="27">
        <v>7205.2791584230072</v>
      </c>
      <c r="P9" s="27">
        <v>7507.1437642968385</v>
      </c>
      <c r="Q9" s="27">
        <v>7205.2791584230072</v>
      </c>
      <c r="R9" s="27">
        <v>7350.7289055038455</v>
      </c>
      <c r="AB9" s="52"/>
      <c r="AC9" s="52"/>
      <c r="AD9" s="52"/>
      <c r="AE9" s="52"/>
      <c r="AF9" s="52"/>
      <c r="AG9" s="52"/>
      <c r="AH9" s="52"/>
      <c r="AI9" s="52"/>
      <c r="AJ9" s="52"/>
      <c r="AK9" s="52"/>
      <c r="AL9" s="52"/>
      <c r="AM9" s="52"/>
      <c r="AN9" s="52"/>
      <c r="AO9" s="52"/>
      <c r="AP9" s="52"/>
      <c r="AQ9" s="52"/>
      <c r="AR9" s="52"/>
      <c r="AS9" s="52"/>
      <c r="AT9" s="52"/>
    </row>
    <row r="10" spans="3:94" ht="16.5" x14ac:dyDescent="0.3">
      <c r="H10" s="27" t="s">
        <v>162</v>
      </c>
      <c r="J10" s="72" t="s">
        <v>83</v>
      </c>
      <c r="K10" s="27">
        <v>21106.959999999999</v>
      </c>
      <c r="L10" s="27">
        <v>21382.955550256174</v>
      </c>
      <c r="M10" s="27">
        <v>21106.959999999999</v>
      </c>
      <c r="N10" s="27">
        <v>21486.077778692954</v>
      </c>
      <c r="O10" s="27">
        <v>21106.959999999999</v>
      </c>
      <c r="P10" s="27">
        <v>21765.198315669553</v>
      </c>
      <c r="Q10" s="27">
        <v>21106.959999999999</v>
      </c>
      <c r="R10" s="27">
        <v>21275.517948766032</v>
      </c>
      <c r="AB10" s="52"/>
      <c r="AC10" s="52"/>
      <c r="AD10" s="52"/>
      <c r="AE10" s="52"/>
      <c r="AF10" s="52"/>
      <c r="AG10" s="52"/>
      <c r="AH10" s="52"/>
      <c r="AI10" s="52"/>
      <c r="AJ10" s="52"/>
      <c r="AK10" s="52"/>
      <c r="AL10" s="52"/>
      <c r="AM10" s="52"/>
      <c r="AN10" s="52"/>
      <c r="AO10" s="52"/>
      <c r="AP10" s="52"/>
      <c r="AQ10" s="52"/>
      <c r="AR10" s="52"/>
      <c r="AS10" s="52"/>
      <c r="AT10" s="52"/>
    </row>
    <row r="11" spans="3:94" ht="17.25" customHeight="1" x14ac:dyDescent="0.3">
      <c r="H11" s="27" t="s">
        <v>163</v>
      </c>
      <c r="J11" s="72" t="s">
        <v>85</v>
      </c>
      <c r="K11" s="27">
        <v>20904.099999999999</v>
      </c>
      <c r="L11" s="27">
        <v>21213.843945443379</v>
      </c>
      <c r="M11" s="27">
        <v>20904.099999999999</v>
      </c>
      <c r="N11" s="27">
        <v>21486.077778692954</v>
      </c>
      <c r="O11" s="27">
        <v>20904.099999999999</v>
      </c>
      <c r="P11" s="27">
        <v>21765.198315669553</v>
      </c>
      <c r="Q11" s="27">
        <v>20904.099999999999</v>
      </c>
      <c r="R11" s="27">
        <v>21275.517948766032</v>
      </c>
      <c r="AB11" s="52"/>
      <c r="AC11" s="52"/>
      <c r="AD11" s="52"/>
      <c r="AE11" s="52"/>
      <c r="AF11" s="52"/>
      <c r="AG11" s="52"/>
      <c r="AH11" s="52"/>
      <c r="AI11" s="52"/>
      <c r="AJ11" s="52"/>
      <c r="AK11" s="52"/>
      <c r="AL11" s="52"/>
      <c r="AM11" s="52"/>
      <c r="AN11" s="52"/>
      <c r="AO11" s="52"/>
      <c r="AP11" s="52"/>
      <c r="AQ11" s="52"/>
      <c r="AR11" s="52"/>
      <c r="AS11" s="52"/>
      <c r="AT11" s="52"/>
    </row>
    <row r="12" spans="3:94" ht="16.5" x14ac:dyDescent="0.3">
      <c r="H12" s="27" t="s">
        <v>164</v>
      </c>
      <c r="J12" s="72" t="s">
        <v>87</v>
      </c>
      <c r="K12" s="27">
        <v>202.85999999999999</v>
      </c>
      <c r="L12" s="27">
        <v>169.11160481279512</v>
      </c>
      <c r="M12" s="27">
        <v>202.85999999999999</v>
      </c>
      <c r="O12" s="27">
        <v>202.85999999999999</v>
      </c>
      <c r="Q12" s="27">
        <v>202.85999999999999</v>
      </c>
      <c r="AB12" s="52"/>
      <c r="AC12" s="52"/>
      <c r="AD12" s="52"/>
      <c r="AE12" s="52"/>
      <c r="AF12" s="52"/>
      <c r="AG12" s="52"/>
      <c r="AH12" s="52"/>
      <c r="AI12" s="52"/>
      <c r="AJ12" s="52"/>
      <c r="AK12" s="52"/>
      <c r="AL12" s="52"/>
      <c r="AM12" s="52"/>
      <c r="AN12" s="52"/>
      <c r="AO12" s="52"/>
      <c r="AP12" s="52"/>
      <c r="AQ12" s="52"/>
      <c r="AR12" s="52"/>
      <c r="AS12" s="52"/>
      <c r="AT12" s="52"/>
    </row>
    <row r="13" spans="3:94" ht="16.5" x14ac:dyDescent="0.3">
      <c r="H13" s="27" t="s">
        <v>165</v>
      </c>
      <c r="J13" s="72" t="s">
        <v>89</v>
      </c>
      <c r="K13" s="27">
        <v>21106.959999999999</v>
      </c>
      <c r="L13" s="27">
        <v>21382.955550256174</v>
      </c>
      <c r="M13" s="27">
        <v>21106.959999999999</v>
      </c>
      <c r="N13" s="27">
        <v>21486.077778692954</v>
      </c>
      <c r="O13" s="27">
        <v>21106.959999999999</v>
      </c>
      <c r="P13" s="27">
        <v>21765.198315669553</v>
      </c>
      <c r="Q13" s="27">
        <v>21106.959999999999</v>
      </c>
      <c r="R13" s="27">
        <v>21275.517948766032</v>
      </c>
      <c r="AB13" s="52"/>
      <c r="AC13" s="52"/>
      <c r="AD13" s="52"/>
      <c r="AE13" s="52"/>
      <c r="AF13" s="52"/>
      <c r="AG13" s="52"/>
      <c r="AH13" s="52"/>
      <c r="AI13" s="52"/>
      <c r="AJ13" s="52"/>
      <c r="AK13" s="52"/>
      <c r="AL13" s="52"/>
      <c r="AM13" s="52"/>
      <c r="AN13" s="52"/>
      <c r="AO13" s="52"/>
      <c r="AP13" s="52"/>
      <c r="AQ13" s="52"/>
      <c r="AR13" s="52"/>
      <c r="AS13" s="52"/>
      <c r="AT13" s="52"/>
    </row>
    <row r="14" spans="3:94" ht="16.5" x14ac:dyDescent="0.3">
      <c r="H14" s="27" t="s">
        <v>166</v>
      </c>
      <c r="J14" s="72" t="s">
        <v>91</v>
      </c>
      <c r="K14" s="27">
        <v>110.68482229925475</v>
      </c>
      <c r="L14" s="27">
        <v>106.66086143697805</v>
      </c>
      <c r="M14" s="27">
        <v>110.68482229925475</v>
      </c>
      <c r="N14" s="27">
        <v>105.50382252829374</v>
      </c>
      <c r="O14" s="27">
        <v>110.68482229925475</v>
      </c>
      <c r="P14" s="27">
        <v>105.50382252829378</v>
      </c>
      <c r="Q14" s="27">
        <v>110.68482229925475</v>
      </c>
      <c r="R14" s="27">
        <v>105.50382252829382</v>
      </c>
      <c r="AB14" s="52"/>
      <c r="AC14" s="52"/>
      <c r="AD14" s="52"/>
      <c r="AE14" s="52"/>
      <c r="AF14" s="52"/>
      <c r="AG14" s="52"/>
      <c r="AH14" s="52"/>
      <c r="AI14" s="52"/>
      <c r="AJ14" s="52"/>
      <c r="AK14" s="52"/>
      <c r="AL14" s="52"/>
      <c r="AM14" s="52"/>
      <c r="AN14" s="52"/>
      <c r="AO14" s="52"/>
      <c r="AP14" s="52"/>
      <c r="AQ14" s="52"/>
      <c r="AR14" s="52"/>
      <c r="AS14" s="52"/>
      <c r="AT14" s="52"/>
    </row>
    <row r="15" spans="3:94" ht="16.5" x14ac:dyDescent="0.3">
      <c r="H15" s="27" t="s">
        <v>167</v>
      </c>
      <c r="J15" s="72" t="s">
        <v>93</v>
      </c>
      <c r="K15" s="27">
        <v>142</v>
      </c>
      <c r="L15" s="27">
        <v>141.64915500342804</v>
      </c>
      <c r="M15" s="27">
        <v>142</v>
      </c>
      <c r="N15" s="27">
        <v>141.76251059541679</v>
      </c>
      <c r="O15" s="27">
        <v>142</v>
      </c>
      <c r="P15" s="27">
        <v>141.90430712583864</v>
      </c>
      <c r="Q15" s="27">
        <v>142</v>
      </c>
      <c r="R15" s="27">
        <v>141.66332048553622</v>
      </c>
      <c r="AB15" s="52"/>
      <c r="AC15" s="52"/>
      <c r="AD15" s="52"/>
      <c r="AE15" s="52"/>
      <c r="AF15" s="52"/>
      <c r="AG15" s="52"/>
      <c r="AH15" s="52"/>
      <c r="AI15" s="52"/>
      <c r="AJ15" s="52"/>
      <c r="AK15" s="52"/>
      <c r="AL15" s="52"/>
      <c r="AM15" s="52"/>
      <c r="AN15" s="52"/>
      <c r="AO15" s="52"/>
      <c r="AP15" s="52"/>
      <c r="AQ15" s="52"/>
      <c r="AR15" s="52"/>
      <c r="AS15" s="52"/>
      <c r="AT15" s="52"/>
    </row>
    <row r="16" spans="3:94" ht="16.5" x14ac:dyDescent="0.3">
      <c r="H16" s="27" t="s">
        <v>168</v>
      </c>
      <c r="J16" s="72" t="s">
        <v>95</v>
      </c>
      <c r="K16" s="27">
        <v>863.84</v>
      </c>
      <c r="L16" s="27">
        <v>853.72939743284746</v>
      </c>
      <c r="M16" s="27">
        <v>863.84</v>
      </c>
      <c r="N16" s="27">
        <v>852.42252250398008</v>
      </c>
      <c r="O16" s="27">
        <v>863.84</v>
      </c>
      <c r="P16" s="27">
        <v>852.42252250399122</v>
      </c>
      <c r="Q16" s="27">
        <v>863.84</v>
      </c>
      <c r="R16" s="27">
        <v>852.42252250398383</v>
      </c>
      <c r="AB16" s="52"/>
      <c r="AC16" s="52"/>
      <c r="AD16" s="52"/>
      <c r="AE16" s="52"/>
      <c r="AF16" s="52"/>
      <c r="AG16" s="52"/>
      <c r="AH16" s="52"/>
      <c r="AI16" s="52"/>
      <c r="AJ16" s="52"/>
      <c r="AK16" s="52"/>
      <c r="AL16" s="52"/>
      <c r="AM16" s="52"/>
      <c r="AN16" s="52"/>
      <c r="AO16" s="52"/>
      <c r="AP16" s="52"/>
      <c r="AQ16" s="52"/>
      <c r="AR16" s="52"/>
      <c r="AS16" s="52"/>
      <c r="AT16" s="52"/>
    </row>
    <row r="17" spans="8:46" ht="16.5" x14ac:dyDescent="0.3">
      <c r="H17" s="27" t="s">
        <v>169</v>
      </c>
      <c r="J17" s="72" t="s">
        <v>97</v>
      </c>
      <c r="K17" s="27">
        <v>1800</v>
      </c>
      <c r="L17" s="27">
        <v>2394.9644399013018</v>
      </c>
      <c r="M17" s="27">
        <v>1800</v>
      </c>
      <c r="N17" s="27">
        <v>2387.2719599474458</v>
      </c>
      <c r="O17" s="27">
        <v>1800</v>
      </c>
      <c r="P17" s="27">
        <v>2387.2719599474453</v>
      </c>
      <c r="Q17" s="27">
        <v>1800</v>
      </c>
      <c r="R17" s="27">
        <v>2387.2719599474453</v>
      </c>
      <c r="AB17" s="52"/>
      <c r="AC17" s="52"/>
      <c r="AD17" s="52"/>
      <c r="AE17" s="52"/>
      <c r="AF17" s="52"/>
      <c r="AG17" s="52"/>
      <c r="AH17" s="52"/>
      <c r="AI17" s="52"/>
      <c r="AJ17" s="52"/>
      <c r="AK17" s="52"/>
      <c r="AL17" s="52"/>
      <c r="AM17" s="52"/>
      <c r="AN17" s="52"/>
      <c r="AO17" s="52"/>
      <c r="AP17" s="52"/>
      <c r="AQ17" s="52"/>
      <c r="AR17" s="52"/>
      <c r="AS17" s="52"/>
      <c r="AT17" s="52"/>
    </row>
    <row r="18" spans="8:46" ht="16.5" x14ac:dyDescent="0.3">
      <c r="H18" s="50" t="s">
        <v>170</v>
      </c>
      <c r="J18" s="72" t="s">
        <v>99</v>
      </c>
      <c r="K18" s="27">
        <v>836.16399999999999</v>
      </c>
      <c r="L18" s="27">
        <v>848.55375781773523</v>
      </c>
      <c r="M18" s="27">
        <v>836.16399999999999</v>
      </c>
      <c r="N18" s="27">
        <v>859.44311114771813</v>
      </c>
      <c r="O18" s="27">
        <v>836.16399999999999</v>
      </c>
      <c r="P18" s="27">
        <v>870.60793262678192</v>
      </c>
      <c r="Q18" s="27">
        <v>836.16399999999999</v>
      </c>
      <c r="R18" s="27">
        <v>851.02071795064126</v>
      </c>
      <c r="AB18" s="52"/>
      <c r="AC18" s="52"/>
      <c r="AD18" s="52"/>
      <c r="AE18" s="52"/>
      <c r="AF18" s="52"/>
      <c r="AG18" s="52"/>
      <c r="AH18" s="52"/>
      <c r="AI18" s="52"/>
      <c r="AJ18" s="52"/>
      <c r="AK18" s="52"/>
      <c r="AL18" s="52"/>
      <c r="AM18" s="52"/>
      <c r="AN18" s="52"/>
      <c r="AO18" s="52"/>
      <c r="AP18" s="52"/>
      <c r="AQ18" s="52"/>
      <c r="AR18" s="52"/>
      <c r="AS18" s="52"/>
      <c r="AT18" s="52"/>
    </row>
    <row r="19" spans="8:46" ht="16.5" x14ac:dyDescent="0.3">
      <c r="H19" s="50" t="s">
        <v>171</v>
      </c>
      <c r="J19" s="72" t="s">
        <v>101</v>
      </c>
      <c r="K19" s="27">
        <v>1914.9559999999999</v>
      </c>
      <c r="L19" s="27">
        <v>2309.755786569568</v>
      </c>
      <c r="M19" s="27">
        <v>1914.9559999999999</v>
      </c>
      <c r="N19" s="27">
        <v>2339.3965095458148</v>
      </c>
      <c r="O19" s="27">
        <v>1914.9559999999999</v>
      </c>
      <c r="P19" s="27">
        <v>2369.7870543754125</v>
      </c>
      <c r="Q19" s="27">
        <v>1914.9559999999999</v>
      </c>
      <c r="R19" s="27">
        <v>2316.4708301242272</v>
      </c>
      <c r="AB19" s="52"/>
      <c r="AC19" s="52"/>
      <c r="AD19" s="52"/>
      <c r="AE19" s="52"/>
      <c r="AF19" s="52"/>
      <c r="AG19" s="52"/>
      <c r="AH19" s="52"/>
      <c r="AI19" s="52"/>
      <c r="AJ19" s="52"/>
      <c r="AK19" s="52"/>
      <c r="AL19" s="52"/>
      <c r="AM19" s="52"/>
      <c r="AN19" s="52"/>
      <c r="AO19" s="52"/>
      <c r="AP19" s="52"/>
      <c r="AQ19" s="52"/>
      <c r="AR19" s="52"/>
      <c r="AS19" s="52"/>
      <c r="AT19" s="52"/>
    </row>
    <row r="20" spans="8:46" ht="16.5" x14ac:dyDescent="0.3">
      <c r="H20" s="27" t="s">
        <v>172</v>
      </c>
      <c r="J20" s="72" t="s">
        <v>236</v>
      </c>
      <c r="N20" s="27">
        <v>232.39815092841104</v>
      </c>
      <c r="P20" s="27">
        <v>469.82152506591353</v>
      </c>
      <c r="R20" s="27">
        <v>53.285583730008</v>
      </c>
      <c r="AB20" s="52"/>
      <c r="AC20" s="52"/>
      <c r="AD20" s="52"/>
      <c r="AE20" s="52"/>
      <c r="AF20" s="52"/>
      <c r="AG20" s="52"/>
      <c r="AH20" s="52"/>
      <c r="AI20" s="52"/>
      <c r="AJ20" s="52"/>
      <c r="AK20" s="52"/>
      <c r="AL20" s="52"/>
      <c r="AM20" s="52"/>
      <c r="AN20" s="52"/>
      <c r="AO20" s="52"/>
      <c r="AP20" s="52"/>
      <c r="AQ20" s="52"/>
      <c r="AR20" s="52"/>
      <c r="AS20" s="52"/>
      <c r="AT20" s="52"/>
    </row>
    <row r="21" spans="8:46" ht="16.5" x14ac:dyDescent="0.3">
      <c r="H21" s="27" t="s">
        <v>173</v>
      </c>
      <c r="J21" s="72" t="s">
        <v>103</v>
      </c>
      <c r="K21" s="27">
        <v>19192.004000000001</v>
      </c>
      <c r="L21" s="27">
        <v>19073.199763686607</v>
      </c>
      <c r="M21" s="27">
        <v>19192.004000000001</v>
      </c>
      <c r="N21" s="27">
        <v>18914.283118218729</v>
      </c>
      <c r="O21" s="27">
        <v>19192.004000000001</v>
      </c>
      <c r="P21" s="27">
        <v>18925.589736228227</v>
      </c>
      <c r="Q21" s="27">
        <v>19192.004000000001</v>
      </c>
      <c r="R21" s="27">
        <v>18905.761534911795</v>
      </c>
      <c r="AB21" s="52"/>
      <c r="AC21" s="52"/>
      <c r="AD21" s="52"/>
      <c r="AE21" s="52"/>
      <c r="AF21" s="52"/>
      <c r="AG21" s="52"/>
      <c r="AH21" s="52"/>
      <c r="AI21" s="52"/>
      <c r="AJ21" s="52"/>
      <c r="AK21" s="52"/>
      <c r="AL21" s="52"/>
      <c r="AM21" s="52"/>
      <c r="AN21" s="52"/>
      <c r="AO21" s="52"/>
      <c r="AP21" s="52"/>
      <c r="AQ21" s="52"/>
      <c r="AR21" s="52"/>
      <c r="AS21" s="52"/>
      <c r="AT21" s="52"/>
    </row>
    <row r="22" spans="8:46" ht="16.5" x14ac:dyDescent="0.3">
      <c r="H22" s="27" t="s">
        <v>174</v>
      </c>
      <c r="J22" s="72" t="s">
        <v>105</v>
      </c>
      <c r="K22" s="27">
        <v>751.58599922676763</v>
      </c>
      <c r="L22" s="27">
        <v>724.26199415815211</v>
      </c>
      <c r="M22" s="27">
        <v>751.58599922676763</v>
      </c>
      <c r="N22" s="27">
        <v>716.40532306031537</v>
      </c>
      <c r="O22" s="27">
        <v>751.58599922676763</v>
      </c>
      <c r="P22" s="27">
        <v>716.40532306031571</v>
      </c>
      <c r="Q22" s="27">
        <v>751.58599922676763</v>
      </c>
      <c r="R22" s="27">
        <v>716.40532306031594</v>
      </c>
      <c r="AB22" s="52"/>
      <c r="AC22" s="52"/>
      <c r="AD22" s="52"/>
      <c r="AE22" s="52"/>
      <c r="AF22" s="52"/>
      <c r="AG22" s="52"/>
      <c r="AH22" s="52"/>
      <c r="AI22" s="52"/>
      <c r="AJ22" s="52"/>
      <c r="AK22" s="52"/>
      <c r="AL22" s="52"/>
      <c r="AM22" s="52"/>
      <c r="AN22" s="52"/>
      <c r="AO22" s="52"/>
      <c r="AP22" s="52"/>
      <c r="AQ22" s="52"/>
      <c r="AR22" s="52"/>
      <c r="AS22" s="52"/>
      <c r="AT22" s="52"/>
    </row>
    <row r="23" spans="8:46" ht="16.5" x14ac:dyDescent="0.3">
      <c r="H23" s="50" t="s">
        <v>175</v>
      </c>
      <c r="J23" s="72" t="s">
        <v>107</v>
      </c>
      <c r="K23" s="27">
        <v>15550</v>
      </c>
      <c r="L23" s="27">
        <v>14834.3030135313</v>
      </c>
      <c r="M23" s="27">
        <v>15550</v>
      </c>
      <c r="N23" s="27">
        <v>14673.383014024168</v>
      </c>
      <c r="O23" s="27">
        <v>15550</v>
      </c>
      <c r="P23" s="27">
        <v>14673.383014024175</v>
      </c>
      <c r="Q23" s="27">
        <v>15550</v>
      </c>
      <c r="R23" s="27">
        <v>14673.383014024181</v>
      </c>
      <c r="AB23" s="52"/>
      <c r="AC23" s="52"/>
      <c r="AD23" s="52"/>
      <c r="AE23" s="52"/>
      <c r="AF23" s="52"/>
      <c r="AG23" s="52"/>
      <c r="AH23" s="52"/>
      <c r="AI23" s="52"/>
      <c r="AJ23" s="52"/>
      <c r="AK23" s="52"/>
      <c r="AL23" s="52"/>
      <c r="AM23" s="52"/>
      <c r="AN23" s="52"/>
      <c r="AO23" s="52"/>
      <c r="AP23" s="52"/>
      <c r="AQ23" s="52"/>
      <c r="AR23" s="52"/>
      <c r="AS23" s="52"/>
      <c r="AT23" s="52"/>
    </row>
    <row r="24" spans="8:46" x14ac:dyDescent="0.25">
      <c r="J24" s="72" t="s">
        <v>109</v>
      </c>
      <c r="K24" s="27">
        <v>17664.066582441879</v>
      </c>
      <c r="L24" s="27">
        <v>17141.572635603454</v>
      </c>
      <c r="M24" s="27">
        <v>17084.230739526858</v>
      </c>
      <c r="N24" s="27">
        <v>15751.482001078492</v>
      </c>
      <c r="O24" s="27">
        <v>17664.066582441879</v>
      </c>
      <c r="P24" s="27">
        <v>16668.562455786203</v>
      </c>
      <c r="Q24" s="27">
        <v>17664.066582441879</v>
      </c>
      <c r="R24" s="27">
        <v>16964.501604910471</v>
      </c>
      <c r="AB24" s="52"/>
      <c r="AC24" s="52"/>
      <c r="AD24" s="52"/>
      <c r="AE24" s="52"/>
      <c r="AF24" s="52"/>
      <c r="AG24" s="52"/>
      <c r="AH24" s="52"/>
      <c r="AI24" s="52"/>
      <c r="AJ24" s="52"/>
      <c r="AK24" s="52"/>
      <c r="AL24" s="52"/>
      <c r="AM24" s="52"/>
      <c r="AN24" s="52"/>
      <c r="AO24" s="52"/>
      <c r="AP24" s="52"/>
      <c r="AQ24" s="52"/>
      <c r="AR24" s="52"/>
      <c r="AS24" s="52"/>
      <c r="AT24" s="52"/>
    </row>
    <row r="25" spans="8:46" x14ac:dyDescent="0.25">
      <c r="AB25" s="52"/>
      <c r="AC25" s="52"/>
      <c r="AD25" s="52"/>
      <c r="AE25" s="52"/>
      <c r="AF25" s="52"/>
      <c r="AG25" s="52"/>
      <c r="AH25" s="52"/>
      <c r="AI25" s="52"/>
      <c r="AJ25" s="52"/>
      <c r="AK25" s="52"/>
      <c r="AL25" s="52"/>
      <c r="AM25" s="52"/>
      <c r="AN25" s="52"/>
      <c r="AO25" s="52"/>
      <c r="AP25" s="52"/>
      <c r="AQ25" s="52"/>
      <c r="AR25" s="52"/>
      <c r="AS25" s="52"/>
      <c r="AT25" s="52"/>
    </row>
    <row r="26" spans="8:46" x14ac:dyDescent="0.25">
      <c r="L26" s="34"/>
      <c r="M26" s="34"/>
      <c r="N26" s="34"/>
      <c r="O26" s="34"/>
      <c r="P26" s="34"/>
      <c r="Q26" s="34"/>
      <c r="R26" s="34"/>
      <c r="S26" s="34"/>
      <c r="T26" s="34"/>
      <c r="U26" s="34"/>
      <c r="V26" s="34"/>
      <c r="W26" s="34"/>
      <c r="X26" s="34"/>
      <c r="AB26" s="52"/>
      <c r="AC26" s="52"/>
      <c r="AD26" s="52"/>
      <c r="AE26" s="52"/>
      <c r="AF26" s="52"/>
      <c r="AG26" s="52"/>
      <c r="AH26" s="52"/>
      <c r="AI26" s="52"/>
      <c r="AJ26" s="52"/>
      <c r="AK26" s="52"/>
      <c r="AL26" s="52"/>
      <c r="AM26" s="52"/>
      <c r="AN26" s="52"/>
      <c r="AO26" s="52"/>
      <c r="AP26" s="52"/>
      <c r="AQ26" s="52"/>
      <c r="AR26" s="52"/>
      <c r="AS26" s="52"/>
      <c r="AT26" s="52"/>
    </row>
    <row r="27" spans="8:46" x14ac:dyDescent="0.25">
      <c r="L27" s="34"/>
      <c r="M27" s="34"/>
      <c r="N27" s="34"/>
      <c r="O27" s="34"/>
      <c r="P27" s="34"/>
      <c r="Q27" s="34"/>
      <c r="R27" s="34"/>
      <c r="S27" s="34"/>
      <c r="T27" s="34"/>
      <c r="U27" s="34"/>
      <c r="V27" s="34"/>
      <c r="W27" s="34"/>
      <c r="X27" s="34"/>
      <c r="AB27" s="52"/>
      <c r="AC27" s="52"/>
      <c r="AD27" s="52"/>
      <c r="AE27" s="52"/>
      <c r="AF27" s="52"/>
      <c r="AG27" s="52"/>
      <c r="AH27" s="52"/>
      <c r="AI27" s="52"/>
      <c r="AJ27" s="52"/>
      <c r="AK27" s="52"/>
      <c r="AL27" s="52"/>
      <c r="AM27" s="52"/>
      <c r="AN27" s="52"/>
      <c r="AO27" s="52"/>
      <c r="AP27" s="52"/>
      <c r="AQ27" s="52"/>
      <c r="AR27" s="52"/>
      <c r="AS27" s="52"/>
      <c r="AT27" s="52"/>
    </row>
    <row r="28" spans="8:46" x14ac:dyDescent="0.25">
      <c r="L28" s="34"/>
      <c r="M28" s="34"/>
      <c r="N28" s="34"/>
      <c r="O28" s="34"/>
      <c r="P28" s="34"/>
      <c r="Q28" s="34"/>
      <c r="R28" s="34"/>
      <c r="S28" s="34"/>
      <c r="T28" s="34"/>
      <c r="U28" s="34"/>
      <c r="V28" s="34"/>
      <c r="W28" s="34"/>
      <c r="X28" s="34"/>
      <c r="AB28" s="52"/>
      <c r="AC28" s="52"/>
      <c r="AD28" s="52"/>
      <c r="AE28" s="52"/>
      <c r="AF28" s="52"/>
      <c r="AG28" s="52"/>
      <c r="AH28" s="52"/>
      <c r="AI28" s="52"/>
      <c r="AJ28" s="52"/>
      <c r="AK28" s="52"/>
      <c r="AL28" s="52"/>
      <c r="AM28" s="52"/>
      <c r="AN28" s="52"/>
      <c r="AO28" s="52"/>
      <c r="AP28" s="52"/>
      <c r="AQ28" s="52"/>
      <c r="AR28" s="52"/>
      <c r="AS28" s="52"/>
      <c r="AT28" s="52"/>
    </row>
    <row r="29" spans="8:46" x14ac:dyDescent="0.25">
      <c r="L29" s="34"/>
      <c r="M29" s="34"/>
      <c r="N29" s="34"/>
      <c r="O29" s="34"/>
      <c r="P29" s="34"/>
      <c r="Q29" s="34"/>
      <c r="R29" s="34"/>
      <c r="S29" s="34"/>
      <c r="T29" s="34"/>
      <c r="U29" s="34"/>
      <c r="V29" s="34"/>
      <c r="W29" s="34"/>
      <c r="X29" s="34"/>
      <c r="AB29" s="52"/>
      <c r="AC29" s="52"/>
      <c r="AD29" s="52"/>
      <c r="AE29" s="52"/>
      <c r="AF29" s="52"/>
      <c r="AG29" s="52"/>
      <c r="AH29" s="52"/>
      <c r="AI29" s="52"/>
      <c r="AJ29" s="52"/>
      <c r="AK29" s="52"/>
      <c r="AL29" s="52"/>
      <c r="AM29" s="52"/>
      <c r="AN29" s="52"/>
      <c r="AO29" s="52"/>
      <c r="AP29" s="52"/>
      <c r="AQ29" s="52"/>
      <c r="AR29" s="52"/>
      <c r="AS29" s="52"/>
      <c r="AT29" s="52"/>
    </row>
    <row r="30" spans="8:46" x14ac:dyDescent="0.25">
      <c r="L30" s="34"/>
      <c r="M30" s="34"/>
      <c r="N30" s="34"/>
      <c r="O30" s="34"/>
      <c r="P30" s="34"/>
      <c r="Q30" s="34"/>
      <c r="R30" s="34"/>
      <c r="S30" s="34"/>
      <c r="T30" s="34"/>
      <c r="U30" s="34"/>
      <c r="V30" s="34"/>
      <c r="W30" s="34"/>
      <c r="X30" s="34"/>
      <c r="AB30" s="52"/>
      <c r="AC30" s="52"/>
      <c r="AD30" s="52"/>
      <c r="AE30" s="52"/>
      <c r="AF30" s="52"/>
      <c r="AG30" s="52"/>
      <c r="AH30" s="52"/>
      <c r="AI30" s="52"/>
      <c r="AJ30" s="52"/>
      <c r="AK30" s="52"/>
      <c r="AL30" s="52"/>
      <c r="AM30" s="52"/>
      <c r="AN30" s="52"/>
      <c r="AO30" s="52"/>
      <c r="AP30" s="52"/>
      <c r="AQ30" s="52"/>
      <c r="AR30" s="52"/>
      <c r="AS30" s="52"/>
      <c r="AT30" s="52"/>
    </row>
    <row r="31" spans="8:46" x14ac:dyDescent="0.25">
      <c r="L31" s="34"/>
      <c r="M31" s="34"/>
      <c r="N31" s="34"/>
      <c r="O31" s="34"/>
      <c r="P31" s="34"/>
      <c r="Q31" s="34"/>
      <c r="R31" s="34"/>
      <c r="S31" s="34"/>
      <c r="T31" s="34"/>
      <c r="U31" s="34"/>
      <c r="V31" s="34"/>
      <c r="W31" s="34"/>
      <c r="X31" s="34"/>
      <c r="AB31" s="52"/>
      <c r="AC31" s="52"/>
      <c r="AD31" s="52"/>
      <c r="AE31" s="52"/>
      <c r="AF31" s="52"/>
      <c r="AG31" s="52"/>
      <c r="AH31" s="52"/>
      <c r="AI31" s="52"/>
      <c r="AJ31" s="52"/>
      <c r="AK31" s="52"/>
      <c r="AL31" s="52"/>
      <c r="AM31" s="52"/>
      <c r="AN31" s="52"/>
      <c r="AO31" s="52"/>
      <c r="AP31" s="52"/>
      <c r="AQ31" s="52"/>
      <c r="AR31" s="52"/>
      <c r="AS31" s="52"/>
      <c r="AT31" s="52"/>
    </row>
    <row r="32" spans="8:46" x14ac:dyDescent="0.25">
      <c r="L32" s="34"/>
      <c r="M32" s="34"/>
      <c r="N32" s="34"/>
      <c r="O32" s="34"/>
      <c r="P32" s="34"/>
      <c r="Q32" s="34"/>
      <c r="R32" s="34"/>
      <c r="S32" s="34"/>
      <c r="T32" s="34"/>
      <c r="U32" s="34"/>
      <c r="V32" s="34"/>
      <c r="W32" s="34"/>
      <c r="X32" s="34"/>
      <c r="AB32" s="52"/>
      <c r="AC32" s="52"/>
      <c r="AD32" s="52"/>
      <c r="AE32" s="52"/>
      <c r="AF32" s="52"/>
      <c r="AG32" s="52"/>
      <c r="AH32" s="52"/>
      <c r="AI32" s="52"/>
      <c r="AJ32" s="52"/>
      <c r="AK32" s="52"/>
      <c r="AL32" s="52"/>
      <c r="AM32" s="52"/>
      <c r="AN32" s="52"/>
      <c r="AO32" s="52"/>
      <c r="AP32" s="52"/>
      <c r="AQ32" s="52"/>
      <c r="AR32" s="52"/>
      <c r="AS32" s="52"/>
      <c r="AT32" s="52"/>
    </row>
    <row r="33" spans="8:46" x14ac:dyDescent="0.25">
      <c r="L33" s="34"/>
      <c r="M33" s="34"/>
      <c r="N33" s="34"/>
      <c r="O33" s="34"/>
      <c r="P33" s="34"/>
      <c r="Q33" s="34"/>
      <c r="R33" s="34"/>
      <c r="S33" s="34"/>
      <c r="T33" s="34"/>
      <c r="U33" s="34"/>
      <c r="V33" s="34"/>
      <c r="W33" s="34"/>
      <c r="X33" s="34"/>
      <c r="AB33" s="52"/>
      <c r="AC33" s="52"/>
      <c r="AD33" s="52"/>
      <c r="AE33" s="52"/>
      <c r="AF33" s="52"/>
      <c r="AG33" s="52"/>
      <c r="AH33" s="52"/>
      <c r="AI33" s="52"/>
      <c r="AJ33" s="52"/>
      <c r="AK33" s="52"/>
      <c r="AL33" s="52"/>
      <c r="AM33" s="52"/>
      <c r="AN33" s="52"/>
      <c r="AO33" s="52"/>
      <c r="AP33" s="52"/>
      <c r="AQ33" s="52"/>
      <c r="AR33" s="52"/>
      <c r="AS33" s="52"/>
      <c r="AT33" s="52"/>
    </row>
    <row r="34" spans="8:46" x14ac:dyDescent="0.25">
      <c r="L34" s="34"/>
      <c r="M34" s="34"/>
      <c r="N34" s="34"/>
      <c r="O34" s="34"/>
      <c r="P34" s="34"/>
      <c r="Q34" s="34"/>
      <c r="R34" s="34"/>
      <c r="S34" s="34"/>
      <c r="T34" s="34"/>
      <c r="U34" s="34"/>
      <c r="V34" s="34"/>
      <c r="W34" s="34"/>
      <c r="X34" s="34"/>
      <c r="AB34" s="51"/>
      <c r="AC34" s="51"/>
      <c r="AD34" s="51"/>
      <c r="AE34" s="51"/>
      <c r="AF34" s="51"/>
      <c r="AG34" s="51"/>
      <c r="AH34" s="51"/>
      <c r="AI34" s="51"/>
      <c r="AJ34" s="51"/>
      <c r="AK34" s="51"/>
      <c r="AL34" s="51"/>
      <c r="AM34" s="51"/>
      <c r="AN34" s="51"/>
      <c r="AO34" s="51"/>
      <c r="AP34" s="51"/>
      <c r="AQ34" s="51"/>
      <c r="AR34" s="51"/>
      <c r="AS34" s="51"/>
      <c r="AT34" s="51"/>
    </row>
    <row r="35" spans="8:46" x14ac:dyDescent="0.25">
      <c r="L35" s="34"/>
      <c r="M35" s="34"/>
      <c r="N35" s="34"/>
      <c r="O35" s="34"/>
      <c r="P35" s="34"/>
      <c r="Q35" s="34"/>
      <c r="R35" s="34"/>
      <c r="S35" s="34"/>
      <c r="T35" s="34"/>
      <c r="U35" s="34"/>
      <c r="V35" s="34"/>
      <c r="W35" s="34"/>
      <c r="X35" s="34"/>
    </row>
    <row r="36" spans="8:46" x14ac:dyDescent="0.25">
      <c r="L36" s="34"/>
      <c r="M36" s="34"/>
      <c r="N36" s="34"/>
      <c r="O36" s="34"/>
      <c r="P36" s="34"/>
      <c r="Q36" s="34"/>
      <c r="R36" s="34"/>
      <c r="S36" s="34"/>
      <c r="T36" s="34"/>
      <c r="U36" s="34"/>
      <c r="V36" s="34"/>
      <c r="W36" s="34"/>
      <c r="X36" s="34"/>
    </row>
    <row r="37" spans="8:46" x14ac:dyDescent="0.25">
      <c r="L37" s="34"/>
      <c r="M37" s="34"/>
      <c r="N37" s="34"/>
      <c r="O37" s="34"/>
      <c r="P37" s="34"/>
      <c r="Q37" s="34"/>
      <c r="R37" s="34"/>
      <c r="S37" s="34"/>
      <c r="T37" s="34"/>
      <c r="U37" s="34"/>
      <c r="V37" s="34"/>
      <c r="W37" s="34"/>
      <c r="X37" s="34"/>
    </row>
    <row r="38" spans="8:46" x14ac:dyDescent="0.25">
      <c r="L38" s="34"/>
      <c r="M38" s="34"/>
      <c r="N38" s="34"/>
      <c r="O38" s="34"/>
      <c r="P38" s="34"/>
      <c r="Q38" s="34"/>
      <c r="R38" s="34"/>
      <c r="S38" s="34"/>
      <c r="T38" s="34"/>
      <c r="U38" s="34"/>
      <c r="V38" s="34"/>
      <c r="W38" s="34"/>
      <c r="X38" s="34"/>
    </row>
    <row r="39" spans="8:46" x14ac:dyDescent="0.25">
      <c r="L39" s="34"/>
      <c r="M39" s="34"/>
      <c r="N39" s="34"/>
      <c r="O39" s="34"/>
      <c r="P39" s="34"/>
      <c r="Q39" s="34"/>
      <c r="R39" s="34"/>
      <c r="S39" s="34"/>
      <c r="T39" s="34"/>
      <c r="U39" s="34"/>
      <c r="V39" s="34"/>
      <c r="W39" s="34"/>
      <c r="X39" s="34"/>
    </row>
    <row r="40" spans="8:46" x14ac:dyDescent="0.25">
      <c r="L40" s="34"/>
      <c r="M40" s="34"/>
      <c r="N40" s="34"/>
      <c r="O40" s="34"/>
      <c r="P40" s="34"/>
      <c r="Q40" s="34"/>
      <c r="R40" s="34"/>
      <c r="S40" s="34"/>
      <c r="T40" s="34"/>
      <c r="U40" s="34"/>
      <c r="V40" s="34"/>
      <c r="W40" s="34"/>
      <c r="X40" s="34"/>
    </row>
    <row r="41" spans="8:46" x14ac:dyDescent="0.25">
      <c r="L41" s="34"/>
      <c r="M41" s="34"/>
      <c r="N41" s="34"/>
      <c r="O41" s="34"/>
      <c r="P41" s="34"/>
      <c r="Q41" s="34"/>
      <c r="R41" s="34"/>
      <c r="S41" s="34"/>
      <c r="T41" s="34"/>
      <c r="U41" s="34"/>
      <c r="V41" s="34"/>
      <c r="W41" s="34"/>
      <c r="X41" s="34"/>
    </row>
    <row r="42" spans="8:46" x14ac:dyDescent="0.25">
      <c r="L42" s="34"/>
      <c r="M42" s="34"/>
      <c r="N42" s="34"/>
      <c r="O42" s="34"/>
      <c r="P42" s="34"/>
      <c r="Q42" s="34"/>
      <c r="R42" s="34"/>
      <c r="S42" s="34"/>
      <c r="T42" s="34"/>
      <c r="U42" s="34"/>
      <c r="V42" s="34"/>
      <c r="W42" s="34"/>
      <c r="X42" s="34"/>
    </row>
    <row r="44" spans="8:46" x14ac:dyDescent="0.25">
      <c r="H44" s="50"/>
      <c r="K44" s="34"/>
      <c r="L44" s="34"/>
      <c r="M44" s="34"/>
      <c r="N44" s="34"/>
      <c r="O44" s="34"/>
      <c r="P44" s="34"/>
      <c r="Q44" s="34"/>
      <c r="R44" s="34"/>
      <c r="S44" s="34"/>
      <c r="T44" s="34"/>
      <c r="U44" s="34"/>
      <c r="V44" s="34"/>
      <c r="W44" s="34"/>
      <c r="X44" s="34"/>
    </row>
  </sheetData>
  <phoneticPr fontId="14" type="noConversion"/>
  <pageMargins left="0.7" right="0.7" top="0.75" bottom="0.75" header="0.3" footer="0.3"/>
  <pageSetup paperSize="9"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1:CP86"/>
  <sheetViews>
    <sheetView topLeftCell="G1" zoomScale="85" zoomScaleNormal="85" workbookViewId="0">
      <pane xSplit="4" ySplit="7" topLeftCell="K8" activePane="bottomRight" state="frozen"/>
      <selection pane="topRight"/>
      <selection pane="bottomLeft"/>
      <selection pane="bottomRight" activeCell="R15" sqref="R15:R19"/>
    </sheetView>
  </sheetViews>
  <sheetFormatPr defaultColWidth="9" defaultRowHeight="15" x14ac:dyDescent="0.25"/>
  <cols>
    <col min="1" max="1" width="39" style="20" customWidth="1"/>
    <col min="2" max="2" width="10.375" style="25" customWidth="1"/>
    <col min="3" max="3" width="12.875" style="20" customWidth="1"/>
    <col min="4" max="7" width="9" style="20"/>
    <col min="8" max="8" width="37.125" style="27" customWidth="1"/>
    <col min="9" max="9" width="3.125" style="27" customWidth="1"/>
    <col min="10" max="10" width="28.125" style="27" customWidth="1"/>
    <col min="11" max="11" width="12.625" style="20" customWidth="1"/>
    <col min="12" max="12" width="13.625" style="20" customWidth="1"/>
    <col min="13" max="52" width="12.625" style="20" customWidth="1"/>
    <col min="53" max="16384" width="9" style="20"/>
  </cols>
  <sheetData>
    <row r="1" spans="3:94" x14ac:dyDescent="0.25"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</row>
    <row r="2" spans="3:94" x14ac:dyDescent="0.25">
      <c r="L2" s="47"/>
      <c r="M2" s="30"/>
      <c r="N2" s="47"/>
      <c r="O2" s="47"/>
      <c r="P2" s="47"/>
      <c r="Q2" s="47"/>
      <c r="R2" s="47"/>
      <c r="S2" s="47"/>
      <c r="T2" s="47"/>
      <c r="U2" s="47"/>
      <c r="V2" s="47"/>
      <c r="W2" s="47"/>
      <c r="X2" s="47"/>
      <c r="Y2" s="47"/>
      <c r="Z2" s="47"/>
      <c r="AA2" s="47"/>
      <c r="AB2" s="47"/>
      <c r="AC2" s="47"/>
      <c r="AD2" s="47"/>
      <c r="AE2" s="47"/>
      <c r="AF2" s="47"/>
      <c r="AG2" s="47"/>
      <c r="AH2" s="47"/>
      <c r="AI2" s="47"/>
      <c r="AJ2" s="47"/>
    </row>
    <row r="3" spans="3:94" x14ac:dyDescent="0.25">
      <c r="K3" s="27">
        <f t="shared" ref="K3:W3" si="0">K9/15</f>
        <v>395.98899716448</v>
      </c>
      <c r="L3" s="27">
        <f t="shared" si="0"/>
        <v>400.2521278253767</v>
      </c>
      <c r="M3" s="27">
        <f t="shared" si="0"/>
        <v>395.98899716448</v>
      </c>
      <c r="N3" s="27">
        <f t="shared" si="0"/>
        <v>407.01541504152988</v>
      </c>
      <c r="O3" s="27">
        <f t="shared" si="0"/>
        <v>395.98899716448</v>
      </c>
      <c r="P3" s="27">
        <f t="shared" si="0"/>
        <v>411.88115202593838</v>
      </c>
      <c r="Q3" s="27">
        <f t="shared" si="0"/>
        <v>395.98899716448</v>
      </c>
      <c r="R3" s="27">
        <f t="shared" si="0"/>
        <v>403.31624984579815</v>
      </c>
      <c r="S3" s="27">
        <f t="shared" si="0"/>
        <v>0</v>
      </c>
      <c r="T3" s="27">
        <f t="shared" si="0"/>
        <v>0</v>
      </c>
      <c r="U3" s="27">
        <f t="shared" si="0"/>
        <v>0</v>
      </c>
      <c r="V3" s="27">
        <f t="shared" si="0"/>
        <v>0</v>
      </c>
      <c r="W3" s="27">
        <f t="shared" si="0"/>
        <v>0</v>
      </c>
    </row>
    <row r="4" spans="3:94" x14ac:dyDescent="0.25">
      <c r="M4" s="48"/>
    </row>
    <row r="5" spans="3:94" x14ac:dyDescent="0.25">
      <c r="L5" s="22">
        <f>L11/L10</f>
        <v>0.98887046088526143</v>
      </c>
    </row>
    <row r="6" spans="3:94" x14ac:dyDescent="0.25">
      <c r="K6" s="71" t="s">
        <v>73</v>
      </c>
      <c r="L6" s="71" t="s">
        <v>73</v>
      </c>
      <c r="M6" s="71" t="s">
        <v>315</v>
      </c>
      <c r="N6" s="71" t="s">
        <v>315</v>
      </c>
      <c r="O6" s="71" t="s">
        <v>316</v>
      </c>
      <c r="P6" s="71" t="s">
        <v>316</v>
      </c>
      <c r="Q6" s="71" t="s">
        <v>317</v>
      </c>
      <c r="R6" s="71" t="s">
        <v>317</v>
      </c>
      <c r="S6" s="71"/>
      <c r="T6" s="71"/>
      <c r="U6" s="71"/>
      <c r="V6" s="71"/>
      <c r="W6" s="71"/>
      <c r="X6" s="71"/>
      <c r="Y6" s="75"/>
      <c r="Z6" s="75"/>
      <c r="AA6" s="75"/>
      <c r="AB6" s="75"/>
      <c r="AC6" s="75"/>
      <c r="AD6" s="75"/>
      <c r="AE6" s="75"/>
      <c r="AF6" s="75"/>
      <c r="AG6" s="75"/>
      <c r="AH6" s="75"/>
      <c r="AI6" s="75"/>
      <c r="AJ6" s="75"/>
      <c r="AK6" s="75"/>
      <c r="AL6" s="75"/>
      <c r="AM6" s="75"/>
      <c r="AN6" s="75"/>
      <c r="AO6" s="75"/>
      <c r="AP6" s="75"/>
      <c r="AQ6" s="75"/>
      <c r="AR6" s="75"/>
      <c r="AS6" s="75"/>
      <c r="AT6" s="75"/>
      <c r="AU6" s="75"/>
      <c r="AV6" s="75"/>
      <c r="AW6" s="75"/>
      <c r="AX6" s="75"/>
      <c r="AY6" s="75"/>
      <c r="AZ6" s="75"/>
      <c r="BA6" s="75"/>
      <c r="BB6" s="75"/>
      <c r="BC6" s="75"/>
      <c r="BD6" s="75"/>
      <c r="BE6" s="75"/>
      <c r="BF6" s="75"/>
      <c r="BG6" s="75"/>
      <c r="BH6" s="75"/>
      <c r="BI6" s="75"/>
      <c r="BJ6" s="75"/>
      <c r="BK6" s="75"/>
      <c r="BL6" s="75"/>
      <c r="BM6" s="75"/>
      <c r="BN6" s="75"/>
      <c r="BO6" s="75"/>
      <c r="BP6" s="75"/>
      <c r="BQ6" s="75"/>
      <c r="BR6" s="75"/>
      <c r="BS6" s="75"/>
      <c r="BT6" s="75"/>
      <c r="BU6" s="75"/>
      <c r="BV6" s="75"/>
      <c r="BW6" s="75"/>
      <c r="BX6" s="75"/>
      <c r="BY6" s="75"/>
      <c r="BZ6" s="75"/>
      <c r="CA6" s="75"/>
      <c r="CB6" s="75"/>
      <c r="CC6" s="75"/>
      <c r="CD6" s="75"/>
      <c r="CE6" s="75"/>
      <c r="CF6" s="75"/>
      <c r="CG6" s="75"/>
      <c r="CH6" s="75"/>
      <c r="CI6" s="75"/>
      <c r="CJ6" s="75"/>
      <c r="CK6" s="75"/>
      <c r="CL6" s="75"/>
      <c r="CM6" s="75"/>
      <c r="CN6" s="75"/>
      <c r="CO6" s="75"/>
      <c r="CP6" s="75"/>
    </row>
    <row r="7" spans="3:94" x14ac:dyDescent="0.25">
      <c r="C7" s="25"/>
      <c r="D7" s="25"/>
      <c r="E7" s="25"/>
      <c r="F7" s="25"/>
      <c r="G7" s="25"/>
      <c r="K7" s="71" t="s">
        <v>76</v>
      </c>
      <c r="L7" s="71" t="s">
        <v>77</v>
      </c>
      <c r="M7" s="71" t="s">
        <v>76</v>
      </c>
      <c r="N7" s="71" t="s">
        <v>77</v>
      </c>
      <c r="O7" s="71" t="s">
        <v>76</v>
      </c>
      <c r="P7" s="71" t="s">
        <v>77</v>
      </c>
      <c r="Q7" s="71" t="s">
        <v>76</v>
      </c>
      <c r="R7" s="71" t="s">
        <v>77</v>
      </c>
      <c r="S7" s="71"/>
      <c r="T7" s="71"/>
      <c r="U7" s="71"/>
      <c r="V7" s="71"/>
      <c r="W7" s="71"/>
      <c r="X7" s="71"/>
      <c r="Y7" s="75"/>
      <c r="Z7" s="75"/>
      <c r="AA7" s="75"/>
      <c r="AB7" s="75"/>
      <c r="AC7" s="75"/>
      <c r="AD7" s="75"/>
      <c r="AE7" s="75"/>
      <c r="AF7" s="75"/>
      <c r="AG7" s="75"/>
      <c r="AH7" s="75"/>
      <c r="AI7" s="75"/>
      <c r="AJ7" s="75"/>
      <c r="AK7" s="75"/>
      <c r="AL7" s="75"/>
      <c r="AM7" s="75"/>
      <c r="AN7" s="75"/>
      <c r="AO7" s="75"/>
      <c r="AP7" s="75"/>
      <c r="AQ7" s="75"/>
      <c r="AR7" s="75"/>
      <c r="AS7" s="75"/>
      <c r="AT7" s="75"/>
      <c r="AU7" s="75"/>
      <c r="AV7" s="75"/>
      <c r="AW7" s="75"/>
      <c r="AX7" s="75"/>
      <c r="AY7" s="75"/>
      <c r="AZ7" s="75"/>
      <c r="BA7" s="75"/>
      <c r="BB7" s="75"/>
      <c r="BC7" s="75"/>
      <c r="BD7" s="75"/>
      <c r="BE7" s="75"/>
      <c r="BF7" s="75"/>
      <c r="BG7" s="75"/>
      <c r="BH7" s="75"/>
      <c r="BI7" s="75"/>
      <c r="BJ7" s="75"/>
      <c r="BK7" s="75"/>
      <c r="BL7" s="75"/>
      <c r="BM7" s="75"/>
      <c r="BN7" s="75"/>
      <c r="BO7" s="75"/>
      <c r="BP7" s="75"/>
      <c r="BQ7" s="75"/>
      <c r="BR7" s="75"/>
      <c r="BS7" s="75"/>
      <c r="BT7" s="75"/>
      <c r="BU7" s="75"/>
      <c r="BV7" s="75"/>
      <c r="BW7" s="75"/>
      <c r="BX7" s="75"/>
      <c r="BY7" s="75"/>
      <c r="BZ7" s="75"/>
      <c r="CA7" s="75"/>
      <c r="CB7" s="75"/>
      <c r="CC7" s="75"/>
      <c r="CD7" s="75"/>
      <c r="CE7" s="75"/>
      <c r="CF7" s="75"/>
      <c r="CG7" s="75"/>
      <c r="CH7" s="75"/>
      <c r="CI7" s="75"/>
      <c r="CJ7" s="75"/>
      <c r="CK7" s="75"/>
      <c r="CL7" s="75"/>
      <c r="CM7" s="75"/>
      <c r="CN7" s="75"/>
      <c r="CO7" s="75"/>
      <c r="CP7" s="75"/>
    </row>
    <row r="8" spans="3:94" x14ac:dyDescent="0.25">
      <c r="C8" s="40"/>
      <c r="D8" s="27"/>
      <c r="E8" s="27"/>
      <c r="F8" s="27"/>
      <c r="G8" s="27"/>
      <c r="H8" s="27" t="s">
        <v>176</v>
      </c>
      <c r="J8" s="72" t="s">
        <v>79</v>
      </c>
      <c r="K8" s="27">
        <v>2358.1799999999998</v>
      </c>
      <c r="L8" s="27">
        <v>2350.5588836553616</v>
      </c>
      <c r="M8" s="27">
        <v>2358.1799999999998</v>
      </c>
      <c r="N8" s="27">
        <v>2352.439932601646</v>
      </c>
      <c r="O8" s="27">
        <v>2358.1799999999998</v>
      </c>
      <c r="P8" s="27">
        <v>2354.7929370671277</v>
      </c>
      <c r="Q8" s="27">
        <v>2358.1799999999998</v>
      </c>
      <c r="R8" s="27">
        <v>2350.7939489461505</v>
      </c>
      <c r="S8" s="27"/>
      <c r="T8" s="27"/>
      <c r="U8" s="27"/>
      <c r="V8" s="27"/>
      <c r="W8" s="27"/>
      <c r="X8" s="27"/>
      <c r="AB8" s="49"/>
      <c r="AC8" s="49"/>
      <c r="AD8" s="49"/>
      <c r="AE8" s="49"/>
      <c r="AF8" s="49"/>
      <c r="AG8" s="49"/>
      <c r="AH8" s="49"/>
      <c r="AI8" s="49"/>
      <c r="AJ8" s="49"/>
      <c r="AK8" s="49"/>
      <c r="AL8" s="49"/>
      <c r="AM8" s="49"/>
      <c r="AN8" s="49"/>
      <c r="AO8" s="49"/>
      <c r="AP8" s="49"/>
      <c r="AQ8" s="49"/>
      <c r="AR8" s="49"/>
      <c r="AS8" s="49"/>
      <c r="AT8" s="49"/>
    </row>
    <row r="9" spans="3:94" x14ac:dyDescent="0.25">
      <c r="C9" s="40"/>
      <c r="D9" s="27"/>
      <c r="E9" s="27"/>
      <c r="F9" s="27"/>
      <c r="G9" s="27"/>
      <c r="H9" s="27" t="s">
        <v>177</v>
      </c>
      <c r="J9" s="72" t="s">
        <v>81</v>
      </c>
      <c r="K9" s="27">
        <v>5939.8349574672002</v>
      </c>
      <c r="L9" s="27">
        <v>6003.7819173806502</v>
      </c>
      <c r="M9" s="27">
        <v>5939.8349574672002</v>
      </c>
      <c r="N9" s="27">
        <v>6105.2312256229479</v>
      </c>
      <c r="O9" s="27">
        <v>5939.8349574672002</v>
      </c>
      <c r="P9" s="27">
        <v>6178.2172803890753</v>
      </c>
      <c r="Q9" s="27">
        <v>5939.8349574672002</v>
      </c>
      <c r="R9" s="27">
        <v>6049.7437476869727</v>
      </c>
      <c r="S9" s="27"/>
      <c r="T9" s="27"/>
      <c r="U9" s="27"/>
      <c r="V9" s="27"/>
      <c r="W9" s="27"/>
      <c r="X9" s="27"/>
      <c r="AB9" s="49"/>
      <c r="AC9" s="49"/>
      <c r="AD9" s="49"/>
      <c r="AE9" s="49"/>
      <c r="AF9" s="49"/>
      <c r="AG9" s="49"/>
      <c r="AH9" s="49"/>
      <c r="AI9" s="49"/>
      <c r="AJ9" s="49"/>
      <c r="AK9" s="49"/>
      <c r="AL9" s="49"/>
      <c r="AM9" s="49"/>
      <c r="AN9" s="49"/>
      <c r="AO9" s="49"/>
      <c r="AP9" s="49"/>
      <c r="AQ9" s="49"/>
      <c r="AR9" s="49"/>
      <c r="AS9" s="49"/>
      <c r="AT9" s="49"/>
    </row>
    <row r="10" spans="3:94" x14ac:dyDescent="0.25">
      <c r="C10" s="40"/>
      <c r="D10" s="27"/>
      <c r="E10" s="27"/>
      <c r="F10" s="27"/>
      <c r="G10" s="27"/>
      <c r="H10" s="27" t="s">
        <v>178</v>
      </c>
      <c r="J10" s="72" t="s">
        <v>83</v>
      </c>
      <c r="K10" s="27">
        <v>14391.92</v>
      </c>
      <c r="L10" s="27">
        <v>14271.073390942303</v>
      </c>
      <c r="M10" s="27">
        <v>14391.92</v>
      </c>
      <c r="N10" s="27">
        <v>14362.18973292191</v>
      </c>
      <c r="O10" s="27">
        <v>14391.92</v>
      </c>
      <c r="P10" s="27">
        <v>14548.422415526275</v>
      </c>
      <c r="Q10" s="27">
        <v>14391.92</v>
      </c>
      <c r="R10" s="27">
        <v>14221.700994737343</v>
      </c>
      <c r="S10" s="27"/>
      <c r="T10" s="27"/>
      <c r="U10" s="27"/>
      <c r="V10" s="27"/>
      <c r="W10" s="27"/>
      <c r="X10" s="27"/>
      <c r="AB10" s="49"/>
      <c r="AC10" s="49"/>
      <c r="AD10" s="49"/>
      <c r="AE10" s="49"/>
      <c r="AF10" s="49"/>
      <c r="AG10" s="49"/>
      <c r="AH10" s="49"/>
      <c r="AI10" s="49"/>
      <c r="AJ10" s="49"/>
      <c r="AK10" s="49"/>
      <c r="AL10" s="49"/>
      <c r="AM10" s="49"/>
      <c r="AN10" s="49"/>
      <c r="AO10" s="49"/>
      <c r="AP10" s="49"/>
      <c r="AQ10" s="49"/>
      <c r="AR10" s="49"/>
      <c r="AS10" s="49"/>
      <c r="AT10" s="49"/>
    </row>
    <row r="11" spans="3:94" x14ac:dyDescent="0.25">
      <c r="C11" s="40"/>
      <c r="D11" s="27"/>
      <c r="E11" s="27"/>
      <c r="F11" s="27"/>
      <c r="G11" s="27"/>
      <c r="H11" s="27" t="s">
        <v>179</v>
      </c>
      <c r="J11" s="72" t="s">
        <v>85</v>
      </c>
      <c r="K11" s="27">
        <v>14007.2</v>
      </c>
      <c r="L11" s="27">
        <v>14112.242921428506</v>
      </c>
      <c r="M11" s="27">
        <v>14007.2</v>
      </c>
      <c r="N11" s="27">
        <v>14362.18973292191</v>
      </c>
      <c r="O11" s="27">
        <v>14007.2</v>
      </c>
      <c r="P11" s="27">
        <v>14548.422415526275</v>
      </c>
      <c r="Q11" s="27">
        <v>14007.2</v>
      </c>
      <c r="R11" s="27">
        <v>14221.700994737343</v>
      </c>
      <c r="S11" s="27"/>
      <c r="T11" s="27"/>
      <c r="U11" s="27"/>
      <c r="V11" s="27"/>
      <c r="W11" s="27"/>
      <c r="X11" s="27"/>
      <c r="AB11" s="49"/>
      <c r="AC11" s="49"/>
      <c r="AD11" s="49"/>
      <c r="AE11" s="49"/>
      <c r="AF11" s="49"/>
      <c r="AG11" s="49"/>
      <c r="AH11" s="49"/>
      <c r="AI11" s="49"/>
      <c r="AJ11" s="49"/>
      <c r="AK11" s="49"/>
      <c r="AL11" s="49"/>
      <c r="AM11" s="49"/>
      <c r="AN11" s="49"/>
      <c r="AO11" s="49"/>
      <c r="AP11" s="49"/>
      <c r="AQ11" s="49"/>
      <c r="AR11" s="49"/>
      <c r="AS11" s="49"/>
      <c r="AT11" s="49"/>
    </row>
    <row r="12" spans="3:94" x14ac:dyDescent="0.25">
      <c r="C12" s="40"/>
      <c r="D12" s="27"/>
      <c r="E12" s="27"/>
      <c r="F12" s="27"/>
      <c r="G12" s="27"/>
      <c r="H12" s="27" t="s">
        <v>180</v>
      </c>
      <c r="J12" s="72" t="s">
        <v>87</v>
      </c>
      <c r="K12" s="27">
        <v>384.72</v>
      </c>
      <c r="L12" s="27">
        <v>158.83046951379765</v>
      </c>
      <c r="M12" s="27">
        <v>384.72</v>
      </c>
      <c r="N12" s="27"/>
      <c r="O12" s="27">
        <v>384.72</v>
      </c>
      <c r="P12" s="27"/>
      <c r="Q12" s="27">
        <v>384.72</v>
      </c>
      <c r="R12" s="27"/>
      <c r="S12" s="27"/>
      <c r="T12" s="27"/>
      <c r="U12" s="27"/>
      <c r="V12" s="27"/>
      <c r="W12" s="27"/>
      <c r="X12" s="27"/>
      <c r="AB12" s="49"/>
      <c r="AC12" s="49"/>
      <c r="AD12" s="49"/>
      <c r="AE12" s="49"/>
      <c r="AF12" s="49"/>
      <c r="AG12" s="49"/>
      <c r="AH12" s="49"/>
      <c r="AI12" s="49"/>
      <c r="AJ12" s="49"/>
      <c r="AK12" s="49"/>
      <c r="AL12" s="49"/>
      <c r="AM12" s="49"/>
      <c r="AN12" s="49"/>
      <c r="AO12" s="49"/>
      <c r="AP12" s="49"/>
      <c r="AQ12" s="49"/>
      <c r="AR12" s="49"/>
      <c r="AS12" s="49"/>
      <c r="AT12" s="49"/>
    </row>
    <row r="13" spans="3:94" x14ac:dyDescent="0.25">
      <c r="C13" s="40"/>
      <c r="D13" s="27"/>
      <c r="E13" s="27"/>
      <c r="F13" s="27"/>
      <c r="G13" s="27"/>
      <c r="H13" s="27" t="s">
        <v>181</v>
      </c>
      <c r="J13" s="72" t="s">
        <v>89</v>
      </c>
      <c r="K13" s="27">
        <v>14391.92</v>
      </c>
      <c r="L13" s="27">
        <v>14271.073390942303</v>
      </c>
      <c r="M13" s="27">
        <v>14391.92</v>
      </c>
      <c r="N13" s="27">
        <v>14362.18973292191</v>
      </c>
      <c r="O13" s="27">
        <v>14391.92</v>
      </c>
      <c r="P13" s="27">
        <v>14548.422415526275</v>
      </c>
      <c r="Q13" s="27">
        <v>14391.92</v>
      </c>
      <c r="R13" s="27">
        <v>14221.700994737343</v>
      </c>
      <c r="S13" s="27"/>
      <c r="T13" s="27"/>
      <c r="U13" s="27"/>
      <c r="V13" s="27"/>
      <c r="W13" s="27"/>
      <c r="X13" s="27"/>
      <c r="AB13" s="49"/>
      <c r="AC13" s="49"/>
      <c r="AD13" s="49"/>
      <c r="AE13" s="49"/>
      <c r="AF13" s="49"/>
      <c r="AG13" s="49"/>
      <c r="AH13" s="49"/>
      <c r="AI13" s="49"/>
      <c r="AJ13" s="49"/>
      <c r="AK13" s="49"/>
      <c r="AL13" s="49"/>
      <c r="AM13" s="49"/>
      <c r="AN13" s="49"/>
      <c r="AO13" s="49"/>
      <c r="AP13" s="49"/>
      <c r="AQ13" s="49"/>
      <c r="AR13" s="49"/>
      <c r="AS13" s="49"/>
      <c r="AT13" s="49"/>
    </row>
    <row r="14" spans="3:94" x14ac:dyDescent="0.25">
      <c r="C14" s="40"/>
      <c r="D14" s="27"/>
      <c r="E14" s="27"/>
      <c r="F14" s="27"/>
      <c r="G14" s="27"/>
      <c r="H14" s="27" t="s">
        <v>182</v>
      </c>
      <c r="J14" s="72" t="s">
        <v>91</v>
      </c>
      <c r="K14" s="27">
        <v>62.994255778032446</v>
      </c>
      <c r="L14" s="27">
        <v>60.564776722272406</v>
      </c>
      <c r="M14" s="27">
        <v>62.994255778032446</v>
      </c>
      <c r="N14" s="27">
        <v>60.11606770412849</v>
      </c>
      <c r="O14" s="27">
        <v>62.994255778032446</v>
      </c>
      <c r="P14" s="27">
        <v>60.116067704128504</v>
      </c>
      <c r="Q14" s="27">
        <v>62.994255778032446</v>
      </c>
      <c r="R14" s="27">
        <v>60.116067704128504</v>
      </c>
      <c r="S14" s="27"/>
      <c r="T14" s="27"/>
      <c r="U14" s="27"/>
      <c r="V14" s="27"/>
      <c r="W14" s="27"/>
      <c r="X14" s="27"/>
      <c r="AB14" s="49"/>
      <c r="AC14" s="49"/>
      <c r="AD14" s="49"/>
      <c r="AE14" s="49"/>
      <c r="AF14" s="49"/>
      <c r="AG14" s="49"/>
      <c r="AH14" s="49"/>
      <c r="AI14" s="49"/>
      <c r="AJ14" s="49"/>
      <c r="AK14" s="49"/>
      <c r="AL14" s="49"/>
      <c r="AM14" s="49"/>
      <c r="AN14" s="49"/>
      <c r="AO14" s="49"/>
      <c r="AP14" s="49"/>
      <c r="AQ14" s="49"/>
      <c r="AR14" s="49"/>
      <c r="AS14" s="49"/>
      <c r="AT14" s="49"/>
    </row>
    <row r="15" spans="3:94" x14ac:dyDescent="0.25">
      <c r="C15" s="40"/>
      <c r="D15" s="27"/>
      <c r="E15" s="27"/>
      <c r="F15" s="27"/>
      <c r="G15" s="27"/>
      <c r="H15" s="27" t="s">
        <v>183</v>
      </c>
      <c r="J15" s="72" t="s">
        <v>93</v>
      </c>
      <c r="K15" s="27">
        <v>700</v>
      </c>
      <c r="L15" s="27">
        <v>697.73775477646029</v>
      </c>
      <c r="M15" s="27">
        <v>700</v>
      </c>
      <c r="N15" s="27">
        <v>698.29612362972807</v>
      </c>
      <c r="O15" s="27">
        <v>700</v>
      </c>
      <c r="P15" s="27">
        <v>698.99458732878293</v>
      </c>
      <c r="Q15" s="27">
        <v>700</v>
      </c>
      <c r="R15" s="27">
        <v>697.80753134294469</v>
      </c>
      <c r="S15" s="27"/>
      <c r="T15" s="27"/>
      <c r="U15" s="27"/>
      <c r="V15" s="27"/>
      <c r="W15" s="27"/>
      <c r="X15" s="27"/>
      <c r="AB15" s="49"/>
      <c r="AC15" s="49"/>
      <c r="AD15" s="49"/>
      <c r="AE15" s="49"/>
      <c r="AF15" s="49"/>
      <c r="AG15" s="49"/>
      <c r="AH15" s="49"/>
      <c r="AI15" s="49"/>
      <c r="AJ15" s="49"/>
      <c r="AK15" s="49"/>
      <c r="AL15" s="49"/>
      <c r="AM15" s="49"/>
      <c r="AN15" s="49"/>
      <c r="AO15" s="49"/>
      <c r="AP15" s="49"/>
      <c r="AQ15" s="49"/>
      <c r="AR15" s="49"/>
      <c r="AS15" s="49"/>
      <c r="AT15" s="49"/>
    </row>
    <row r="16" spans="3:94" x14ac:dyDescent="0.25">
      <c r="C16" s="40"/>
      <c r="D16" s="27"/>
      <c r="E16" s="27"/>
      <c r="F16" s="27"/>
      <c r="G16" s="27"/>
      <c r="H16" s="27" t="s">
        <v>184</v>
      </c>
      <c r="J16" s="72" t="s">
        <v>95</v>
      </c>
      <c r="K16" s="27">
        <v>2040</v>
      </c>
      <c r="L16" s="27">
        <v>2017.3326809999353</v>
      </c>
      <c r="M16" s="27">
        <v>2040</v>
      </c>
      <c r="N16" s="27">
        <v>2014.3408964887929</v>
      </c>
      <c r="O16" s="27">
        <v>2040</v>
      </c>
      <c r="P16" s="27">
        <v>2014.3408964887915</v>
      </c>
      <c r="Q16" s="27">
        <v>2040</v>
      </c>
      <c r="R16" s="27">
        <v>2014.3408964887922</v>
      </c>
      <c r="S16" s="27"/>
      <c r="T16" s="27"/>
      <c r="U16" s="27"/>
      <c r="V16" s="27"/>
      <c r="W16" s="27"/>
      <c r="X16" s="27"/>
      <c r="AB16" s="49"/>
      <c r="AC16" s="49"/>
      <c r="AD16" s="49"/>
      <c r="AE16" s="49"/>
      <c r="AF16" s="49"/>
      <c r="AG16" s="49"/>
      <c r="AH16" s="49"/>
      <c r="AI16" s="49"/>
      <c r="AJ16" s="49"/>
      <c r="AK16" s="49"/>
      <c r="AL16" s="49"/>
      <c r="AM16" s="49"/>
      <c r="AN16" s="49"/>
      <c r="AO16" s="49"/>
      <c r="AP16" s="49"/>
      <c r="AQ16" s="49"/>
      <c r="AR16" s="49"/>
      <c r="AS16" s="49"/>
      <c r="AT16" s="49"/>
    </row>
    <row r="17" spans="3:46" x14ac:dyDescent="0.25">
      <c r="C17" s="40"/>
      <c r="D17" s="27"/>
      <c r="E17" s="27"/>
      <c r="F17" s="27"/>
      <c r="G17" s="27"/>
      <c r="H17" s="27" t="s">
        <v>185</v>
      </c>
      <c r="J17" s="72" t="s">
        <v>97</v>
      </c>
      <c r="K17" s="27">
        <v>1000</v>
      </c>
      <c r="L17" s="27">
        <v>1317.2717082188722</v>
      </c>
      <c r="M17" s="27">
        <v>1000</v>
      </c>
      <c r="N17" s="27">
        <v>1313.0407116994945</v>
      </c>
      <c r="O17" s="27">
        <v>1000</v>
      </c>
      <c r="P17" s="27">
        <v>1313.0407116994948</v>
      </c>
      <c r="Q17" s="27">
        <v>1000</v>
      </c>
      <c r="R17" s="27">
        <v>1313.0407116994943</v>
      </c>
      <c r="S17" s="27"/>
      <c r="T17" s="27"/>
      <c r="U17" s="27"/>
      <c r="V17" s="27"/>
      <c r="W17" s="27"/>
      <c r="X17" s="27"/>
      <c r="AB17" s="49"/>
      <c r="AC17" s="49"/>
      <c r="AD17" s="49"/>
      <c r="AE17" s="49"/>
      <c r="AF17" s="49"/>
      <c r="AG17" s="49"/>
      <c r="AH17" s="49"/>
      <c r="AI17" s="49"/>
      <c r="AJ17" s="49"/>
      <c r="AK17" s="49"/>
      <c r="AL17" s="49"/>
      <c r="AM17" s="49"/>
      <c r="AN17" s="49"/>
      <c r="AO17" s="49"/>
      <c r="AP17" s="49"/>
      <c r="AQ17" s="49"/>
      <c r="AR17" s="49"/>
      <c r="AS17" s="49"/>
      <c r="AT17" s="49"/>
    </row>
    <row r="18" spans="3:46" x14ac:dyDescent="0.25">
      <c r="C18" s="40"/>
      <c r="D18" s="27"/>
      <c r="E18" s="27"/>
      <c r="F18" s="27"/>
      <c r="G18" s="27"/>
      <c r="H18" s="27" t="s">
        <v>186</v>
      </c>
      <c r="J18" s="72" t="s">
        <v>99</v>
      </c>
      <c r="K18" s="27">
        <v>560</v>
      </c>
      <c r="L18" s="27">
        <v>564.199557084925</v>
      </c>
      <c r="M18" s="27">
        <v>560</v>
      </c>
      <c r="N18" s="27">
        <v>574.19229042465793</v>
      </c>
      <c r="O18" s="27">
        <v>560</v>
      </c>
      <c r="P18" s="27">
        <v>581.63776862575753</v>
      </c>
      <c r="Q18" s="27">
        <v>560</v>
      </c>
      <c r="R18" s="27">
        <v>568.57562946576832</v>
      </c>
      <c r="S18" s="27"/>
      <c r="T18" s="27"/>
      <c r="U18" s="27"/>
      <c r="V18" s="27"/>
      <c r="W18" s="27"/>
      <c r="X18" s="27"/>
      <c r="AB18" s="49"/>
      <c r="AC18" s="49"/>
      <c r="AD18" s="49"/>
      <c r="AE18" s="49"/>
      <c r="AF18" s="49"/>
      <c r="AG18" s="49"/>
      <c r="AH18" s="49"/>
      <c r="AI18" s="49"/>
      <c r="AJ18" s="49"/>
      <c r="AK18" s="49"/>
      <c r="AL18" s="49"/>
      <c r="AM18" s="49"/>
      <c r="AN18" s="49"/>
      <c r="AO18" s="49"/>
      <c r="AP18" s="49"/>
      <c r="AQ18" s="49"/>
      <c r="AR18" s="49"/>
      <c r="AS18" s="49"/>
      <c r="AT18" s="49"/>
    </row>
    <row r="19" spans="3:46" x14ac:dyDescent="0.25">
      <c r="C19" s="40"/>
      <c r="D19" s="27"/>
      <c r="E19" s="27"/>
      <c r="F19" s="27"/>
      <c r="G19" s="27"/>
      <c r="H19" s="50" t="s">
        <v>187</v>
      </c>
      <c r="J19" s="72" t="s">
        <v>101</v>
      </c>
      <c r="K19" s="27">
        <v>1241.92</v>
      </c>
      <c r="L19" s="27">
        <v>1251.2334177409111</v>
      </c>
      <c r="M19" s="27">
        <v>1241.92</v>
      </c>
      <c r="N19" s="27">
        <v>1273.3944452217702</v>
      </c>
      <c r="O19" s="27">
        <v>1241.92</v>
      </c>
      <c r="P19" s="27">
        <v>1289.9063885923231</v>
      </c>
      <c r="Q19" s="27">
        <v>1241.92</v>
      </c>
      <c r="R19" s="27">
        <v>1260.938295975227</v>
      </c>
      <c r="S19" s="27"/>
      <c r="T19" s="27"/>
      <c r="U19" s="27"/>
      <c r="V19" s="27"/>
      <c r="W19" s="27"/>
      <c r="X19" s="27"/>
      <c r="AB19" s="49"/>
      <c r="AC19" s="49"/>
      <c r="AD19" s="49"/>
      <c r="AE19" s="49"/>
      <c r="AF19" s="49"/>
      <c r="AG19" s="49"/>
      <c r="AH19" s="49"/>
      <c r="AI19" s="49"/>
      <c r="AJ19" s="49"/>
      <c r="AK19" s="49"/>
      <c r="AL19" s="49"/>
      <c r="AM19" s="49"/>
      <c r="AN19" s="49"/>
      <c r="AO19" s="49"/>
      <c r="AP19" s="49"/>
      <c r="AQ19" s="49"/>
      <c r="AR19" s="49"/>
      <c r="AS19" s="49"/>
      <c r="AT19" s="49"/>
    </row>
    <row r="20" spans="3:46" x14ac:dyDescent="0.25">
      <c r="C20" s="40"/>
      <c r="D20" s="27"/>
      <c r="E20" s="27"/>
      <c r="F20" s="27"/>
      <c r="G20" s="27"/>
      <c r="H20" s="50" t="s">
        <v>188</v>
      </c>
      <c r="J20" s="72" t="s">
        <v>236</v>
      </c>
      <c r="K20" s="27"/>
      <c r="L20" s="27"/>
      <c r="M20" s="27"/>
      <c r="N20" s="27">
        <v>128.0330666641502</v>
      </c>
      <c r="O20" s="27"/>
      <c r="P20" s="27">
        <v>289.60986399779921</v>
      </c>
      <c r="Q20" s="27"/>
      <c r="R20" s="27">
        <v>6.1057309717918997</v>
      </c>
      <c r="S20" s="27"/>
      <c r="T20" s="27"/>
      <c r="U20" s="27"/>
      <c r="V20" s="27"/>
      <c r="W20" s="27"/>
      <c r="X20" s="27"/>
      <c r="AB20" s="49"/>
      <c r="AC20" s="49"/>
      <c r="AD20" s="49"/>
      <c r="AE20" s="49"/>
      <c r="AF20" s="49"/>
      <c r="AG20" s="49"/>
      <c r="AH20" s="49"/>
      <c r="AI20" s="49"/>
      <c r="AJ20" s="49"/>
      <c r="AK20" s="49"/>
      <c r="AL20" s="49"/>
      <c r="AM20" s="49"/>
      <c r="AN20" s="49"/>
      <c r="AO20" s="49"/>
      <c r="AP20" s="49"/>
      <c r="AQ20" s="49"/>
      <c r="AR20" s="49"/>
      <c r="AS20" s="49"/>
      <c r="AT20" s="49"/>
    </row>
    <row r="21" spans="3:46" x14ac:dyDescent="0.25">
      <c r="C21" s="40"/>
      <c r="D21" s="27"/>
      <c r="E21" s="27"/>
      <c r="F21" s="27"/>
      <c r="G21" s="27"/>
      <c r="H21" s="27" t="s">
        <v>189</v>
      </c>
      <c r="J21" s="72" t="s">
        <v>103</v>
      </c>
      <c r="K21" s="27">
        <v>13150</v>
      </c>
      <c r="L21" s="27">
        <v>13019.839973201393</v>
      </c>
      <c r="M21" s="27">
        <v>13150</v>
      </c>
      <c r="N21" s="27">
        <v>12960.762221035991</v>
      </c>
      <c r="O21" s="27">
        <v>13150</v>
      </c>
      <c r="P21" s="27">
        <v>12968.906162936153</v>
      </c>
      <c r="Q21" s="27">
        <v>13150</v>
      </c>
      <c r="R21" s="27">
        <v>12954.656967790323</v>
      </c>
      <c r="S21" s="27"/>
      <c r="T21" s="27"/>
      <c r="U21" s="27"/>
      <c r="V21" s="27"/>
      <c r="W21" s="27"/>
      <c r="X21" s="27"/>
      <c r="AB21" s="49"/>
      <c r="AC21" s="49"/>
      <c r="AD21" s="49"/>
      <c r="AE21" s="49"/>
      <c r="AF21" s="49"/>
      <c r="AG21" s="49"/>
      <c r="AH21" s="49"/>
      <c r="AI21" s="49"/>
      <c r="AJ21" s="49"/>
      <c r="AK21" s="49"/>
      <c r="AL21" s="49"/>
      <c r="AM21" s="49"/>
      <c r="AN21" s="49"/>
      <c r="AO21" s="49"/>
      <c r="AP21" s="49"/>
      <c r="AQ21" s="49"/>
      <c r="AR21" s="49"/>
      <c r="AS21" s="49"/>
      <c r="AT21" s="49"/>
    </row>
    <row r="22" spans="3:46" x14ac:dyDescent="0.25">
      <c r="C22" s="40"/>
      <c r="D22" s="27"/>
      <c r="E22" s="27"/>
      <c r="F22" s="27"/>
      <c r="G22" s="27"/>
      <c r="H22" s="27" t="s">
        <v>190</v>
      </c>
      <c r="J22" s="72" t="s">
        <v>105</v>
      </c>
      <c r="K22" s="27">
        <v>432.66487926722294</v>
      </c>
      <c r="L22" s="27">
        <v>415.97843302922757</v>
      </c>
      <c r="M22" s="27">
        <v>432.66487926722294</v>
      </c>
      <c r="N22" s="27">
        <v>412.89655467756597</v>
      </c>
      <c r="O22" s="27">
        <v>432.66487926722294</v>
      </c>
      <c r="P22" s="27">
        <v>412.89655467756603</v>
      </c>
      <c r="Q22" s="27">
        <v>432.66487926722294</v>
      </c>
      <c r="R22" s="27">
        <v>412.89655467756603</v>
      </c>
      <c r="S22" s="27"/>
      <c r="T22" s="27"/>
      <c r="U22" s="27"/>
      <c r="V22" s="27"/>
      <c r="W22" s="27"/>
      <c r="X22" s="27"/>
      <c r="AB22" s="49"/>
      <c r="AC22" s="49"/>
      <c r="AD22" s="49"/>
      <c r="AE22" s="49"/>
      <c r="AF22" s="49"/>
      <c r="AG22" s="49"/>
      <c r="AH22" s="49"/>
      <c r="AI22" s="49"/>
      <c r="AJ22" s="49"/>
      <c r="AK22" s="49"/>
      <c r="AL22" s="49"/>
      <c r="AM22" s="49"/>
      <c r="AN22" s="49"/>
      <c r="AO22" s="49"/>
      <c r="AP22" s="49"/>
      <c r="AQ22" s="49"/>
      <c r="AR22" s="49"/>
      <c r="AS22" s="49"/>
      <c r="AT22" s="49"/>
    </row>
    <row r="23" spans="3:46" x14ac:dyDescent="0.25">
      <c r="C23" s="40"/>
      <c r="D23" s="27"/>
      <c r="E23" s="27"/>
      <c r="F23" s="27"/>
      <c r="G23" s="27"/>
      <c r="H23" s="50" t="s">
        <v>191</v>
      </c>
      <c r="J23" s="72" t="s">
        <v>107</v>
      </c>
      <c r="K23" s="27">
        <v>8850</v>
      </c>
      <c r="L23" s="27">
        <v>8423.2982721211993</v>
      </c>
      <c r="M23" s="27">
        <v>8850</v>
      </c>
      <c r="N23" s="27">
        <v>8360.892198793319</v>
      </c>
      <c r="O23" s="27">
        <v>8850</v>
      </c>
      <c r="P23" s="27">
        <v>8360.8921987933209</v>
      </c>
      <c r="Q23" s="27">
        <v>8850</v>
      </c>
      <c r="R23" s="27">
        <v>8360.8921987933209</v>
      </c>
      <c r="S23" s="27"/>
      <c r="T23" s="27"/>
      <c r="U23" s="27"/>
      <c r="V23" s="27"/>
      <c r="W23" s="27"/>
      <c r="X23" s="27"/>
      <c r="AB23" s="49"/>
      <c r="AC23" s="49"/>
      <c r="AD23" s="49"/>
      <c r="AE23" s="49"/>
      <c r="AF23" s="49"/>
      <c r="AG23" s="49"/>
      <c r="AH23" s="49"/>
      <c r="AI23" s="49"/>
      <c r="AJ23" s="49"/>
      <c r="AK23" s="49"/>
      <c r="AL23" s="49"/>
      <c r="AM23" s="49"/>
      <c r="AN23" s="49"/>
      <c r="AO23" s="49"/>
      <c r="AP23" s="49"/>
      <c r="AQ23" s="49"/>
      <c r="AR23" s="49"/>
      <c r="AS23" s="49"/>
      <c r="AT23" s="49"/>
    </row>
    <row r="24" spans="3:46" x14ac:dyDescent="0.25">
      <c r="C24" s="40"/>
      <c r="D24" s="27"/>
      <c r="E24" s="27"/>
      <c r="F24" s="27"/>
      <c r="G24" s="27"/>
      <c r="J24" s="72" t="s">
        <v>109</v>
      </c>
      <c r="K24" s="20">
        <v>3183.7078269709073</v>
      </c>
      <c r="L24" s="20">
        <v>3058.7462942403345</v>
      </c>
      <c r="M24" s="20">
        <v>3102.2067646816508</v>
      </c>
      <c r="N24" s="20">
        <v>2849.7414797501892</v>
      </c>
      <c r="O24" s="20">
        <v>3183.7078269709073</v>
      </c>
      <c r="P24" s="20">
        <v>2969.5999831589588</v>
      </c>
      <c r="Q24" s="20">
        <v>3183.7078269709073</v>
      </c>
      <c r="R24" s="20">
        <v>3022.634724771965</v>
      </c>
      <c r="AB24" s="49"/>
      <c r="AC24" s="49"/>
      <c r="AD24" s="49"/>
      <c r="AE24" s="49"/>
      <c r="AF24" s="49"/>
      <c r="AG24" s="49"/>
      <c r="AH24" s="49"/>
      <c r="AI24" s="49"/>
      <c r="AJ24" s="49"/>
      <c r="AK24" s="49"/>
      <c r="AL24" s="49"/>
      <c r="AM24" s="49"/>
      <c r="AN24" s="49"/>
      <c r="AO24" s="49"/>
      <c r="AP24" s="49"/>
      <c r="AQ24" s="49"/>
      <c r="AR24" s="49"/>
      <c r="AS24" s="49"/>
      <c r="AT24" s="49"/>
    </row>
    <row r="25" spans="3:46" x14ac:dyDescent="0.25">
      <c r="C25" s="40"/>
      <c r="D25" s="27"/>
      <c r="E25" s="27"/>
      <c r="F25" s="27"/>
      <c r="G25" s="27"/>
      <c r="AB25" s="49"/>
      <c r="AC25" s="49"/>
      <c r="AD25" s="49"/>
      <c r="AE25" s="49"/>
      <c r="AF25" s="49"/>
      <c r="AG25" s="49"/>
      <c r="AH25" s="49"/>
      <c r="AI25" s="49"/>
      <c r="AJ25" s="49"/>
      <c r="AK25" s="49"/>
      <c r="AL25" s="49"/>
      <c r="AM25" s="49"/>
      <c r="AN25" s="49"/>
      <c r="AO25" s="49"/>
      <c r="AP25" s="49"/>
      <c r="AQ25" s="49"/>
      <c r="AR25" s="49"/>
      <c r="AS25" s="49"/>
      <c r="AT25" s="49"/>
    </row>
    <row r="26" spans="3:46" x14ac:dyDescent="0.25">
      <c r="C26" s="40"/>
      <c r="D26" s="27"/>
      <c r="E26" s="27"/>
      <c r="F26" s="27"/>
      <c r="G26" s="27"/>
      <c r="AB26" s="49"/>
      <c r="AC26" s="49"/>
      <c r="AD26" s="49"/>
      <c r="AE26" s="49"/>
      <c r="AF26" s="49"/>
      <c r="AG26" s="49"/>
      <c r="AH26" s="49"/>
      <c r="AI26" s="49"/>
      <c r="AJ26" s="49"/>
      <c r="AK26" s="49"/>
      <c r="AL26" s="49"/>
      <c r="AM26" s="49"/>
      <c r="AN26" s="49"/>
      <c r="AO26" s="49"/>
      <c r="AP26" s="49"/>
      <c r="AQ26" s="49"/>
      <c r="AR26" s="49"/>
      <c r="AS26" s="49"/>
      <c r="AT26" s="49"/>
    </row>
    <row r="27" spans="3:46" x14ac:dyDescent="0.25">
      <c r="C27" s="40"/>
      <c r="D27" s="27"/>
      <c r="E27" s="27"/>
      <c r="F27" s="27"/>
      <c r="G27" s="27"/>
      <c r="AB27" s="49"/>
      <c r="AC27" s="49"/>
      <c r="AD27" s="49"/>
      <c r="AE27" s="49"/>
      <c r="AF27" s="49"/>
      <c r="AG27" s="49"/>
      <c r="AH27" s="49"/>
      <c r="AI27" s="49"/>
      <c r="AJ27" s="49"/>
      <c r="AK27" s="49"/>
      <c r="AL27" s="49"/>
      <c r="AM27" s="49"/>
      <c r="AN27" s="49"/>
      <c r="AO27" s="49"/>
      <c r="AP27" s="49"/>
      <c r="AQ27" s="49"/>
      <c r="AR27" s="49"/>
      <c r="AS27" s="49"/>
      <c r="AT27" s="49"/>
    </row>
    <row r="28" spans="3:46" x14ac:dyDescent="0.25">
      <c r="C28" s="40"/>
      <c r="D28" s="27"/>
      <c r="E28" s="27"/>
      <c r="F28" s="27"/>
      <c r="G28" s="27"/>
      <c r="Y28" s="27"/>
      <c r="AB28" s="49"/>
      <c r="AC28" s="49"/>
      <c r="AD28" s="49"/>
      <c r="AE28" s="49"/>
      <c r="AF28" s="49"/>
      <c r="AG28" s="49"/>
      <c r="AH28" s="49"/>
      <c r="AI28" s="49"/>
      <c r="AJ28" s="49"/>
      <c r="AK28" s="49"/>
      <c r="AL28" s="49"/>
      <c r="AM28" s="49"/>
      <c r="AN28" s="49"/>
      <c r="AO28" s="49"/>
      <c r="AP28" s="49"/>
      <c r="AQ28" s="49"/>
      <c r="AR28" s="49"/>
      <c r="AS28" s="49"/>
      <c r="AT28" s="49"/>
    </row>
    <row r="29" spans="3:46" x14ac:dyDescent="0.25">
      <c r="C29" s="40"/>
      <c r="D29" s="27"/>
      <c r="E29" s="27"/>
      <c r="F29" s="27"/>
      <c r="G29" s="27"/>
      <c r="Y29" s="27"/>
      <c r="AB29" s="49"/>
      <c r="AC29" s="49"/>
      <c r="AD29" s="49"/>
      <c r="AE29" s="49"/>
      <c r="AF29" s="49"/>
      <c r="AG29" s="49"/>
      <c r="AH29" s="49"/>
      <c r="AI29" s="49"/>
      <c r="AJ29" s="49"/>
      <c r="AK29" s="49"/>
      <c r="AL29" s="49"/>
      <c r="AM29" s="49"/>
      <c r="AN29" s="49"/>
      <c r="AO29" s="49"/>
      <c r="AP29" s="49"/>
      <c r="AQ29" s="49"/>
      <c r="AR29" s="49"/>
      <c r="AS29" s="49"/>
      <c r="AT29" s="49"/>
    </row>
    <row r="30" spans="3:46" x14ac:dyDescent="0.25">
      <c r="C30" s="40"/>
      <c r="D30" s="27"/>
      <c r="E30" s="27"/>
      <c r="F30" s="27"/>
      <c r="G30" s="27"/>
      <c r="Y30" s="27"/>
      <c r="AB30" s="49"/>
      <c r="AC30" s="49"/>
      <c r="AD30" s="49"/>
      <c r="AE30" s="49"/>
      <c r="AF30" s="49"/>
      <c r="AG30" s="49"/>
      <c r="AH30" s="49"/>
      <c r="AI30" s="49"/>
      <c r="AJ30" s="49"/>
      <c r="AK30" s="49"/>
      <c r="AL30" s="49"/>
      <c r="AM30" s="49"/>
      <c r="AN30" s="49"/>
      <c r="AO30" s="49"/>
      <c r="AP30" s="49"/>
      <c r="AQ30" s="49"/>
      <c r="AR30" s="49"/>
      <c r="AS30" s="49"/>
      <c r="AT30" s="49"/>
    </row>
    <row r="31" spans="3:46" x14ac:dyDescent="0.25">
      <c r="C31" s="40"/>
      <c r="D31" s="27"/>
      <c r="E31" s="27"/>
      <c r="F31" s="27"/>
      <c r="G31" s="27"/>
      <c r="AB31" s="49"/>
      <c r="AC31" s="49"/>
      <c r="AD31" s="49"/>
      <c r="AE31" s="49"/>
      <c r="AF31" s="49"/>
      <c r="AG31" s="49"/>
      <c r="AH31" s="49"/>
      <c r="AI31" s="49"/>
      <c r="AJ31" s="49"/>
      <c r="AK31" s="49"/>
      <c r="AL31" s="49"/>
      <c r="AM31" s="49"/>
      <c r="AN31" s="49"/>
      <c r="AO31" s="49"/>
      <c r="AP31" s="49"/>
      <c r="AQ31" s="49"/>
      <c r="AR31" s="49"/>
      <c r="AS31" s="49"/>
      <c r="AT31" s="49"/>
    </row>
    <row r="32" spans="3:46" x14ac:dyDescent="0.25">
      <c r="C32" s="40"/>
      <c r="D32" s="27"/>
      <c r="E32" s="27"/>
      <c r="F32" s="27"/>
      <c r="G32" s="27"/>
      <c r="AB32" s="49"/>
      <c r="AC32" s="49"/>
      <c r="AD32" s="49"/>
      <c r="AE32" s="49"/>
      <c r="AF32" s="49"/>
      <c r="AG32" s="49"/>
      <c r="AH32" s="49"/>
      <c r="AI32" s="49"/>
      <c r="AJ32" s="49"/>
      <c r="AK32" s="49"/>
      <c r="AL32" s="49"/>
      <c r="AM32" s="49"/>
      <c r="AN32" s="49"/>
      <c r="AO32" s="49"/>
      <c r="AP32" s="49"/>
      <c r="AQ32" s="49"/>
      <c r="AR32" s="49"/>
      <c r="AS32" s="49"/>
      <c r="AT32" s="49"/>
    </row>
    <row r="33" spans="3:46" x14ac:dyDescent="0.25">
      <c r="C33" s="40"/>
      <c r="D33" s="27"/>
      <c r="E33" s="27"/>
      <c r="F33" s="27"/>
      <c r="G33" s="27"/>
      <c r="AB33" s="49"/>
      <c r="AC33" s="49"/>
      <c r="AD33" s="49"/>
      <c r="AE33" s="49"/>
      <c r="AF33" s="49"/>
      <c r="AG33" s="49"/>
      <c r="AH33" s="49"/>
      <c r="AI33" s="49"/>
      <c r="AJ33" s="49"/>
      <c r="AK33" s="49"/>
      <c r="AL33" s="49"/>
      <c r="AM33" s="49"/>
      <c r="AN33" s="49"/>
      <c r="AO33" s="49"/>
      <c r="AP33" s="49"/>
      <c r="AQ33" s="49"/>
      <c r="AR33" s="49"/>
      <c r="AS33" s="49"/>
      <c r="AT33" s="49"/>
    </row>
    <row r="34" spans="3:46" x14ac:dyDescent="0.25">
      <c r="C34" s="40"/>
      <c r="D34" s="27"/>
      <c r="E34" s="27"/>
      <c r="F34" s="27"/>
      <c r="G34" s="27"/>
      <c r="AB34" s="49"/>
      <c r="AC34" s="49"/>
      <c r="AD34" s="49"/>
      <c r="AE34" s="49"/>
      <c r="AF34" s="49"/>
      <c r="AG34" s="49"/>
      <c r="AH34" s="49"/>
      <c r="AI34" s="49"/>
      <c r="AJ34" s="49"/>
      <c r="AK34" s="49"/>
      <c r="AL34" s="49"/>
      <c r="AM34" s="49"/>
      <c r="AN34" s="49"/>
      <c r="AO34" s="49"/>
      <c r="AP34" s="49"/>
      <c r="AQ34" s="49"/>
      <c r="AR34" s="49"/>
      <c r="AS34" s="49"/>
      <c r="AT34" s="49"/>
    </row>
    <row r="35" spans="3:46" x14ac:dyDescent="0.25">
      <c r="C35" s="40"/>
      <c r="D35" s="27"/>
      <c r="E35" s="27"/>
      <c r="F35" s="27"/>
      <c r="G35" s="27"/>
      <c r="AB35" s="49"/>
      <c r="AC35" s="49"/>
      <c r="AD35" s="49"/>
      <c r="AE35" s="49"/>
      <c r="AF35" s="49"/>
      <c r="AG35" s="49"/>
      <c r="AH35" s="49"/>
      <c r="AI35" s="49"/>
      <c r="AJ35" s="49"/>
      <c r="AK35" s="49"/>
      <c r="AL35" s="49"/>
      <c r="AM35" s="49"/>
      <c r="AN35" s="49"/>
      <c r="AO35" s="49"/>
      <c r="AP35" s="49"/>
      <c r="AQ35" s="49"/>
      <c r="AR35" s="49"/>
      <c r="AS35" s="49"/>
      <c r="AT35" s="49"/>
    </row>
    <row r="36" spans="3:46" x14ac:dyDescent="0.25">
      <c r="C36" s="27"/>
      <c r="D36" s="27"/>
      <c r="E36" s="27"/>
      <c r="F36" s="27"/>
      <c r="G36" s="27"/>
      <c r="AB36" s="49"/>
      <c r="AC36" s="49"/>
      <c r="AD36" s="49"/>
      <c r="AE36" s="49"/>
      <c r="AF36" s="49"/>
      <c r="AG36" s="49"/>
      <c r="AH36" s="49"/>
      <c r="AI36" s="49"/>
      <c r="AJ36" s="49"/>
      <c r="AK36" s="49"/>
      <c r="AL36" s="49"/>
      <c r="AM36" s="49"/>
      <c r="AN36" s="49"/>
      <c r="AO36" s="49"/>
      <c r="AP36" s="49"/>
      <c r="AQ36" s="49"/>
      <c r="AR36" s="49"/>
      <c r="AS36" s="49"/>
      <c r="AT36" s="49"/>
    </row>
    <row r="37" spans="3:46" x14ac:dyDescent="0.25">
      <c r="C37" s="27"/>
      <c r="D37" s="27"/>
      <c r="E37" s="27"/>
      <c r="F37" s="27"/>
      <c r="G37" s="27"/>
    </row>
    <row r="38" spans="3:46" x14ac:dyDescent="0.25">
      <c r="C38" s="27"/>
      <c r="D38" s="27"/>
      <c r="E38" s="27"/>
      <c r="F38" s="27"/>
      <c r="G38" s="27"/>
    </row>
    <row r="39" spans="3:46" x14ac:dyDescent="0.25">
      <c r="C39" s="27"/>
      <c r="D39" s="27"/>
      <c r="E39" s="27"/>
      <c r="F39" s="27"/>
      <c r="G39" s="27"/>
    </row>
    <row r="40" spans="3:46" x14ac:dyDescent="0.25">
      <c r="C40" s="27"/>
      <c r="D40" s="27"/>
      <c r="E40" s="27"/>
      <c r="F40" s="27"/>
      <c r="G40" s="27"/>
    </row>
    <row r="41" spans="3:46" x14ac:dyDescent="0.25">
      <c r="C41" s="27"/>
      <c r="D41" s="27"/>
      <c r="E41" s="27"/>
      <c r="F41" s="27"/>
      <c r="G41" s="27"/>
    </row>
    <row r="42" spans="3:46" x14ac:dyDescent="0.25">
      <c r="C42" s="27"/>
      <c r="D42" s="27"/>
      <c r="E42" s="27"/>
      <c r="F42" s="27"/>
      <c r="G42" s="27"/>
    </row>
    <row r="43" spans="3:46" x14ac:dyDescent="0.25">
      <c r="C43" s="27"/>
      <c r="D43" s="27"/>
      <c r="E43" s="27"/>
      <c r="F43" s="27"/>
      <c r="G43" s="27"/>
    </row>
    <row r="44" spans="3:46" x14ac:dyDescent="0.25">
      <c r="C44" s="27"/>
      <c r="D44" s="27"/>
      <c r="E44" s="27"/>
      <c r="F44" s="27"/>
      <c r="G44" s="27"/>
      <c r="H44" s="50"/>
    </row>
    <row r="45" spans="3:46" x14ac:dyDescent="0.25">
      <c r="C45" s="27"/>
      <c r="D45" s="27"/>
      <c r="E45" s="27"/>
      <c r="F45" s="27"/>
      <c r="G45" s="27"/>
    </row>
    <row r="46" spans="3:46" x14ac:dyDescent="0.25">
      <c r="C46" s="27"/>
      <c r="D46" s="27"/>
      <c r="E46" s="27"/>
      <c r="F46" s="27"/>
      <c r="G46" s="27"/>
    </row>
    <row r="51" spans="3:7" x14ac:dyDescent="0.25">
      <c r="C51" s="27"/>
      <c r="D51" s="27"/>
      <c r="E51" s="27"/>
      <c r="F51" s="27"/>
      <c r="G51" s="27"/>
    </row>
    <row r="53" spans="3:7" x14ac:dyDescent="0.25">
      <c r="C53" s="27"/>
      <c r="D53" s="27"/>
      <c r="E53" s="27"/>
      <c r="F53" s="27"/>
      <c r="G53" s="27"/>
    </row>
    <row r="54" spans="3:7" x14ac:dyDescent="0.25">
      <c r="C54" s="27"/>
      <c r="D54" s="27"/>
      <c r="E54" s="27"/>
      <c r="F54" s="27"/>
      <c r="G54" s="27"/>
    </row>
    <row r="55" spans="3:7" x14ac:dyDescent="0.25">
      <c r="C55" s="27"/>
      <c r="D55" s="27"/>
      <c r="E55" s="27"/>
      <c r="F55" s="27"/>
      <c r="G55" s="27"/>
    </row>
    <row r="56" spans="3:7" x14ac:dyDescent="0.25">
      <c r="C56" s="27"/>
      <c r="D56" s="27"/>
      <c r="E56" s="27"/>
      <c r="F56" s="27"/>
      <c r="G56" s="27"/>
    </row>
    <row r="57" spans="3:7" x14ac:dyDescent="0.25">
      <c r="C57" s="27"/>
      <c r="D57" s="27"/>
      <c r="E57" s="27"/>
      <c r="F57" s="27"/>
      <c r="G57" s="27"/>
    </row>
    <row r="58" spans="3:7" x14ac:dyDescent="0.25">
      <c r="C58" s="27"/>
      <c r="D58" s="27"/>
      <c r="E58" s="27"/>
      <c r="F58" s="27"/>
      <c r="G58" s="27"/>
    </row>
    <row r="59" spans="3:7" x14ac:dyDescent="0.25">
      <c r="C59" s="27"/>
      <c r="D59" s="27"/>
      <c r="E59" s="27"/>
      <c r="F59" s="27"/>
      <c r="G59" s="27"/>
    </row>
    <row r="60" spans="3:7" x14ac:dyDescent="0.25">
      <c r="C60" s="27"/>
      <c r="D60" s="27"/>
      <c r="E60" s="27"/>
      <c r="F60" s="27"/>
      <c r="G60" s="27"/>
    </row>
    <row r="61" spans="3:7" x14ac:dyDescent="0.25">
      <c r="C61" s="27"/>
      <c r="D61" s="27"/>
      <c r="E61" s="27"/>
      <c r="F61" s="27"/>
      <c r="G61" s="27"/>
    </row>
    <row r="62" spans="3:7" x14ac:dyDescent="0.25">
      <c r="C62" s="27"/>
      <c r="D62" s="27"/>
      <c r="E62" s="27"/>
      <c r="F62" s="27"/>
      <c r="G62" s="27"/>
    </row>
    <row r="63" spans="3:7" x14ac:dyDescent="0.25">
      <c r="C63" s="27"/>
      <c r="D63" s="27"/>
      <c r="E63" s="27"/>
      <c r="F63" s="27"/>
      <c r="G63" s="27"/>
    </row>
    <row r="64" spans="3:7" x14ac:dyDescent="0.25">
      <c r="C64" s="27"/>
      <c r="D64" s="27"/>
      <c r="E64" s="27"/>
      <c r="F64" s="27"/>
      <c r="G64" s="27"/>
    </row>
    <row r="65" spans="3:7" x14ac:dyDescent="0.25">
      <c r="C65" s="27"/>
      <c r="D65" s="27"/>
      <c r="E65" s="27"/>
      <c r="F65" s="27"/>
      <c r="G65" s="27"/>
    </row>
    <row r="66" spans="3:7" x14ac:dyDescent="0.25">
      <c r="C66" s="27"/>
      <c r="D66" s="27"/>
      <c r="E66" s="27"/>
      <c r="F66" s="27"/>
      <c r="G66" s="27"/>
    </row>
    <row r="71" spans="3:7" x14ac:dyDescent="0.25">
      <c r="C71" s="27"/>
      <c r="D71" s="27"/>
      <c r="E71" s="27"/>
      <c r="F71" s="27"/>
      <c r="G71" s="27"/>
    </row>
    <row r="73" spans="3:7" x14ac:dyDescent="0.25">
      <c r="C73" s="27"/>
      <c r="D73" s="27"/>
      <c r="E73" s="27"/>
      <c r="F73" s="27"/>
      <c r="G73" s="27"/>
    </row>
    <row r="74" spans="3:7" x14ac:dyDescent="0.25">
      <c r="C74" s="27"/>
      <c r="D74" s="27"/>
      <c r="E74" s="27"/>
      <c r="F74" s="27"/>
      <c r="G74" s="27"/>
    </row>
    <row r="75" spans="3:7" x14ac:dyDescent="0.25">
      <c r="C75" s="27"/>
      <c r="D75" s="27"/>
      <c r="E75" s="27"/>
      <c r="F75" s="27"/>
      <c r="G75" s="27"/>
    </row>
    <row r="76" spans="3:7" x14ac:dyDescent="0.25">
      <c r="C76" s="27"/>
      <c r="D76" s="27"/>
      <c r="E76" s="27"/>
      <c r="F76" s="27"/>
      <c r="G76" s="27"/>
    </row>
    <row r="77" spans="3:7" x14ac:dyDescent="0.25">
      <c r="C77" s="27"/>
      <c r="D77" s="27"/>
      <c r="E77" s="27"/>
      <c r="F77" s="27"/>
      <c r="G77" s="27"/>
    </row>
    <row r="78" spans="3:7" x14ac:dyDescent="0.25">
      <c r="C78" s="27"/>
      <c r="D78" s="27"/>
      <c r="E78" s="27"/>
      <c r="F78" s="27"/>
      <c r="G78" s="27"/>
    </row>
    <row r="79" spans="3:7" x14ac:dyDescent="0.25">
      <c r="C79" s="27"/>
      <c r="D79" s="27"/>
      <c r="E79" s="27"/>
      <c r="F79" s="27"/>
      <c r="G79" s="27"/>
    </row>
    <row r="80" spans="3:7" x14ac:dyDescent="0.25">
      <c r="C80" s="27"/>
      <c r="D80" s="27"/>
      <c r="E80" s="27"/>
      <c r="F80" s="27"/>
      <c r="G80" s="27"/>
    </row>
    <row r="81" spans="3:7" x14ac:dyDescent="0.25">
      <c r="C81" s="27"/>
      <c r="D81" s="27"/>
      <c r="E81" s="27"/>
      <c r="F81" s="27"/>
      <c r="G81" s="27"/>
    </row>
    <row r="82" spans="3:7" x14ac:dyDescent="0.25">
      <c r="C82" s="27"/>
      <c r="D82" s="27"/>
      <c r="E82" s="27"/>
      <c r="F82" s="27"/>
      <c r="G82" s="27"/>
    </row>
    <row r="83" spans="3:7" x14ac:dyDescent="0.25">
      <c r="C83" s="27"/>
      <c r="D83" s="27"/>
      <c r="E83" s="27"/>
      <c r="F83" s="27"/>
      <c r="G83" s="27"/>
    </row>
    <row r="84" spans="3:7" x14ac:dyDescent="0.25">
      <c r="C84" s="27"/>
      <c r="D84" s="27"/>
      <c r="E84" s="27"/>
      <c r="F84" s="27"/>
      <c r="G84" s="27"/>
    </row>
    <row r="85" spans="3:7" x14ac:dyDescent="0.25">
      <c r="C85" s="27"/>
      <c r="D85" s="27"/>
      <c r="E85" s="27"/>
      <c r="F85" s="27"/>
      <c r="G85" s="27"/>
    </row>
    <row r="86" spans="3:7" x14ac:dyDescent="0.25">
      <c r="C86" s="27"/>
      <c r="D86" s="27"/>
      <c r="E86" s="27"/>
      <c r="F86" s="27"/>
      <c r="G86" s="27"/>
    </row>
  </sheetData>
  <phoneticPr fontId="14" type="noConversion"/>
  <pageMargins left="0.7" right="0.7" top="0.75" bottom="0.75" header="0.3" footer="0.3"/>
  <pageSetup paperSize="9"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CP86"/>
  <sheetViews>
    <sheetView topLeftCell="I1" workbookViewId="0">
      <pane xSplit="2" ySplit="7" topLeftCell="K8" activePane="bottomRight" state="frozen"/>
      <selection pane="topRight"/>
      <selection pane="bottomLeft"/>
      <selection pane="bottomRight" activeCell="R15" sqref="R15:R19"/>
    </sheetView>
  </sheetViews>
  <sheetFormatPr defaultColWidth="9" defaultRowHeight="15" x14ac:dyDescent="0.25"/>
  <cols>
    <col min="1" max="1" width="39" style="20" customWidth="1"/>
    <col min="2" max="2" width="10.375" style="25" customWidth="1"/>
    <col min="3" max="3" width="12.875" style="20" customWidth="1"/>
    <col min="4" max="7" width="9" style="20"/>
    <col min="8" max="8" width="11.375" style="20" customWidth="1"/>
    <col min="9" max="9" width="12.625" style="20" customWidth="1"/>
    <col min="10" max="10" width="38.125" style="20" customWidth="1"/>
    <col min="11" max="11" width="12.625" style="20" customWidth="1"/>
    <col min="12" max="12" width="13.625" style="20" customWidth="1"/>
    <col min="13" max="52" width="12.625" style="20" customWidth="1"/>
    <col min="53" max="16384" width="9" style="20"/>
  </cols>
  <sheetData>
    <row r="1" spans="1:94" x14ac:dyDescent="0.25">
      <c r="Q1" s="37"/>
    </row>
    <row r="3" spans="1:94" x14ac:dyDescent="0.25">
      <c r="K3" s="27">
        <f t="shared" ref="K3:W3" si="0">K11/15</f>
        <v>2008.2333333333333</v>
      </c>
      <c r="L3" s="27">
        <f t="shared" si="0"/>
        <v>2060.4398219280943</v>
      </c>
      <c r="M3" s="27">
        <f t="shared" si="0"/>
        <v>2008.2333333333333</v>
      </c>
      <c r="N3" s="27">
        <f t="shared" si="0"/>
        <v>2096.8580550245638</v>
      </c>
      <c r="O3" s="27">
        <f t="shared" si="0"/>
        <v>2008.2333333333333</v>
      </c>
      <c r="P3" s="27">
        <f t="shared" si="0"/>
        <v>2123.9605595474873</v>
      </c>
      <c r="Q3" s="27">
        <f t="shared" si="0"/>
        <v>2008.2333333333333</v>
      </c>
      <c r="R3" s="27">
        <f t="shared" si="0"/>
        <v>2076.4125299121879</v>
      </c>
      <c r="S3" s="27">
        <f t="shared" si="0"/>
        <v>0</v>
      </c>
      <c r="T3" s="27">
        <f t="shared" si="0"/>
        <v>0</v>
      </c>
      <c r="U3" s="27">
        <f t="shared" si="0"/>
        <v>0</v>
      </c>
      <c r="V3" s="27">
        <f t="shared" si="0"/>
        <v>0</v>
      </c>
      <c r="W3" s="27">
        <f t="shared" si="0"/>
        <v>0</v>
      </c>
    </row>
    <row r="4" spans="1:94" x14ac:dyDescent="0.25">
      <c r="M4" s="24"/>
      <c r="X4" s="34"/>
    </row>
    <row r="5" spans="1:94" x14ac:dyDescent="0.25">
      <c r="H5" s="27"/>
      <c r="L5" s="22">
        <f>L11/L10</f>
        <v>0.9845345746437254</v>
      </c>
    </row>
    <row r="6" spans="1:94" x14ac:dyDescent="0.25">
      <c r="B6" s="25" t="s">
        <v>73</v>
      </c>
      <c r="K6" s="73" t="s">
        <v>73</v>
      </c>
      <c r="L6" s="73" t="s">
        <v>73</v>
      </c>
      <c r="M6" s="73" t="s">
        <v>315</v>
      </c>
      <c r="N6" s="73" t="s">
        <v>315</v>
      </c>
      <c r="O6" s="73" t="s">
        <v>316</v>
      </c>
      <c r="P6" s="73" t="s">
        <v>316</v>
      </c>
      <c r="Q6" s="73" t="s">
        <v>317</v>
      </c>
      <c r="R6" s="73" t="s">
        <v>317</v>
      </c>
      <c r="S6" s="73"/>
      <c r="T6" s="73"/>
      <c r="U6" s="73"/>
      <c r="V6" s="73"/>
      <c r="W6" s="73"/>
      <c r="X6" s="73"/>
      <c r="Y6" s="75"/>
      <c r="Z6" s="75"/>
      <c r="AA6" s="75"/>
      <c r="AB6" s="75"/>
      <c r="AC6" s="75"/>
      <c r="AD6" s="75"/>
      <c r="AE6" s="75"/>
      <c r="AF6" s="75"/>
      <c r="AG6" s="75"/>
      <c r="AH6" s="75"/>
      <c r="AI6" s="75"/>
      <c r="AJ6" s="75"/>
      <c r="AK6" s="75"/>
      <c r="AL6" s="75"/>
      <c r="AM6" s="75"/>
      <c r="AN6" s="75"/>
      <c r="AO6" s="75"/>
      <c r="AP6" s="75"/>
      <c r="AQ6" s="75"/>
      <c r="AR6" s="75"/>
      <c r="AS6" s="75"/>
      <c r="AT6" s="75"/>
      <c r="AU6" s="75"/>
      <c r="AV6" s="75"/>
      <c r="AW6" s="75"/>
      <c r="AX6" s="75"/>
      <c r="AY6" s="75"/>
      <c r="AZ6" s="75"/>
      <c r="BA6" s="75"/>
      <c r="BB6" s="75"/>
      <c r="BC6" s="75"/>
      <c r="BD6" s="75"/>
      <c r="BE6" s="75"/>
      <c r="BF6" s="75"/>
      <c r="BG6" s="75"/>
      <c r="BH6" s="75"/>
      <c r="BI6" s="75"/>
      <c r="BJ6" s="75"/>
      <c r="BK6" s="75"/>
      <c r="BL6" s="75"/>
      <c r="BM6" s="75"/>
      <c r="BN6" s="75"/>
      <c r="BO6" s="75"/>
      <c r="BP6" s="75"/>
      <c r="BQ6" s="75"/>
      <c r="BR6" s="75"/>
      <c r="BS6" s="75"/>
      <c r="BT6" s="75"/>
      <c r="BU6" s="75"/>
      <c r="BV6" s="75"/>
      <c r="BW6" s="75"/>
      <c r="BX6" s="75"/>
      <c r="BY6" s="75"/>
      <c r="BZ6" s="75"/>
      <c r="CA6" s="75"/>
      <c r="CB6" s="75"/>
      <c r="CC6" s="75"/>
      <c r="CD6" s="75"/>
      <c r="CE6" s="75"/>
      <c r="CF6" s="75"/>
      <c r="CG6" s="75"/>
      <c r="CH6" s="75"/>
      <c r="CI6" s="75"/>
      <c r="CJ6" s="75"/>
      <c r="CK6" s="75"/>
      <c r="CL6" s="75"/>
      <c r="CM6" s="75"/>
      <c r="CN6" s="75"/>
      <c r="CO6" s="75"/>
      <c r="CP6" s="75"/>
    </row>
    <row r="7" spans="1:94" x14ac:dyDescent="0.25">
      <c r="B7" s="25" t="s">
        <v>74</v>
      </c>
      <c r="C7" s="25"/>
      <c r="D7" s="25"/>
      <c r="E7" s="25"/>
      <c r="F7" s="25"/>
      <c r="G7" s="25"/>
      <c r="H7" s="27"/>
      <c r="K7" s="73" t="s">
        <v>76</v>
      </c>
      <c r="L7" s="73" t="s">
        <v>77</v>
      </c>
      <c r="M7" s="74" t="s">
        <v>76</v>
      </c>
      <c r="N7" s="74" t="s">
        <v>77</v>
      </c>
      <c r="O7" s="74" t="s">
        <v>76</v>
      </c>
      <c r="P7" s="74" t="s">
        <v>77</v>
      </c>
      <c r="Q7" s="74" t="s">
        <v>76</v>
      </c>
      <c r="R7" s="74" t="s">
        <v>77</v>
      </c>
      <c r="S7" s="74"/>
      <c r="T7" s="74"/>
      <c r="U7" s="74"/>
      <c r="V7" s="74"/>
      <c r="W7" s="74"/>
      <c r="X7" s="73"/>
      <c r="Y7" s="75"/>
      <c r="Z7" s="75"/>
      <c r="AA7" s="75"/>
      <c r="AB7" s="75"/>
      <c r="AC7" s="75"/>
      <c r="AD7" s="75"/>
      <c r="AE7" s="75"/>
      <c r="AF7" s="75"/>
      <c r="AG7" s="75"/>
      <c r="AH7" s="75"/>
      <c r="AI7" s="75"/>
      <c r="AJ7" s="75"/>
      <c r="AK7" s="75"/>
      <c r="AL7" s="75"/>
      <c r="AM7" s="75"/>
      <c r="AN7" s="75"/>
      <c r="AO7" s="75"/>
      <c r="AP7" s="75"/>
      <c r="AQ7" s="75"/>
      <c r="AR7" s="75"/>
      <c r="AS7" s="75"/>
      <c r="AT7" s="75"/>
      <c r="AU7" s="75"/>
      <c r="AV7" s="75"/>
      <c r="AW7" s="75"/>
      <c r="AX7" s="75"/>
      <c r="AY7" s="75"/>
      <c r="AZ7" s="75"/>
      <c r="BA7" s="75"/>
      <c r="BB7" s="75"/>
      <c r="BC7" s="75"/>
      <c r="BD7" s="75"/>
      <c r="BE7" s="75"/>
      <c r="BF7" s="75"/>
      <c r="BG7" s="75"/>
      <c r="BH7" s="75"/>
      <c r="BI7" s="75"/>
      <c r="BJ7" s="75"/>
      <c r="BK7" s="75"/>
      <c r="BL7" s="75"/>
      <c r="BM7" s="75"/>
      <c r="BN7" s="75"/>
      <c r="BO7" s="75"/>
      <c r="BP7" s="75"/>
      <c r="BQ7" s="75"/>
      <c r="BR7" s="75"/>
      <c r="BS7" s="75"/>
      <c r="BT7" s="75"/>
      <c r="BU7" s="75"/>
      <c r="BV7" s="75"/>
      <c r="BW7" s="75"/>
      <c r="BX7" s="75"/>
      <c r="BY7" s="75"/>
      <c r="BZ7" s="75"/>
      <c r="CA7" s="75"/>
      <c r="CB7" s="75"/>
      <c r="CC7" s="75"/>
      <c r="CD7" s="75"/>
      <c r="CE7" s="75"/>
      <c r="CF7" s="75"/>
      <c r="CG7" s="75"/>
      <c r="CH7" s="75"/>
      <c r="CI7" s="75"/>
      <c r="CJ7" s="75"/>
      <c r="CK7" s="75"/>
      <c r="CL7" s="75"/>
      <c r="CM7" s="75"/>
      <c r="CN7" s="75"/>
      <c r="CO7" s="75"/>
      <c r="CP7" s="75"/>
    </row>
    <row r="8" spans="1:94" x14ac:dyDescent="0.25">
      <c r="A8" s="20" t="s">
        <v>192</v>
      </c>
      <c r="B8" s="25">
        <f t="shared" ref="B8:B35" si="1">(AD8/K8)^(1/19)*100-100</f>
        <v>-100</v>
      </c>
      <c r="C8" s="40"/>
      <c r="D8" s="27"/>
      <c r="E8" s="27"/>
      <c r="F8" s="27"/>
      <c r="G8" s="27"/>
      <c r="H8" s="27"/>
      <c r="J8" s="75" t="s">
        <v>79</v>
      </c>
      <c r="K8" s="27">
        <v>4493.3330000000005</v>
      </c>
      <c r="L8" s="27">
        <v>4476.5214386370526</v>
      </c>
      <c r="M8" s="27">
        <v>4493.3330000000005</v>
      </c>
      <c r="N8" s="27">
        <v>4480.1038019608195</v>
      </c>
      <c r="O8" s="27">
        <v>4493.3330000000005</v>
      </c>
      <c r="P8" s="27">
        <v>4484.5849808873236</v>
      </c>
      <c r="Q8" s="27">
        <v>4493.3330000000005</v>
      </c>
      <c r="R8" s="27">
        <v>4476.9691086873581</v>
      </c>
      <c r="S8" s="27"/>
      <c r="T8" s="27"/>
      <c r="U8" s="27"/>
      <c r="V8" s="27"/>
      <c r="W8" s="27"/>
      <c r="X8" s="24"/>
    </row>
    <row r="9" spans="1:94" x14ac:dyDescent="0.25">
      <c r="A9" s="20" t="s">
        <v>193</v>
      </c>
      <c r="B9" s="25">
        <f t="shared" si="1"/>
        <v>-100</v>
      </c>
      <c r="C9" s="40"/>
      <c r="D9" s="27"/>
      <c r="E9" s="27"/>
      <c r="F9" s="27"/>
      <c r="G9" s="27"/>
      <c r="H9" s="27"/>
      <c r="J9" s="75" t="s">
        <v>81</v>
      </c>
      <c r="K9" s="27">
        <v>6704.043524038836</v>
      </c>
      <c r="L9" s="27">
        <v>6904.1548784208253</v>
      </c>
      <c r="M9" s="27">
        <v>6704.043524038836</v>
      </c>
      <c r="N9" s="27">
        <v>7020.5674278355764</v>
      </c>
      <c r="O9" s="27">
        <v>6704.043524038836</v>
      </c>
      <c r="P9" s="27">
        <v>7104.2044088790099</v>
      </c>
      <c r="Q9" s="27">
        <v>6704.043524038836</v>
      </c>
      <c r="R9" s="27">
        <v>6956.9807592027009</v>
      </c>
      <c r="S9" s="27"/>
      <c r="T9" s="27"/>
      <c r="U9" s="27"/>
      <c r="V9" s="27"/>
      <c r="W9" s="27"/>
      <c r="X9" s="24"/>
    </row>
    <row r="10" spans="1:94" x14ac:dyDescent="0.25">
      <c r="A10" s="20" t="s">
        <v>194</v>
      </c>
      <c r="B10" s="25">
        <f t="shared" si="1"/>
        <v>-100</v>
      </c>
      <c r="C10" s="40"/>
      <c r="D10" s="27"/>
      <c r="E10" s="27"/>
      <c r="F10" s="27"/>
      <c r="G10" s="27"/>
      <c r="H10" s="27"/>
      <c r="J10" s="75" t="s">
        <v>83</v>
      </c>
      <c r="K10" s="27">
        <v>30387.81</v>
      </c>
      <c r="L10" s="27">
        <v>31392.089343439889</v>
      </c>
      <c r="M10" s="27">
        <v>30387.81</v>
      </c>
      <c r="N10" s="27">
        <v>31452.87082536846</v>
      </c>
      <c r="O10" s="27">
        <v>30387.81</v>
      </c>
      <c r="P10" s="27">
        <v>31859.40839321231</v>
      </c>
      <c r="Q10" s="27">
        <v>30387.81</v>
      </c>
      <c r="R10" s="27">
        <v>31346.255459902542</v>
      </c>
      <c r="S10" s="27"/>
      <c r="T10" s="27"/>
      <c r="U10" s="27"/>
      <c r="V10" s="27"/>
      <c r="W10" s="27"/>
      <c r="X10" s="24"/>
    </row>
    <row r="11" spans="1:94" x14ac:dyDescent="0.25">
      <c r="A11" s="20" t="s">
        <v>195</v>
      </c>
      <c r="B11" s="25">
        <f t="shared" si="1"/>
        <v>-100</v>
      </c>
      <c r="C11" s="40"/>
      <c r="D11" s="27"/>
      <c r="E11" s="27"/>
      <c r="F11" s="27"/>
      <c r="G11" s="27"/>
      <c r="H11" s="27"/>
      <c r="J11" s="75" t="s">
        <v>85</v>
      </c>
      <c r="K11" s="27">
        <v>30123.5</v>
      </c>
      <c r="L11" s="27">
        <v>30906.597328921416</v>
      </c>
      <c r="M11" s="27">
        <v>30123.5</v>
      </c>
      <c r="N11" s="27">
        <v>31452.87082536846</v>
      </c>
      <c r="O11" s="27">
        <v>30123.5</v>
      </c>
      <c r="P11" s="27">
        <v>31859.40839321231</v>
      </c>
      <c r="Q11" s="27">
        <v>30123.5</v>
      </c>
      <c r="R11" s="27">
        <v>31146.187948682818</v>
      </c>
      <c r="S11" s="27"/>
      <c r="T11" s="27"/>
      <c r="U11" s="27"/>
      <c r="V11" s="27"/>
      <c r="W11" s="27"/>
      <c r="X11" s="24"/>
    </row>
    <row r="12" spans="1:94" ht="14.1" customHeight="1" x14ac:dyDescent="0.25">
      <c r="A12" s="20" t="s">
        <v>196</v>
      </c>
      <c r="B12" s="25">
        <f t="shared" si="1"/>
        <v>-100</v>
      </c>
      <c r="C12" s="40"/>
      <c r="D12" s="27"/>
      <c r="E12" s="27"/>
      <c r="F12" s="27"/>
      <c r="G12" s="27"/>
      <c r="H12" s="27"/>
      <c r="J12" s="75" t="s">
        <v>87</v>
      </c>
      <c r="K12" s="27">
        <v>264.31</v>
      </c>
      <c r="L12" s="27">
        <v>485.4920145184746</v>
      </c>
      <c r="M12" s="27">
        <v>264.31</v>
      </c>
      <c r="N12" s="27"/>
      <c r="O12" s="27">
        <v>264.31</v>
      </c>
      <c r="P12" s="27"/>
      <c r="Q12" s="27">
        <v>264.31</v>
      </c>
      <c r="R12" s="27">
        <v>200.06751121972343</v>
      </c>
      <c r="S12" s="27"/>
      <c r="T12" s="27"/>
      <c r="U12" s="27"/>
      <c r="V12" s="27"/>
      <c r="W12" s="27"/>
      <c r="X12" s="24"/>
    </row>
    <row r="13" spans="1:94" x14ac:dyDescent="0.25">
      <c r="A13" s="20" t="s">
        <v>197</v>
      </c>
      <c r="B13" s="25">
        <f t="shared" si="1"/>
        <v>-100</v>
      </c>
      <c r="C13" s="40"/>
      <c r="D13" s="27"/>
      <c r="E13" s="27"/>
      <c r="F13" s="27"/>
      <c r="G13" s="27"/>
      <c r="H13" s="27"/>
      <c r="J13" s="75" t="s">
        <v>89</v>
      </c>
      <c r="K13" s="27">
        <v>30387.81</v>
      </c>
      <c r="L13" s="27">
        <v>31392.089343439889</v>
      </c>
      <c r="M13" s="27">
        <v>30387.81</v>
      </c>
      <c r="N13" s="27">
        <v>31452.87082536846</v>
      </c>
      <c r="O13" s="27">
        <v>30387.81</v>
      </c>
      <c r="P13" s="27">
        <v>31859.40839321231</v>
      </c>
      <c r="Q13" s="27">
        <v>30387.81</v>
      </c>
      <c r="R13" s="27">
        <v>31346.255459902542</v>
      </c>
      <c r="S13" s="27"/>
      <c r="T13" s="27"/>
      <c r="U13" s="27"/>
      <c r="V13" s="27"/>
      <c r="W13" s="27"/>
      <c r="X13" s="24"/>
    </row>
    <row r="14" spans="1:94" x14ac:dyDescent="0.25">
      <c r="A14" s="20" t="s">
        <v>198</v>
      </c>
      <c r="B14" s="25">
        <f t="shared" si="1"/>
        <v>-100</v>
      </c>
      <c r="C14" s="40"/>
      <c r="D14" s="27"/>
      <c r="E14" s="27"/>
      <c r="F14" s="27"/>
      <c r="G14" s="27"/>
      <c r="H14" s="27"/>
      <c r="J14" s="75" t="s">
        <v>91</v>
      </c>
      <c r="K14" s="27">
        <v>13.666550406081615</v>
      </c>
      <c r="L14" s="27">
        <v>13.49711335321191</v>
      </c>
      <c r="M14" s="27">
        <v>13.666550406081615</v>
      </c>
      <c r="N14" s="27">
        <v>13.492771883843599</v>
      </c>
      <c r="O14" s="27">
        <v>13.666550406081615</v>
      </c>
      <c r="P14" s="27">
        <v>13.492771883843591</v>
      </c>
      <c r="Q14" s="27">
        <v>13.666550406081615</v>
      </c>
      <c r="R14" s="27">
        <v>13.492771883843599</v>
      </c>
      <c r="S14" s="27"/>
      <c r="T14" s="27"/>
      <c r="U14" s="27"/>
      <c r="V14" s="27"/>
      <c r="W14" s="27"/>
      <c r="X14" s="24"/>
    </row>
    <row r="15" spans="1:94" x14ac:dyDescent="0.25">
      <c r="A15" s="20" t="s">
        <v>199</v>
      </c>
      <c r="B15" s="25">
        <f t="shared" si="1"/>
        <v>-100</v>
      </c>
      <c r="C15" s="40"/>
      <c r="D15" s="27"/>
      <c r="E15" s="27"/>
      <c r="F15" s="27"/>
      <c r="G15" s="27"/>
      <c r="H15" s="27"/>
      <c r="I15" s="20" t="s">
        <v>200</v>
      </c>
      <c r="J15" s="75" t="s">
        <v>93</v>
      </c>
      <c r="K15" s="27">
        <v>124.5</v>
      </c>
      <c r="L15" s="27">
        <v>124.03419001224992</v>
      </c>
      <c r="M15" s="27">
        <v>124.5</v>
      </c>
      <c r="N15" s="27">
        <v>124.1334491220931</v>
      </c>
      <c r="O15" s="27">
        <v>124.5</v>
      </c>
      <c r="P15" s="27">
        <v>124.25761236046198</v>
      </c>
      <c r="Q15" s="27">
        <v>124.5</v>
      </c>
      <c r="R15" s="27">
        <v>124.04659392739777</v>
      </c>
      <c r="S15" s="27"/>
      <c r="T15" s="27"/>
      <c r="U15" s="27"/>
      <c r="V15" s="27"/>
      <c r="W15" s="27"/>
      <c r="X15" s="24"/>
    </row>
    <row r="16" spans="1:94" x14ac:dyDescent="0.25">
      <c r="A16" s="20" t="s">
        <v>201</v>
      </c>
      <c r="B16" s="25">
        <f t="shared" si="1"/>
        <v>-100</v>
      </c>
      <c r="C16" s="40"/>
      <c r="D16" s="27"/>
      <c r="E16" s="27"/>
      <c r="F16" s="27"/>
      <c r="G16" s="27"/>
      <c r="H16" s="27"/>
      <c r="J16" s="75" t="s">
        <v>95</v>
      </c>
      <c r="K16" s="27">
        <v>19500</v>
      </c>
      <c r="L16" s="27">
        <v>19669.747575797239</v>
      </c>
      <c r="M16" s="27">
        <v>19500</v>
      </c>
      <c r="N16" s="27">
        <v>19640.362000781774</v>
      </c>
      <c r="O16" s="27">
        <v>19500</v>
      </c>
      <c r="P16" s="27">
        <v>19640.362000781763</v>
      </c>
      <c r="Q16" s="27">
        <v>19500</v>
      </c>
      <c r="R16" s="27">
        <v>19640.362000781766</v>
      </c>
      <c r="S16" s="27"/>
      <c r="T16" s="27"/>
      <c r="U16" s="27"/>
      <c r="V16" s="27"/>
      <c r="W16" s="27"/>
      <c r="X16" s="24"/>
    </row>
    <row r="17" spans="1:25" x14ac:dyDescent="0.25">
      <c r="A17" s="20" t="s">
        <v>202</v>
      </c>
      <c r="B17" s="25">
        <f t="shared" si="1"/>
        <v>-100</v>
      </c>
      <c r="C17" s="40"/>
      <c r="D17" s="27"/>
      <c r="E17" s="27"/>
      <c r="F17" s="27"/>
      <c r="G17" s="27"/>
      <c r="H17" s="27"/>
      <c r="J17" s="75" t="s">
        <v>97</v>
      </c>
      <c r="K17" s="27">
        <v>7900</v>
      </c>
      <c r="L17" s="27">
        <v>8319.5743167268774</v>
      </c>
      <c r="M17" s="27">
        <v>7900</v>
      </c>
      <c r="N17" s="27">
        <v>8292.8523505925168</v>
      </c>
      <c r="O17" s="27">
        <v>7900</v>
      </c>
      <c r="P17" s="27">
        <v>8292.8523505925205</v>
      </c>
      <c r="Q17" s="27">
        <v>7900</v>
      </c>
      <c r="R17" s="27">
        <v>8292.8523505925186</v>
      </c>
      <c r="S17" s="27"/>
      <c r="T17" s="27"/>
      <c r="U17" s="27"/>
      <c r="V17" s="27"/>
      <c r="W17" s="27"/>
      <c r="X17" s="24"/>
    </row>
    <row r="18" spans="1:25" x14ac:dyDescent="0.25">
      <c r="A18" s="20" t="s">
        <v>203</v>
      </c>
      <c r="B18" s="25">
        <f t="shared" si="1"/>
        <v>-100</v>
      </c>
      <c r="C18" s="40"/>
      <c r="D18" s="27"/>
      <c r="E18" s="27"/>
      <c r="F18" s="27"/>
      <c r="G18" s="27"/>
      <c r="H18" s="27"/>
      <c r="J18" s="75" t="s">
        <v>99</v>
      </c>
      <c r="K18" s="27">
        <v>1506.175</v>
      </c>
      <c r="L18" s="27">
        <v>1545.3298664460706</v>
      </c>
      <c r="M18" s="27">
        <v>1506.175</v>
      </c>
      <c r="N18" s="27">
        <v>1572.643541268423</v>
      </c>
      <c r="O18" s="27">
        <v>1506.175</v>
      </c>
      <c r="P18" s="27">
        <v>1592.9704196606149</v>
      </c>
      <c r="Q18" s="27">
        <v>1506.175</v>
      </c>
      <c r="R18" s="27">
        <v>1557.3093974341405</v>
      </c>
      <c r="S18" s="27"/>
      <c r="T18" s="27"/>
      <c r="U18" s="27"/>
      <c r="V18" s="27"/>
      <c r="W18" s="27"/>
      <c r="X18" s="24"/>
    </row>
    <row r="19" spans="1:25" x14ac:dyDescent="0.25">
      <c r="A19" s="20" t="s">
        <v>204</v>
      </c>
      <c r="B19" s="25">
        <f t="shared" si="1"/>
        <v>-100</v>
      </c>
      <c r="C19" s="40"/>
      <c r="D19" s="27"/>
      <c r="E19" s="27"/>
      <c r="F19" s="27"/>
      <c r="G19" s="27"/>
      <c r="H19" s="27"/>
      <c r="J19" s="75" t="s">
        <v>101</v>
      </c>
      <c r="K19" s="27">
        <v>-562.86499999999899</v>
      </c>
      <c r="L19" s="27">
        <v>-143.76379313204063</v>
      </c>
      <c r="M19" s="27">
        <v>-562.86499999999899</v>
      </c>
      <c r="N19" s="27">
        <v>-146.30481533195908</v>
      </c>
      <c r="O19" s="27">
        <v>-562.86499999999899</v>
      </c>
      <c r="P19" s="27">
        <v>-148.19584792224734</v>
      </c>
      <c r="Q19" s="27">
        <v>-562.86499999999899</v>
      </c>
      <c r="R19" s="27">
        <v>-144.87826250986257</v>
      </c>
      <c r="S19" s="27"/>
      <c r="T19" s="27"/>
      <c r="U19" s="27"/>
      <c r="V19" s="27"/>
      <c r="W19" s="27"/>
      <c r="X19" s="24"/>
    </row>
    <row r="20" spans="1:25" x14ac:dyDescent="0.25">
      <c r="A20" s="20" t="s">
        <v>205</v>
      </c>
      <c r="B20" s="25" t="e">
        <f t="shared" si="1"/>
        <v>#DIV/0!</v>
      </c>
      <c r="C20" s="40"/>
      <c r="D20" s="27"/>
      <c r="E20" s="27"/>
      <c r="F20" s="27"/>
      <c r="G20" s="27"/>
      <c r="H20" s="27"/>
      <c r="J20" s="75" t="s">
        <v>236</v>
      </c>
      <c r="K20" s="27"/>
      <c r="L20" s="27"/>
      <c r="M20" s="27"/>
      <c r="N20" s="27">
        <v>92.62091925903178</v>
      </c>
      <c r="O20" s="27"/>
      <c r="P20" s="27">
        <v>480.59847806262326</v>
      </c>
      <c r="Q20" s="27"/>
      <c r="R20" s="27"/>
      <c r="S20" s="27"/>
      <c r="T20" s="27"/>
      <c r="U20" s="27"/>
      <c r="V20" s="27"/>
      <c r="W20" s="27"/>
      <c r="X20" s="24"/>
    </row>
    <row r="21" spans="1:25" x14ac:dyDescent="0.25">
      <c r="A21" s="20" t="s">
        <v>206</v>
      </c>
      <c r="B21" s="25">
        <f t="shared" si="1"/>
        <v>-100</v>
      </c>
      <c r="C21" s="40"/>
      <c r="D21" s="27"/>
      <c r="E21" s="27"/>
      <c r="F21" s="27"/>
      <c r="G21" s="27"/>
      <c r="H21" s="27"/>
      <c r="J21" s="75" t="s">
        <v>103</v>
      </c>
      <c r="K21" s="27">
        <v>30950.674999999999</v>
      </c>
      <c r="L21" s="27">
        <v>31535.853136571932</v>
      </c>
      <c r="M21" s="27">
        <v>30950.674999999999</v>
      </c>
      <c r="N21" s="27">
        <v>31506.554721441385</v>
      </c>
      <c r="O21" s="27">
        <v>30950.674999999999</v>
      </c>
      <c r="P21" s="27">
        <v>31527.005763071935</v>
      </c>
      <c r="Q21" s="27">
        <v>30950.674999999999</v>
      </c>
      <c r="R21" s="27">
        <v>31491.133722412404</v>
      </c>
      <c r="S21" s="27"/>
      <c r="T21" s="27"/>
      <c r="U21" s="27"/>
      <c r="V21" s="27"/>
      <c r="W21" s="27"/>
      <c r="X21" s="24"/>
    </row>
    <row r="22" spans="1:25" x14ac:dyDescent="0.25">
      <c r="A22" s="20" t="s">
        <v>207</v>
      </c>
      <c r="B22" s="25">
        <f t="shared" si="1"/>
        <v>-100</v>
      </c>
      <c r="C22" s="40"/>
      <c r="D22" s="27"/>
      <c r="E22" s="27"/>
      <c r="F22" s="27"/>
      <c r="G22" s="27"/>
      <c r="H22" s="27"/>
      <c r="J22" s="75" t="s">
        <v>105</v>
      </c>
      <c r="K22" s="27">
        <v>95.93547542055056</v>
      </c>
      <c r="L22" s="27">
        <v>94.746073286294447</v>
      </c>
      <c r="M22" s="27">
        <v>95.93547542055056</v>
      </c>
      <c r="N22" s="27">
        <v>94.71559734939035</v>
      </c>
      <c r="O22" s="27">
        <v>95.93547542055056</v>
      </c>
      <c r="P22" s="27">
        <v>94.715597349390293</v>
      </c>
      <c r="Q22" s="27">
        <v>95.93547542055056</v>
      </c>
      <c r="R22" s="27">
        <v>94.71559734939035</v>
      </c>
      <c r="S22" s="27"/>
      <c r="T22" s="27"/>
      <c r="U22" s="27"/>
      <c r="V22" s="27"/>
      <c r="W22" s="27"/>
      <c r="X22" s="24"/>
    </row>
    <row r="23" spans="1:25" x14ac:dyDescent="0.25">
      <c r="A23" s="20" t="s">
        <v>208</v>
      </c>
      <c r="B23" s="25">
        <f t="shared" si="1"/>
        <v>-100</v>
      </c>
      <c r="C23" s="40"/>
      <c r="D23" s="27"/>
      <c r="E23" s="27"/>
      <c r="F23" s="27"/>
      <c r="G23" s="27"/>
      <c r="J23" s="75" t="s">
        <v>107</v>
      </c>
      <c r="K23" s="27">
        <v>1920</v>
      </c>
      <c r="L23" s="27">
        <v>1877.1671875894956</v>
      </c>
      <c r="M23" s="27">
        <v>1920</v>
      </c>
      <c r="N23" s="27">
        <v>1876.5633796765851</v>
      </c>
      <c r="O23" s="27">
        <v>1920</v>
      </c>
      <c r="P23" s="27">
        <v>1876.5633796765842</v>
      </c>
      <c r="Q23" s="27">
        <v>1920</v>
      </c>
      <c r="R23" s="27">
        <v>1876.5633796765853</v>
      </c>
      <c r="S23" s="27"/>
      <c r="T23" s="27"/>
      <c r="U23" s="27"/>
      <c r="V23" s="27"/>
      <c r="W23" s="27"/>
      <c r="X23" s="24"/>
    </row>
    <row r="24" spans="1:25" x14ac:dyDescent="0.25">
      <c r="A24" s="20" t="s">
        <v>209</v>
      </c>
      <c r="B24" s="25">
        <f t="shared" si="1"/>
        <v>-100</v>
      </c>
      <c r="C24" s="40"/>
      <c r="D24" s="27"/>
      <c r="E24" s="27"/>
      <c r="F24" s="27"/>
      <c r="G24" s="27"/>
      <c r="J24" s="75" t="s">
        <v>109</v>
      </c>
      <c r="K24" s="20">
        <v>5334.4970126273938</v>
      </c>
      <c r="L24" s="20">
        <v>5260.8388628800294</v>
      </c>
      <c r="M24" s="20">
        <v>5197.947752100401</v>
      </c>
      <c r="N24" s="20">
        <v>4909.9749106308564</v>
      </c>
      <c r="O24" s="20">
        <v>5334.4970126273938</v>
      </c>
      <c r="P24" s="20">
        <v>5110.3299590931547</v>
      </c>
      <c r="Q24" s="20">
        <v>5334.4970126273938</v>
      </c>
      <c r="R24" s="20">
        <v>5212.548580309407</v>
      </c>
    </row>
    <row r="25" spans="1:25" x14ac:dyDescent="0.25">
      <c r="C25" s="40"/>
      <c r="D25" s="27"/>
      <c r="E25" s="27"/>
      <c r="F25" s="27"/>
      <c r="G25" s="27"/>
    </row>
    <row r="26" spans="1:25" x14ac:dyDescent="0.25">
      <c r="C26" s="40"/>
      <c r="D26" s="27"/>
      <c r="E26" s="27"/>
      <c r="F26" s="27"/>
      <c r="G26" s="27"/>
    </row>
    <row r="27" spans="1:25" x14ac:dyDescent="0.25">
      <c r="C27" s="40"/>
      <c r="D27" s="27"/>
      <c r="E27" s="27"/>
      <c r="F27" s="27"/>
      <c r="G27" s="27"/>
      <c r="H27" s="27"/>
    </row>
    <row r="28" spans="1:25" x14ac:dyDescent="0.25">
      <c r="C28" s="40"/>
      <c r="D28" s="27"/>
      <c r="E28" s="27"/>
      <c r="F28" s="27"/>
      <c r="G28" s="27"/>
      <c r="Y28" s="27"/>
    </row>
    <row r="29" spans="1:25" x14ac:dyDescent="0.25">
      <c r="A29" s="20" t="s">
        <v>210</v>
      </c>
      <c r="B29" s="25" t="e">
        <f t="shared" si="1"/>
        <v>#DIV/0!</v>
      </c>
      <c r="C29" s="40"/>
      <c r="D29" s="27"/>
      <c r="E29" s="27"/>
      <c r="F29" s="27"/>
      <c r="G29" s="27"/>
      <c r="H29" s="27"/>
      <c r="Y29" s="27"/>
    </row>
    <row r="30" spans="1:25" x14ac:dyDescent="0.25">
      <c r="A30" s="20" t="s">
        <v>211</v>
      </c>
      <c r="B30" s="25" t="e">
        <f t="shared" si="1"/>
        <v>#DIV/0!</v>
      </c>
      <c r="C30" s="40"/>
      <c r="D30" s="27"/>
      <c r="E30" s="27"/>
      <c r="F30" s="27"/>
      <c r="G30" s="27"/>
      <c r="H30" s="27"/>
      <c r="Y30" s="27"/>
    </row>
    <row r="31" spans="1:25" x14ac:dyDescent="0.25">
      <c r="A31" s="20" t="s">
        <v>212</v>
      </c>
      <c r="B31" s="25" t="e">
        <f t="shared" si="1"/>
        <v>#DIV/0!</v>
      </c>
      <c r="C31" s="40"/>
      <c r="D31" s="27"/>
      <c r="E31" s="27"/>
      <c r="F31" s="27"/>
      <c r="G31" s="27"/>
      <c r="H31" s="27"/>
    </row>
    <row r="32" spans="1:25" x14ac:dyDescent="0.25">
      <c r="A32" s="20" t="s">
        <v>213</v>
      </c>
      <c r="B32" s="25" t="e">
        <f t="shared" si="1"/>
        <v>#DIV/0!</v>
      </c>
      <c r="C32" s="40"/>
      <c r="D32" s="27"/>
      <c r="E32" s="27"/>
      <c r="F32" s="27"/>
      <c r="G32" s="27"/>
      <c r="H32" s="27"/>
    </row>
    <row r="33" spans="1:8" x14ac:dyDescent="0.25">
      <c r="A33" s="20" t="s">
        <v>214</v>
      </c>
      <c r="B33" s="25" t="e">
        <f t="shared" si="1"/>
        <v>#DIV/0!</v>
      </c>
      <c r="C33" s="40"/>
      <c r="D33" s="27"/>
      <c r="E33" s="27"/>
      <c r="F33" s="27"/>
      <c r="G33" s="27"/>
      <c r="H33" s="27"/>
    </row>
    <row r="34" spans="1:8" x14ac:dyDescent="0.25">
      <c r="A34" s="20" t="s">
        <v>215</v>
      </c>
      <c r="B34" s="25" t="e">
        <f t="shared" si="1"/>
        <v>#DIV/0!</v>
      </c>
      <c r="C34" s="40"/>
      <c r="D34" s="27"/>
      <c r="E34" s="27"/>
      <c r="F34" s="27"/>
      <c r="G34" s="27"/>
      <c r="H34" s="27"/>
    </row>
    <row r="35" spans="1:8" x14ac:dyDescent="0.25">
      <c r="B35" s="25" t="e">
        <f t="shared" si="1"/>
        <v>#DIV/0!</v>
      </c>
      <c r="C35" s="40"/>
      <c r="D35" s="27"/>
      <c r="E35" s="27"/>
      <c r="F35" s="27"/>
      <c r="G35" s="27"/>
      <c r="H35" s="27"/>
    </row>
    <row r="36" spans="1:8" x14ac:dyDescent="0.25">
      <c r="C36" s="27"/>
      <c r="D36" s="27"/>
      <c r="E36" s="27"/>
      <c r="F36" s="27"/>
      <c r="G36" s="27"/>
      <c r="H36" s="27"/>
    </row>
    <row r="37" spans="1:8" x14ac:dyDescent="0.25">
      <c r="C37" s="27"/>
      <c r="D37" s="27"/>
      <c r="E37" s="27"/>
      <c r="F37" s="27"/>
      <c r="G37" s="27"/>
      <c r="H37" s="27"/>
    </row>
    <row r="38" spans="1:8" x14ac:dyDescent="0.25">
      <c r="C38" s="27"/>
      <c r="D38" s="27"/>
      <c r="E38" s="27"/>
      <c r="F38" s="27"/>
      <c r="G38" s="27"/>
      <c r="H38" s="27"/>
    </row>
    <row r="39" spans="1:8" x14ac:dyDescent="0.25">
      <c r="C39" s="27"/>
      <c r="D39" s="27"/>
      <c r="E39" s="27"/>
      <c r="F39" s="27"/>
      <c r="G39" s="27"/>
      <c r="H39" s="27"/>
    </row>
    <row r="40" spans="1:8" x14ac:dyDescent="0.25">
      <c r="C40" s="27"/>
      <c r="D40" s="27"/>
      <c r="E40" s="27"/>
      <c r="F40" s="27"/>
      <c r="G40" s="27"/>
      <c r="H40" s="27"/>
    </row>
    <row r="41" spans="1:8" x14ac:dyDescent="0.25">
      <c r="C41" s="27"/>
      <c r="D41" s="27"/>
      <c r="E41" s="27"/>
      <c r="F41" s="27"/>
      <c r="G41" s="27"/>
      <c r="H41" s="27"/>
    </row>
    <row r="42" spans="1:8" x14ac:dyDescent="0.25">
      <c r="C42" s="27"/>
      <c r="D42" s="27"/>
      <c r="E42" s="27"/>
      <c r="F42" s="27"/>
      <c r="G42" s="27"/>
      <c r="H42" s="27"/>
    </row>
    <row r="43" spans="1:8" x14ac:dyDescent="0.25">
      <c r="C43" s="27"/>
      <c r="D43" s="27"/>
      <c r="E43" s="27"/>
      <c r="F43" s="27"/>
      <c r="G43" s="27"/>
    </row>
    <row r="44" spans="1:8" x14ac:dyDescent="0.25">
      <c r="C44" s="27"/>
      <c r="D44" s="27"/>
      <c r="E44" s="27"/>
      <c r="F44" s="27"/>
      <c r="G44" s="27"/>
    </row>
    <row r="45" spans="1:8" x14ac:dyDescent="0.25">
      <c r="C45" s="27"/>
      <c r="D45" s="27"/>
      <c r="E45" s="27"/>
      <c r="F45" s="27"/>
      <c r="G45" s="27"/>
    </row>
    <row r="46" spans="1:8" x14ac:dyDescent="0.25">
      <c r="C46" s="27"/>
      <c r="D46" s="27"/>
      <c r="E46" s="27"/>
      <c r="F46" s="27"/>
      <c r="G46" s="27"/>
    </row>
    <row r="47" spans="1:8" x14ac:dyDescent="0.25">
      <c r="H47" s="27"/>
    </row>
    <row r="49" spans="3:8" x14ac:dyDescent="0.25">
      <c r="H49" s="27"/>
    </row>
    <row r="50" spans="3:8" x14ac:dyDescent="0.25">
      <c r="H50" s="27"/>
    </row>
    <row r="51" spans="3:8" x14ac:dyDescent="0.25">
      <c r="C51" s="27"/>
      <c r="D51" s="27"/>
      <c r="E51" s="27"/>
      <c r="F51" s="27"/>
      <c r="G51" s="27"/>
      <c r="H51" s="27"/>
    </row>
    <row r="52" spans="3:8" x14ac:dyDescent="0.25">
      <c r="H52" s="27"/>
    </row>
    <row r="53" spans="3:8" x14ac:dyDescent="0.25">
      <c r="C53" s="27"/>
      <c r="D53" s="27"/>
      <c r="E53" s="27"/>
      <c r="F53" s="27"/>
      <c r="G53" s="27"/>
      <c r="H53" s="27"/>
    </row>
    <row r="54" spans="3:8" x14ac:dyDescent="0.25">
      <c r="C54" s="27"/>
      <c r="D54" s="27"/>
      <c r="E54" s="27"/>
      <c r="F54" s="27"/>
      <c r="G54" s="27"/>
      <c r="H54" s="27"/>
    </row>
    <row r="55" spans="3:8" x14ac:dyDescent="0.25">
      <c r="C55" s="27"/>
      <c r="D55" s="27"/>
      <c r="E55" s="27"/>
      <c r="F55" s="27"/>
      <c r="G55" s="27"/>
      <c r="H55" s="27"/>
    </row>
    <row r="56" spans="3:8" x14ac:dyDescent="0.25">
      <c r="C56" s="27"/>
      <c r="D56" s="27"/>
      <c r="E56" s="27"/>
      <c r="F56" s="27"/>
      <c r="G56" s="27"/>
      <c r="H56" s="27"/>
    </row>
    <row r="57" spans="3:8" x14ac:dyDescent="0.25">
      <c r="C57" s="27"/>
      <c r="D57" s="27"/>
      <c r="E57" s="27"/>
      <c r="F57" s="27"/>
      <c r="G57" s="27"/>
      <c r="H57" s="27"/>
    </row>
    <row r="58" spans="3:8" x14ac:dyDescent="0.25">
      <c r="C58" s="27"/>
      <c r="D58" s="27"/>
      <c r="E58" s="27"/>
      <c r="F58" s="27"/>
      <c r="G58" s="27"/>
      <c r="H58" s="27"/>
    </row>
    <row r="59" spans="3:8" x14ac:dyDescent="0.25">
      <c r="C59" s="27"/>
      <c r="D59" s="27"/>
      <c r="E59" s="27"/>
      <c r="F59" s="27"/>
      <c r="G59" s="27"/>
      <c r="H59" s="27"/>
    </row>
    <row r="60" spans="3:8" x14ac:dyDescent="0.25">
      <c r="C60" s="27"/>
      <c r="D60" s="27"/>
      <c r="E60" s="27"/>
      <c r="F60" s="27"/>
      <c r="G60" s="27"/>
      <c r="H60" s="27"/>
    </row>
    <row r="61" spans="3:8" x14ac:dyDescent="0.25">
      <c r="C61" s="27"/>
      <c r="D61" s="27"/>
      <c r="E61" s="27"/>
      <c r="F61" s="27"/>
      <c r="G61" s="27"/>
      <c r="H61" s="27"/>
    </row>
    <row r="62" spans="3:8" x14ac:dyDescent="0.25">
      <c r="C62" s="27"/>
      <c r="D62" s="27"/>
      <c r="E62" s="27"/>
      <c r="F62" s="27"/>
      <c r="G62" s="27"/>
      <c r="H62" s="27"/>
    </row>
    <row r="63" spans="3:8" x14ac:dyDescent="0.25">
      <c r="C63" s="27"/>
      <c r="D63" s="27"/>
      <c r="E63" s="27"/>
      <c r="F63" s="27"/>
      <c r="G63" s="27"/>
    </row>
    <row r="64" spans="3:8" x14ac:dyDescent="0.25">
      <c r="C64" s="27"/>
      <c r="D64" s="27"/>
      <c r="E64" s="27"/>
      <c r="F64" s="27"/>
      <c r="G64" s="27"/>
    </row>
    <row r="65" spans="3:8" x14ac:dyDescent="0.25">
      <c r="C65" s="27"/>
      <c r="D65" s="27"/>
      <c r="E65" s="27"/>
      <c r="F65" s="27"/>
      <c r="G65" s="27"/>
    </row>
    <row r="66" spans="3:8" x14ac:dyDescent="0.25">
      <c r="C66" s="27"/>
      <c r="D66" s="27"/>
      <c r="E66" s="27"/>
      <c r="F66" s="27"/>
      <c r="G66" s="27"/>
    </row>
    <row r="67" spans="3:8" x14ac:dyDescent="0.25">
      <c r="H67" s="27"/>
    </row>
    <row r="69" spans="3:8" x14ac:dyDescent="0.25">
      <c r="H69" s="27"/>
    </row>
    <row r="70" spans="3:8" x14ac:dyDescent="0.25">
      <c r="H70" s="27"/>
    </row>
    <row r="71" spans="3:8" x14ac:dyDescent="0.25">
      <c r="C71" s="27"/>
      <c r="D71" s="27"/>
      <c r="E71" s="27"/>
      <c r="F71" s="27"/>
      <c r="G71" s="27"/>
      <c r="H71" s="27"/>
    </row>
    <row r="72" spans="3:8" x14ac:dyDescent="0.25">
      <c r="H72" s="27"/>
    </row>
    <row r="73" spans="3:8" x14ac:dyDescent="0.25">
      <c r="C73" s="27"/>
      <c r="D73" s="27"/>
      <c r="E73" s="27"/>
      <c r="F73" s="27"/>
      <c r="G73" s="27"/>
      <c r="H73" s="27"/>
    </row>
    <row r="74" spans="3:8" x14ac:dyDescent="0.25">
      <c r="C74" s="27"/>
      <c r="D74" s="27"/>
      <c r="E74" s="27"/>
      <c r="F74" s="27"/>
      <c r="G74" s="27"/>
      <c r="H74" s="27"/>
    </row>
    <row r="75" spans="3:8" x14ac:dyDescent="0.25">
      <c r="C75" s="27"/>
      <c r="D75" s="27"/>
      <c r="E75" s="27"/>
      <c r="F75" s="27"/>
      <c r="G75" s="27"/>
      <c r="H75" s="27"/>
    </row>
    <row r="76" spans="3:8" x14ac:dyDescent="0.25">
      <c r="C76" s="27"/>
      <c r="D76" s="27"/>
      <c r="E76" s="27"/>
      <c r="F76" s="27"/>
      <c r="G76" s="27"/>
      <c r="H76" s="27"/>
    </row>
    <row r="77" spans="3:8" x14ac:dyDescent="0.25">
      <c r="C77" s="27"/>
      <c r="D77" s="27"/>
      <c r="E77" s="27"/>
      <c r="F77" s="27"/>
      <c r="G77" s="27"/>
      <c r="H77" s="27"/>
    </row>
    <row r="78" spans="3:8" x14ac:dyDescent="0.25">
      <c r="C78" s="27"/>
      <c r="D78" s="27"/>
      <c r="E78" s="27"/>
      <c r="F78" s="27"/>
      <c r="G78" s="27"/>
      <c r="H78" s="27"/>
    </row>
    <row r="79" spans="3:8" x14ac:dyDescent="0.25">
      <c r="C79" s="27"/>
      <c r="D79" s="27"/>
      <c r="E79" s="27"/>
      <c r="F79" s="27"/>
      <c r="G79" s="27"/>
      <c r="H79" s="27"/>
    </row>
    <row r="80" spans="3:8" x14ac:dyDescent="0.25">
      <c r="C80" s="27"/>
      <c r="D80" s="27"/>
      <c r="E80" s="27"/>
      <c r="F80" s="27"/>
      <c r="G80" s="27"/>
      <c r="H80" s="27"/>
    </row>
    <row r="81" spans="3:8" x14ac:dyDescent="0.25">
      <c r="C81" s="27"/>
      <c r="D81" s="27"/>
      <c r="E81" s="27"/>
      <c r="F81" s="27"/>
      <c r="G81" s="27"/>
      <c r="H81" s="27"/>
    </row>
    <row r="82" spans="3:8" x14ac:dyDescent="0.25">
      <c r="C82" s="27"/>
      <c r="D82" s="27"/>
      <c r="E82" s="27"/>
      <c r="F82" s="27"/>
      <c r="G82" s="27"/>
      <c r="H82" s="27"/>
    </row>
    <row r="83" spans="3:8" x14ac:dyDescent="0.25">
      <c r="C83" s="27"/>
      <c r="D83" s="27"/>
      <c r="E83" s="27"/>
      <c r="F83" s="27"/>
      <c r="G83" s="27"/>
    </row>
    <row r="84" spans="3:8" x14ac:dyDescent="0.25">
      <c r="C84" s="27"/>
      <c r="D84" s="27"/>
      <c r="E84" s="27"/>
      <c r="F84" s="27"/>
      <c r="G84" s="27"/>
    </row>
    <row r="85" spans="3:8" x14ac:dyDescent="0.25">
      <c r="C85" s="27"/>
      <c r="D85" s="27"/>
      <c r="E85" s="27"/>
      <c r="F85" s="27"/>
      <c r="G85" s="27"/>
    </row>
    <row r="86" spans="3:8" x14ac:dyDescent="0.25">
      <c r="C86" s="27"/>
      <c r="D86" s="27"/>
      <c r="E86" s="27"/>
      <c r="F86" s="27"/>
      <c r="G86" s="27"/>
    </row>
  </sheetData>
  <phoneticPr fontId="14" type="noConversion"/>
  <pageMargins left="0.7" right="0.7" top="0.75" bottom="0.75" header="0.3" footer="0.3"/>
  <pageSetup paperSize="9"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CP86"/>
  <sheetViews>
    <sheetView topLeftCell="I1" zoomScale="85" zoomScaleNormal="85" workbookViewId="0">
      <pane xSplit="2" ySplit="7" topLeftCell="K8" activePane="bottomRight" state="frozen"/>
      <selection pane="topRight"/>
      <selection pane="bottomLeft"/>
      <selection pane="bottomRight" activeCell="K11" sqref="K11:X11"/>
    </sheetView>
  </sheetViews>
  <sheetFormatPr defaultColWidth="9" defaultRowHeight="15" x14ac:dyDescent="0.25"/>
  <cols>
    <col min="1" max="1" width="30.875" style="20" customWidth="1"/>
    <col min="2" max="2" width="15.5" style="25" customWidth="1"/>
    <col min="3" max="3" width="12.875" style="20" customWidth="1"/>
    <col min="4" max="7" width="9" style="20"/>
    <col min="8" max="8" width="6" style="20" customWidth="1"/>
    <col min="9" max="9" width="9" style="20"/>
    <col min="10" max="10" width="40.875" style="20" customWidth="1"/>
    <col min="11" max="24" width="14.125" style="20"/>
    <col min="25" max="16384" width="9" style="20"/>
  </cols>
  <sheetData>
    <row r="1" spans="1:94" x14ac:dyDescent="0.25"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</row>
    <row r="2" spans="1:94" x14ac:dyDescent="0.25"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</row>
    <row r="5" spans="1:94" x14ac:dyDescent="0.25">
      <c r="H5" s="27"/>
    </row>
    <row r="6" spans="1:94" x14ac:dyDescent="0.25">
      <c r="B6" s="25" t="s">
        <v>73</v>
      </c>
      <c r="K6" s="73" t="s">
        <v>73</v>
      </c>
      <c r="L6" s="73" t="s">
        <v>73</v>
      </c>
      <c r="M6" s="73" t="s">
        <v>315</v>
      </c>
      <c r="N6" s="73" t="s">
        <v>315</v>
      </c>
      <c r="O6" s="73" t="s">
        <v>316</v>
      </c>
      <c r="P6" s="73" t="s">
        <v>316</v>
      </c>
      <c r="Q6" s="73" t="s">
        <v>317</v>
      </c>
      <c r="R6" s="73" t="s">
        <v>317</v>
      </c>
      <c r="S6" s="73"/>
      <c r="T6" s="73"/>
      <c r="U6" s="73"/>
      <c r="V6" s="73"/>
      <c r="W6" s="73"/>
      <c r="X6" s="73"/>
      <c r="Y6" s="75"/>
      <c r="Z6" s="75"/>
      <c r="AA6" s="75"/>
      <c r="AB6" s="75"/>
      <c r="AC6" s="75"/>
      <c r="AD6" s="75"/>
      <c r="AE6" s="75"/>
      <c r="AF6" s="75"/>
      <c r="AG6" s="75"/>
      <c r="AH6" s="75"/>
      <c r="AI6" s="75"/>
      <c r="AJ6" s="75"/>
      <c r="AK6" s="75"/>
      <c r="AL6" s="75"/>
      <c r="AM6" s="75"/>
      <c r="AN6" s="75"/>
      <c r="AO6" s="75"/>
      <c r="AP6" s="75"/>
      <c r="AQ6" s="75"/>
      <c r="AR6" s="75"/>
      <c r="AS6" s="75"/>
      <c r="AT6" s="75"/>
      <c r="AU6" s="75"/>
      <c r="AV6" s="75"/>
      <c r="AW6" s="75"/>
      <c r="AX6" s="75"/>
      <c r="AY6" s="75"/>
      <c r="AZ6" s="75"/>
      <c r="BA6" s="75"/>
      <c r="BB6" s="75"/>
      <c r="BC6" s="75"/>
      <c r="BD6" s="75"/>
      <c r="BE6" s="75"/>
      <c r="BF6" s="75"/>
      <c r="BG6" s="75"/>
      <c r="BH6" s="75"/>
      <c r="BI6" s="75"/>
      <c r="BJ6" s="75"/>
      <c r="BK6" s="75"/>
      <c r="BL6" s="75"/>
      <c r="BM6" s="75"/>
      <c r="BN6" s="75"/>
      <c r="BO6" s="75"/>
      <c r="BP6" s="75"/>
      <c r="BQ6" s="75"/>
      <c r="BR6" s="75"/>
      <c r="BS6" s="75"/>
      <c r="BT6" s="75"/>
      <c r="BU6" s="75"/>
      <c r="BV6" s="75"/>
      <c r="BW6" s="75"/>
      <c r="BX6" s="75"/>
      <c r="BY6" s="75"/>
      <c r="BZ6" s="75"/>
      <c r="CA6" s="75"/>
      <c r="CB6" s="75"/>
      <c r="CC6" s="75"/>
      <c r="CD6" s="75"/>
      <c r="CE6" s="75"/>
      <c r="CF6" s="75"/>
      <c r="CG6" s="75"/>
      <c r="CH6" s="75"/>
      <c r="CI6" s="75"/>
      <c r="CJ6" s="75"/>
      <c r="CK6" s="75"/>
      <c r="CL6" s="75"/>
      <c r="CM6" s="75"/>
      <c r="CN6" s="75"/>
      <c r="CO6" s="75"/>
      <c r="CP6" s="75"/>
    </row>
    <row r="7" spans="1:94" x14ac:dyDescent="0.25">
      <c r="B7" s="25" t="s">
        <v>74</v>
      </c>
      <c r="C7" s="25"/>
      <c r="D7" s="25"/>
      <c r="E7" s="25"/>
      <c r="F7" s="25"/>
      <c r="G7" s="25"/>
      <c r="H7" s="27"/>
      <c r="K7" s="73" t="s">
        <v>76</v>
      </c>
      <c r="L7" s="73" t="s">
        <v>77</v>
      </c>
      <c r="M7" s="73" t="s">
        <v>76</v>
      </c>
      <c r="N7" s="73" t="s">
        <v>77</v>
      </c>
      <c r="O7" s="73" t="s">
        <v>76</v>
      </c>
      <c r="P7" s="73" t="s">
        <v>77</v>
      </c>
      <c r="Q7" s="73" t="s">
        <v>76</v>
      </c>
      <c r="R7" s="73" t="s">
        <v>77</v>
      </c>
      <c r="S7" s="73"/>
      <c r="T7" s="73"/>
      <c r="U7" s="73"/>
      <c r="V7" s="73"/>
      <c r="W7" s="73"/>
      <c r="X7" s="73"/>
      <c r="Y7" s="75"/>
      <c r="Z7" s="75"/>
      <c r="AA7" s="75"/>
      <c r="AB7" s="75"/>
      <c r="AC7" s="75"/>
      <c r="AD7" s="75"/>
      <c r="AE7" s="75"/>
      <c r="AF7" s="75"/>
      <c r="AG7" s="75"/>
      <c r="AH7" s="75"/>
      <c r="AI7" s="75"/>
      <c r="AJ7" s="75"/>
      <c r="AK7" s="75"/>
      <c r="AL7" s="75"/>
      <c r="AM7" s="75"/>
      <c r="AN7" s="75"/>
      <c r="AO7" s="75"/>
      <c r="AP7" s="75"/>
      <c r="AQ7" s="75"/>
      <c r="AR7" s="75"/>
      <c r="AS7" s="75"/>
      <c r="AT7" s="75"/>
      <c r="AU7" s="75"/>
      <c r="AV7" s="75"/>
      <c r="AW7" s="75"/>
      <c r="AX7" s="75"/>
      <c r="AY7" s="75"/>
      <c r="AZ7" s="75"/>
      <c r="BA7" s="75"/>
      <c r="BB7" s="75"/>
      <c r="BC7" s="75"/>
      <c r="BD7" s="75"/>
      <c r="BE7" s="75"/>
      <c r="BF7" s="75"/>
      <c r="BG7" s="75"/>
      <c r="BH7" s="75"/>
      <c r="BI7" s="75"/>
      <c r="BJ7" s="75"/>
      <c r="BK7" s="75"/>
      <c r="BL7" s="75"/>
      <c r="BM7" s="75"/>
      <c r="BN7" s="75"/>
      <c r="BO7" s="75"/>
      <c r="BP7" s="75"/>
      <c r="BQ7" s="75"/>
      <c r="BR7" s="75"/>
      <c r="BS7" s="75"/>
      <c r="BT7" s="75"/>
      <c r="BU7" s="75"/>
      <c r="BV7" s="75"/>
      <c r="BW7" s="75"/>
      <c r="BX7" s="75"/>
      <c r="BY7" s="75"/>
      <c r="BZ7" s="75"/>
      <c r="CA7" s="75"/>
      <c r="CB7" s="75"/>
      <c r="CC7" s="75"/>
      <c r="CD7" s="75"/>
      <c r="CE7" s="75"/>
      <c r="CF7" s="75"/>
      <c r="CG7" s="75"/>
      <c r="CH7" s="75"/>
      <c r="CI7" s="75"/>
      <c r="CJ7" s="75"/>
      <c r="CK7" s="75"/>
      <c r="CL7" s="75"/>
      <c r="CM7" s="75"/>
      <c r="CN7" s="75"/>
      <c r="CO7" s="75"/>
      <c r="CP7" s="75"/>
    </row>
    <row r="8" spans="1:94" x14ac:dyDescent="0.25">
      <c r="A8" s="20" t="s">
        <v>216</v>
      </c>
      <c r="B8" s="25">
        <f>(AD8/K8)^(1/19)*100-100</f>
        <v>-100</v>
      </c>
      <c r="C8" s="40"/>
      <c r="D8" s="27"/>
      <c r="E8" s="27"/>
      <c r="F8" s="27"/>
      <c r="G8" s="27"/>
      <c r="H8" s="27"/>
      <c r="J8" s="75" t="s">
        <v>79</v>
      </c>
      <c r="K8" s="24">
        <v>56</v>
      </c>
      <c r="L8" s="24">
        <v>55.840274256371799</v>
      </c>
      <c r="M8" s="24">
        <v>56</v>
      </c>
      <c r="N8" s="24">
        <v>55.884960773174463</v>
      </c>
      <c r="O8" s="24">
        <v>56</v>
      </c>
      <c r="P8" s="24">
        <v>55.940859145086215</v>
      </c>
      <c r="Q8" s="24">
        <v>56</v>
      </c>
      <c r="R8" s="24">
        <v>55.84585850716298</v>
      </c>
      <c r="S8" s="24"/>
      <c r="T8" s="24"/>
      <c r="U8" s="24"/>
      <c r="V8" s="24"/>
      <c r="W8" s="24"/>
      <c r="X8" s="24"/>
    </row>
    <row r="9" spans="1:94" x14ac:dyDescent="0.25">
      <c r="A9" s="20" t="s">
        <v>217</v>
      </c>
      <c r="B9" s="25">
        <f t="shared" ref="B9:B28" si="0">(AD9/K9)^(1/19)*100-100</f>
        <v>-100</v>
      </c>
      <c r="C9" s="40"/>
      <c r="D9" s="27"/>
      <c r="E9" s="27"/>
      <c r="F9" s="27"/>
      <c r="G9" s="27"/>
      <c r="H9" s="27"/>
      <c r="J9" s="75" t="s">
        <v>81</v>
      </c>
      <c r="K9" s="24">
        <v>4107.1428571428569</v>
      </c>
      <c r="L9" s="24">
        <v>4089.7169797249626</v>
      </c>
      <c r="M9" s="24">
        <v>4107.1428571428569</v>
      </c>
      <c r="N9" s="24">
        <v>4159.0158426765975</v>
      </c>
      <c r="O9" s="24">
        <v>4107.1428571428569</v>
      </c>
      <c r="P9" s="24">
        <v>4208.959419837297</v>
      </c>
      <c r="Q9" s="24">
        <v>4107.1428571428569</v>
      </c>
      <c r="R9" s="24">
        <v>4121.0477853281591</v>
      </c>
      <c r="S9" s="24"/>
      <c r="T9" s="24"/>
      <c r="U9" s="24"/>
      <c r="V9" s="24"/>
      <c r="W9" s="24"/>
      <c r="X9" s="24"/>
    </row>
    <row r="10" spans="1:94" x14ac:dyDescent="0.25">
      <c r="A10" s="20" t="s">
        <v>192</v>
      </c>
      <c r="B10" s="25">
        <f t="shared" si="0"/>
        <v>-100</v>
      </c>
      <c r="C10" s="40"/>
      <c r="D10" s="27"/>
      <c r="E10" s="27"/>
      <c r="F10" s="27"/>
      <c r="G10" s="27"/>
      <c r="H10" s="27"/>
      <c r="J10" s="75" t="s">
        <v>83</v>
      </c>
      <c r="K10" s="24">
        <v>1280</v>
      </c>
      <c r="L10" s="24">
        <v>1305.2695267961401</v>
      </c>
      <c r="M10" s="24">
        <v>1280</v>
      </c>
      <c r="N10" s="24">
        <v>1302.2317991487919</v>
      </c>
      <c r="O10" s="24">
        <v>1280</v>
      </c>
      <c r="P10" s="24">
        <v>1302.4434542895456</v>
      </c>
      <c r="Q10" s="24">
        <v>1280</v>
      </c>
      <c r="R10" s="24">
        <v>1302.0724843316254</v>
      </c>
      <c r="S10" s="24"/>
      <c r="T10" s="24"/>
      <c r="U10" s="24"/>
      <c r="V10" s="24"/>
      <c r="W10" s="24"/>
      <c r="X10" s="24"/>
    </row>
    <row r="11" spans="1:94" x14ac:dyDescent="0.25">
      <c r="A11" s="20" t="s">
        <v>218</v>
      </c>
      <c r="B11" s="25">
        <f t="shared" si="0"/>
        <v>-100</v>
      </c>
      <c r="C11" s="40"/>
      <c r="D11" s="27"/>
      <c r="E11" s="27"/>
      <c r="F11" s="27"/>
      <c r="G11" s="27"/>
      <c r="H11" s="27"/>
      <c r="J11" s="75" t="s">
        <v>85</v>
      </c>
      <c r="K11" s="24">
        <v>230</v>
      </c>
      <c r="L11" s="24">
        <v>228.37091777878246</v>
      </c>
      <c r="M11" s="24">
        <v>230</v>
      </c>
      <c r="N11" s="24">
        <v>232.42643722299277</v>
      </c>
      <c r="O11" s="24">
        <v>230</v>
      </c>
      <c r="P11" s="24">
        <v>235.45280605250198</v>
      </c>
      <c r="Q11" s="24">
        <v>230</v>
      </c>
      <c r="R11" s="24">
        <v>230.14345152069373</v>
      </c>
      <c r="S11" s="24"/>
      <c r="T11" s="24"/>
      <c r="U11" s="24"/>
      <c r="V11" s="24"/>
      <c r="W11" s="24"/>
      <c r="X11" s="24"/>
    </row>
    <row r="12" spans="1:94" x14ac:dyDescent="0.25">
      <c r="A12" s="20" t="s">
        <v>219</v>
      </c>
      <c r="B12" s="25">
        <f t="shared" si="0"/>
        <v>-100</v>
      </c>
      <c r="C12" s="40"/>
      <c r="D12" s="27"/>
      <c r="E12" s="27"/>
      <c r="F12" s="27"/>
      <c r="G12" s="27"/>
      <c r="H12" s="27"/>
      <c r="J12" s="75" t="s">
        <v>87</v>
      </c>
      <c r="K12" s="24">
        <v>1050</v>
      </c>
      <c r="L12" s="24">
        <v>1076.8986090173576</v>
      </c>
      <c r="M12" s="24">
        <v>1050</v>
      </c>
      <c r="N12" s="24">
        <v>1069.8053619257992</v>
      </c>
      <c r="O12" s="24">
        <v>1050</v>
      </c>
      <c r="P12" s="24">
        <v>1066.9906482370436</v>
      </c>
      <c r="Q12" s="24">
        <v>1050</v>
      </c>
      <c r="R12" s="24">
        <v>1071.9290328109316</v>
      </c>
      <c r="S12" s="24"/>
      <c r="T12" s="24"/>
      <c r="U12" s="24"/>
      <c r="V12" s="24"/>
      <c r="W12" s="24"/>
      <c r="X12" s="24"/>
    </row>
    <row r="13" spans="1:94" x14ac:dyDescent="0.25">
      <c r="A13" s="20" t="s">
        <v>220</v>
      </c>
      <c r="B13" s="25">
        <f t="shared" si="0"/>
        <v>-100</v>
      </c>
      <c r="C13" s="40"/>
      <c r="D13" s="27"/>
      <c r="E13" s="27"/>
      <c r="F13" s="27"/>
      <c r="G13" s="27"/>
      <c r="H13" s="27"/>
      <c r="J13" s="75" t="s">
        <v>89</v>
      </c>
      <c r="K13" s="24">
        <v>1280</v>
      </c>
      <c r="L13" s="24">
        <v>1305.2695267961401</v>
      </c>
      <c r="M13" s="24">
        <v>1280</v>
      </c>
      <c r="N13" s="24">
        <v>1302.2317991487919</v>
      </c>
      <c r="O13" s="24">
        <v>1280</v>
      </c>
      <c r="P13" s="24">
        <v>1302.4434542895456</v>
      </c>
      <c r="Q13" s="24">
        <v>1280</v>
      </c>
      <c r="R13" s="24">
        <v>1302.0724843316254</v>
      </c>
      <c r="S13" s="24"/>
      <c r="T13" s="24"/>
      <c r="U13" s="24"/>
      <c r="V13" s="24"/>
      <c r="W13" s="24"/>
      <c r="X13" s="24"/>
    </row>
    <row r="14" spans="1:94" x14ac:dyDescent="0.25">
      <c r="A14" s="20" t="s">
        <v>221</v>
      </c>
      <c r="B14" s="25">
        <f t="shared" si="0"/>
        <v>-100</v>
      </c>
      <c r="C14" s="40"/>
      <c r="D14" s="27"/>
      <c r="E14" s="27"/>
      <c r="F14" s="27"/>
      <c r="G14" s="27"/>
      <c r="H14" s="27"/>
      <c r="J14" s="75" t="s">
        <v>91</v>
      </c>
      <c r="K14" s="24">
        <v>0.2733310081216323</v>
      </c>
      <c r="L14" s="24">
        <v>0.26969558982164293</v>
      </c>
      <c r="M14" s="24">
        <v>0.2733310081216323</v>
      </c>
      <c r="N14" s="24">
        <v>0.26926211856437676</v>
      </c>
      <c r="O14" s="24">
        <v>0.2733310081216323</v>
      </c>
      <c r="P14" s="24">
        <v>0.26926211856437715</v>
      </c>
      <c r="Q14" s="24">
        <v>0.2733310081216323</v>
      </c>
      <c r="R14" s="24">
        <v>0.26926211856437721</v>
      </c>
      <c r="S14" s="24"/>
      <c r="T14" s="24"/>
      <c r="U14" s="24"/>
      <c r="V14" s="24"/>
      <c r="W14" s="24"/>
      <c r="X14" s="24"/>
    </row>
    <row r="15" spans="1:94" x14ac:dyDescent="0.25">
      <c r="A15" s="20" t="s">
        <v>222</v>
      </c>
      <c r="B15" s="25">
        <f t="shared" si="0"/>
        <v>-100</v>
      </c>
      <c r="C15" s="40"/>
      <c r="D15" s="27"/>
      <c r="E15" s="27"/>
      <c r="F15" s="27"/>
      <c r="G15" s="27"/>
      <c r="H15" s="27"/>
      <c r="J15" s="75" t="s">
        <v>93</v>
      </c>
      <c r="K15" s="24">
        <v>6.4</v>
      </c>
      <c r="L15" s="24">
        <v>6.3817456292996351</v>
      </c>
      <c r="M15" s="24">
        <v>6.4</v>
      </c>
      <c r="N15" s="24">
        <v>6.3868526597913675</v>
      </c>
      <c r="O15" s="24">
        <v>6.4</v>
      </c>
      <c r="P15" s="24">
        <v>6.3932410451527106</v>
      </c>
      <c r="Q15" s="24">
        <v>6.4</v>
      </c>
      <c r="R15" s="24">
        <v>6.3823838293900552</v>
      </c>
      <c r="S15" s="24"/>
      <c r="T15" s="24"/>
      <c r="U15" s="24"/>
      <c r="V15" s="24"/>
      <c r="W15" s="24"/>
      <c r="X15" s="24"/>
    </row>
    <row r="16" spans="1:94" x14ac:dyDescent="0.25">
      <c r="A16" s="20" t="s">
        <v>223</v>
      </c>
      <c r="B16" s="25">
        <f t="shared" si="0"/>
        <v>-100</v>
      </c>
      <c r="C16" s="40"/>
      <c r="D16" s="27"/>
      <c r="E16" s="27"/>
      <c r="F16" s="27"/>
      <c r="G16" s="27"/>
      <c r="H16" s="27"/>
      <c r="J16" s="75" t="s">
        <v>95</v>
      </c>
      <c r="K16" s="24">
        <v>430</v>
      </c>
      <c r="L16" s="24">
        <v>432.93909852847929</v>
      </c>
      <c r="M16" s="24">
        <v>430</v>
      </c>
      <c r="N16" s="24">
        <v>432.29262700706846</v>
      </c>
      <c r="O16" s="24">
        <v>430</v>
      </c>
      <c r="P16" s="24">
        <v>432.29262700706818</v>
      </c>
      <c r="Q16" s="24">
        <v>430</v>
      </c>
      <c r="R16" s="24">
        <v>432.29262700706835</v>
      </c>
      <c r="S16" s="24"/>
      <c r="T16" s="24"/>
      <c r="U16" s="24"/>
      <c r="V16" s="24"/>
      <c r="W16" s="24"/>
      <c r="X16" s="24"/>
    </row>
    <row r="17" spans="1:24" x14ac:dyDescent="0.25">
      <c r="A17" s="20" t="s">
        <v>224</v>
      </c>
      <c r="B17" s="25">
        <f t="shared" si="0"/>
        <v>-100</v>
      </c>
      <c r="C17" s="40"/>
      <c r="D17" s="27"/>
      <c r="E17" s="27"/>
      <c r="F17" s="27"/>
      <c r="G17" s="27"/>
      <c r="H17" s="27"/>
      <c r="J17" s="75" t="s">
        <v>97</v>
      </c>
      <c r="K17" s="24">
        <v>789.6</v>
      </c>
      <c r="L17" s="24">
        <v>812.95014082265823</v>
      </c>
      <c r="M17" s="24">
        <v>789.6</v>
      </c>
      <c r="N17" s="24">
        <v>810.33899447009685</v>
      </c>
      <c r="O17" s="24">
        <v>789.6</v>
      </c>
      <c r="P17" s="24">
        <v>810.33899447009674</v>
      </c>
      <c r="Q17" s="24">
        <v>789.6</v>
      </c>
      <c r="R17" s="24">
        <v>810.33899447009685</v>
      </c>
      <c r="S17" s="24"/>
      <c r="T17" s="24"/>
      <c r="U17" s="24"/>
      <c r="V17" s="24"/>
      <c r="W17" s="24"/>
      <c r="X17" s="24"/>
    </row>
    <row r="18" spans="1:24" x14ac:dyDescent="0.25">
      <c r="A18" s="20" t="s">
        <v>225</v>
      </c>
      <c r="B18" s="25">
        <f t="shared" si="0"/>
        <v>-100</v>
      </c>
      <c r="C18" s="40"/>
      <c r="D18" s="27"/>
      <c r="E18" s="27"/>
      <c r="F18" s="27"/>
      <c r="G18" s="27"/>
      <c r="H18" s="27"/>
      <c r="J18" s="75" t="s">
        <v>99</v>
      </c>
      <c r="K18" s="24">
        <v>25.6</v>
      </c>
      <c r="L18" s="24">
        <v>25.41867606581231</v>
      </c>
      <c r="M18" s="24">
        <v>25.6</v>
      </c>
      <c r="N18" s="24">
        <v>25.870073012646152</v>
      </c>
      <c r="O18" s="24">
        <v>25.6</v>
      </c>
      <c r="P18" s="24">
        <v>26.206921021495869</v>
      </c>
      <c r="Q18" s="24">
        <v>25.6</v>
      </c>
      <c r="R18" s="24">
        <v>25.615966777955478</v>
      </c>
      <c r="S18" s="24"/>
      <c r="T18" s="24"/>
      <c r="U18" s="24"/>
      <c r="V18" s="24"/>
      <c r="W18" s="24"/>
      <c r="X18" s="24"/>
    </row>
    <row r="19" spans="1:24" x14ac:dyDescent="0.25">
      <c r="A19" s="20" t="s">
        <v>226</v>
      </c>
      <c r="B19" s="25">
        <f t="shared" si="0"/>
        <v>-100</v>
      </c>
      <c r="C19" s="40"/>
      <c r="D19" s="27"/>
      <c r="E19" s="27"/>
      <c r="F19" s="27"/>
      <c r="G19" s="27"/>
      <c r="H19" s="27"/>
      <c r="J19" s="75" t="s">
        <v>101</v>
      </c>
      <c r="K19" s="24">
        <v>-10.000000000000099</v>
      </c>
      <c r="L19" s="24">
        <v>-9.9291703382080332</v>
      </c>
      <c r="M19" s="24">
        <v>-10.000000000000099</v>
      </c>
      <c r="N19" s="24">
        <v>-10.105497270565005</v>
      </c>
      <c r="O19" s="24">
        <v>-10.000000000000099</v>
      </c>
      <c r="P19" s="24">
        <v>-10.237078524021927</v>
      </c>
      <c r="Q19" s="24">
        <v>-10.000000000000099</v>
      </c>
      <c r="R19" s="24">
        <v>-10.006237022638958</v>
      </c>
      <c r="S19" s="24"/>
      <c r="T19" s="24"/>
      <c r="U19" s="24"/>
      <c r="V19" s="24"/>
      <c r="W19" s="24"/>
      <c r="X19" s="24"/>
    </row>
    <row r="20" spans="1:24" x14ac:dyDescent="0.25">
      <c r="A20" s="20" t="s">
        <v>227</v>
      </c>
      <c r="B20" s="25">
        <f t="shared" si="0"/>
        <v>-100</v>
      </c>
      <c r="C20" s="40"/>
      <c r="D20" s="27"/>
      <c r="E20" s="27"/>
      <c r="F20" s="27"/>
      <c r="G20" s="27"/>
      <c r="H20" s="27"/>
      <c r="J20" s="75" t="s">
        <v>103</v>
      </c>
      <c r="K20" s="24">
        <v>1290</v>
      </c>
      <c r="L20" s="24">
        <v>1315.1986971343481</v>
      </c>
      <c r="M20" s="24">
        <v>1290</v>
      </c>
      <c r="N20" s="24">
        <v>1312.3372964193568</v>
      </c>
      <c r="O20" s="24">
        <v>1290</v>
      </c>
      <c r="P20" s="24">
        <v>1312.6805328135674</v>
      </c>
      <c r="Q20" s="24">
        <v>1290</v>
      </c>
      <c r="R20" s="24">
        <v>1312.0787213542644</v>
      </c>
      <c r="S20" s="24"/>
      <c r="T20" s="24"/>
      <c r="U20" s="24"/>
      <c r="V20" s="24"/>
      <c r="W20" s="24"/>
      <c r="X20" s="24"/>
    </row>
    <row r="21" spans="1:24" x14ac:dyDescent="0.25">
      <c r="A21" s="20" t="s">
        <v>228</v>
      </c>
      <c r="B21" s="25">
        <f t="shared" si="0"/>
        <v>-100</v>
      </c>
      <c r="C21" s="40"/>
      <c r="D21" s="27"/>
      <c r="E21" s="27"/>
      <c r="F21" s="27"/>
      <c r="G21" s="27"/>
      <c r="H21" s="27"/>
      <c r="J21" s="75" t="s">
        <v>105</v>
      </c>
      <c r="K21" s="24">
        <v>1.8447200567794761</v>
      </c>
      <c r="L21" s="24">
        <v>1.8201844978655417</v>
      </c>
      <c r="M21" s="24">
        <v>1.8447200567794761</v>
      </c>
      <c r="N21" s="24">
        <v>1.8172589859457207</v>
      </c>
      <c r="O21" s="24">
        <v>1.8447200567794761</v>
      </c>
      <c r="P21" s="24">
        <v>1.8172589859457235</v>
      </c>
      <c r="Q21" s="24">
        <v>1.8447200567794761</v>
      </c>
      <c r="R21" s="24">
        <v>1.817258985945724</v>
      </c>
      <c r="S21" s="24"/>
      <c r="T21" s="24"/>
      <c r="U21" s="24"/>
      <c r="V21" s="24"/>
      <c r="W21" s="24"/>
      <c r="X21" s="24"/>
    </row>
    <row r="22" spans="1:24" x14ac:dyDescent="0.25">
      <c r="A22" s="20" t="s">
        <v>229</v>
      </c>
      <c r="B22" s="25">
        <f t="shared" si="0"/>
        <v>-100</v>
      </c>
      <c r="C22" s="40"/>
      <c r="D22" s="27"/>
      <c r="E22" s="27"/>
      <c r="F22" s="27"/>
      <c r="G22" s="27"/>
      <c r="H22" s="27"/>
      <c r="J22" s="75" t="s">
        <v>107</v>
      </c>
      <c r="K22" s="24">
        <v>38.4</v>
      </c>
      <c r="L22" s="24">
        <v>37.509036088098647</v>
      </c>
      <c r="M22" s="24">
        <v>38.4</v>
      </c>
      <c r="N22" s="24">
        <v>37.448749269753925</v>
      </c>
      <c r="O22" s="24">
        <v>38.4</v>
      </c>
      <c r="P22" s="24">
        <v>37.448749269753975</v>
      </c>
      <c r="Q22" s="24">
        <v>38.4</v>
      </c>
      <c r="R22" s="24">
        <v>37.448749269753989</v>
      </c>
      <c r="S22" s="24"/>
      <c r="T22" s="24"/>
      <c r="U22" s="24"/>
      <c r="V22" s="24"/>
      <c r="W22" s="24"/>
      <c r="X22" s="24"/>
    </row>
    <row r="23" spans="1:24" x14ac:dyDescent="0.25">
      <c r="A23" s="20" t="s">
        <v>230</v>
      </c>
      <c r="B23" s="25">
        <f t="shared" si="0"/>
        <v>-100</v>
      </c>
      <c r="C23" s="40"/>
      <c r="D23" s="27"/>
      <c r="E23" s="27"/>
      <c r="F23" s="27"/>
      <c r="G23" s="27"/>
      <c r="J23" s="75" t="s">
        <v>109</v>
      </c>
      <c r="K23" s="24">
        <v>-8.8816557409375072</v>
      </c>
      <c r="L23" s="24">
        <v>-8.1919607486364878</v>
      </c>
      <c r="M23" s="24">
        <v>-8.8816557409375072</v>
      </c>
      <c r="N23" s="24">
        <v>-8.141466061179413</v>
      </c>
      <c r="O23" s="24">
        <v>-8.8816557409375072</v>
      </c>
      <c r="P23" s="24">
        <v>-8.0389381449949084</v>
      </c>
      <c r="Q23" s="24">
        <v>-8.8816557409375072</v>
      </c>
      <c r="R23" s="24">
        <v>-8.2210270408876163</v>
      </c>
      <c r="S23" s="24"/>
      <c r="T23" s="24"/>
      <c r="U23" s="24"/>
      <c r="V23" s="24"/>
      <c r="W23" s="24"/>
      <c r="X23" s="24"/>
    </row>
    <row r="24" spans="1:24" x14ac:dyDescent="0.25">
      <c r="A24" s="20" t="s">
        <v>231</v>
      </c>
      <c r="B24" s="25" t="e">
        <f t="shared" si="0"/>
        <v>#DIV/0!</v>
      </c>
      <c r="C24" s="40"/>
      <c r="D24" s="27"/>
      <c r="E24" s="27"/>
      <c r="F24" s="27"/>
      <c r="G24" s="27"/>
    </row>
    <row r="25" spans="1:24" x14ac:dyDescent="0.25">
      <c r="A25" s="20" t="s">
        <v>232</v>
      </c>
      <c r="B25" s="25" t="e">
        <f t="shared" si="0"/>
        <v>#DIV/0!</v>
      </c>
      <c r="C25" s="40"/>
      <c r="D25" s="27"/>
      <c r="E25" s="27"/>
      <c r="F25" s="27"/>
      <c r="G25" s="27"/>
    </row>
    <row r="26" spans="1:24" x14ac:dyDescent="0.25">
      <c r="A26" s="20" t="s">
        <v>233</v>
      </c>
      <c r="B26" s="25" t="e">
        <f t="shared" si="0"/>
        <v>#DIV/0!</v>
      </c>
      <c r="C26" s="40"/>
      <c r="D26" s="27"/>
      <c r="E26" s="27"/>
      <c r="F26" s="27"/>
      <c r="G26" s="27"/>
    </row>
    <row r="27" spans="1:24" x14ac:dyDescent="0.25">
      <c r="A27" s="20" t="s">
        <v>234</v>
      </c>
      <c r="B27" s="25" t="e">
        <f t="shared" si="0"/>
        <v>#DIV/0!</v>
      </c>
      <c r="C27" s="40"/>
      <c r="D27" s="27"/>
      <c r="E27" s="27"/>
      <c r="F27" s="27"/>
      <c r="G27" s="27"/>
      <c r="H27" s="27"/>
    </row>
    <row r="28" spans="1:24" x14ac:dyDescent="0.25">
      <c r="A28" s="20" t="s">
        <v>235</v>
      </c>
      <c r="B28" s="25" t="e">
        <f t="shared" si="0"/>
        <v>#DIV/0!</v>
      </c>
      <c r="C28" s="40"/>
      <c r="D28" s="27"/>
      <c r="E28" s="27"/>
      <c r="F28" s="27"/>
      <c r="G28" s="27"/>
    </row>
    <row r="29" spans="1:24" x14ac:dyDescent="0.25">
      <c r="C29" s="40"/>
      <c r="D29" s="27"/>
      <c r="E29" s="27"/>
      <c r="F29" s="27"/>
      <c r="G29" s="27"/>
      <c r="H29" s="27"/>
    </row>
    <row r="30" spans="1:24" x14ac:dyDescent="0.25">
      <c r="C30" s="40"/>
      <c r="D30" s="27"/>
      <c r="E30" s="27"/>
      <c r="F30" s="27"/>
      <c r="G30" s="27"/>
      <c r="H30" s="27"/>
    </row>
    <row r="31" spans="1:24" x14ac:dyDescent="0.25">
      <c r="C31" s="40"/>
      <c r="D31" s="27"/>
      <c r="E31" s="27"/>
      <c r="F31" s="27"/>
      <c r="G31" s="27"/>
      <c r="H31" s="27"/>
    </row>
    <row r="32" spans="1:24" x14ac:dyDescent="0.25">
      <c r="C32" s="40"/>
      <c r="D32" s="27"/>
      <c r="E32" s="27"/>
      <c r="F32" s="27"/>
      <c r="G32" s="27"/>
      <c r="H32" s="27"/>
    </row>
    <row r="33" spans="3:8" x14ac:dyDescent="0.25">
      <c r="C33" s="40"/>
      <c r="D33" s="27"/>
      <c r="E33" s="27"/>
      <c r="F33" s="27"/>
      <c r="G33" s="27"/>
      <c r="H33" s="27"/>
    </row>
    <row r="34" spans="3:8" x14ac:dyDescent="0.25">
      <c r="C34" s="40"/>
      <c r="D34" s="27"/>
      <c r="E34" s="27"/>
      <c r="F34" s="27"/>
      <c r="G34" s="27"/>
      <c r="H34" s="27"/>
    </row>
    <row r="35" spans="3:8" x14ac:dyDescent="0.25">
      <c r="C35" s="40"/>
      <c r="D35" s="27"/>
      <c r="E35" s="27"/>
      <c r="F35" s="27"/>
      <c r="G35" s="27"/>
      <c r="H35" s="27"/>
    </row>
    <row r="36" spans="3:8" x14ac:dyDescent="0.25">
      <c r="C36" s="27"/>
      <c r="D36" s="27"/>
      <c r="E36" s="27"/>
      <c r="F36" s="27"/>
      <c r="G36" s="27"/>
      <c r="H36" s="27"/>
    </row>
    <row r="37" spans="3:8" x14ac:dyDescent="0.25">
      <c r="C37" s="27"/>
      <c r="D37" s="27"/>
      <c r="E37" s="27"/>
      <c r="F37" s="27"/>
      <c r="G37" s="27"/>
      <c r="H37" s="27"/>
    </row>
    <row r="38" spans="3:8" x14ac:dyDescent="0.25">
      <c r="C38" s="27"/>
      <c r="D38" s="27"/>
      <c r="E38" s="27"/>
      <c r="F38" s="27"/>
      <c r="G38" s="27"/>
      <c r="H38" s="27"/>
    </row>
    <row r="39" spans="3:8" x14ac:dyDescent="0.25">
      <c r="C39" s="27"/>
      <c r="D39" s="27"/>
      <c r="E39" s="27"/>
      <c r="F39" s="27"/>
      <c r="G39" s="27"/>
      <c r="H39" s="27"/>
    </row>
    <row r="40" spans="3:8" x14ac:dyDescent="0.25">
      <c r="C40" s="27"/>
      <c r="D40" s="27"/>
      <c r="E40" s="27"/>
      <c r="F40" s="27"/>
      <c r="G40" s="27"/>
      <c r="H40" s="27"/>
    </row>
    <row r="41" spans="3:8" x14ac:dyDescent="0.25">
      <c r="C41" s="27"/>
      <c r="D41" s="27"/>
      <c r="E41" s="27"/>
      <c r="F41" s="27"/>
      <c r="G41" s="27"/>
      <c r="H41" s="27"/>
    </row>
    <row r="42" spans="3:8" x14ac:dyDescent="0.25">
      <c r="C42" s="27"/>
      <c r="D42" s="27"/>
      <c r="E42" s="27"/>
      <c r="F42" s="27"/>
      <c r="G42" s="27"/>
      <c r="H42" s="27"/>
    </row>
    <row r="43" spans="3:8" x14ac:dyDescent="0.25">
      <c r="C43" s="27"/>
      <c r="D43" s="27"/>
      <c r="E43" s="27"/>
      <c r="F43" s="27"/>
      <c r="G43" s="27"/>
    </row>
    <row r="44" spans="3:8" x14ac:dyDescent="0.25">
      <c r="C44" s="27"/>
      <c r="D44" s="27"/>
      <c r="E44" s="27"/>
      <c r="F44" s="27"/>
      <c r="G44" s="27"/>
    </row>
    <row r="45" spans="3:8" x14ac:dyDescent="0.25">
      <c r="C45" s="27"/>
      <c r="D45" s="27"/>
      <c r="E45" s="27"/>
      <c r="F45" s="27"/>
      <c r="G45" s="27"/>
    </row>
    <row r="46" spans="3:8" x14ac:dyDescent="0.25">
      <c r="C46" s="27"/>
      <c r="D46" s="27"/>
      <c r="E46" s="27"/>
      <c r="F46" s="27"/>
      <c r="G46" s="27"/>
    </row>
    <row r="47" spans="3:8" x14ac:dyDescent="0.25">
      <c r="H47" s="27"/>
    </row>
    <row r="49" spans="3:8" x14ac:dyDescent="0.25">
      <c r="H49" s="27"/>
    </row>
    <row r="50" spans="3:8" x14ac:dyDescent="0.25">
      <c r="H50" s="27"/>
    </row>
    <row r="51" spans="3:8" x14ac:dyDescent="0.25">
      <c r="C51" s="27"/>
      <c r="D51" s="27"/>
      <c r="E51" s="27"/>
      <c r="F51" s="27"/>
      <c r="G51" s="27"/>
      <c r="H51" s="27"/>
    </row>
    <row r="52" spans="3:8" x14ac:dyDescent="0.25">
      <c r="H52" s="27"/>
    </row>
    <row r="53" spans="3:8" x14ac:dyDescent="0.25">
      <c r="C53" s="27"/>
      <c r="D53" s="27"/>
      <c r="E53" s="27"/>
      <c r="F53" s="27"/>
      <c r="G53" s="27"/>
      <c r="H53" s="27"/>
    </row>
    <row r="54" spans="3:8" x14ac:dyDescent="0.25">
      <c r="C54" s="27"/>
      <c r="D54" s="27"/>
      <c r="E54" s="27"/>
      <c r="F54" s="27"/>
      <c r="G54" s="27"/>
      <c r="H54" s="27"/>
    </row>
    <row r="55" spans="3:8" x14ac:dyDescent="0.25">
      <c r="C55" s="27"/>
      <c r="D55" s="27"/>
      <c r="E55" s="27"/>
      <c r="F55" s="27"/>
      <c r="G55" s="27"/>
      <c r="H55" s="27"/>
    </row>
    <row r="56" spans="3:8" x14ac:dyDescent="0.25">
      <c r="C56" s="27"/>
      <c r="D56" s="27"/>
      <c r="E56" s="27"/>
      <c r="F56" s="27"/>
      <c r="G56" s="27"/>
      <c r="H56" s="27"/>
    </row>
    <row r="57" spans="3:8" x14ac:dyDescent="0.25">
      <c r="C57" s="27"/>
      <c r="D57" s="27"/>
      <c r="E57" s="27"/>
      <c r="F57" s="27"/>
      <c r="G57" s="27"/>
      <c r="H57" s="27"/>
    </row>
    <row r="58" spans="3:8" x14ac:dyDescent="0.25">
      <c r="C58" s="27"/>
      <c r="D58" s="27"/>
      <c r="E58" s="27"/>
      <c r="F58" s="27"/>
      <c r="G58" s="27"/>
      <c r="H58" s="27"/>
    </row>
    <row r="59" spans="3:8" x14ac:dyDescent="0.25">
      <c r="C59" s="27"/>
      <c r="D59" s="27"/>
      <c r="E59" s="27"/>
      <c r="F59" s="27"/>
      <c r="G59" s="27"/>
      <c r="H59" s="27"/>
    </row>
    <row r="60" spans="3:8" x14ac:dyDescent="0.25">
      <c r="C60" s="27"/>
      <c r="D60" s="27"/>
      <c r="E60" s="27"/>
      <c r="F60" s="27"/>
      <c r="G60" s="27"/>
      <c r="H60" s="27"/>
    </row>
    <row r="61" spans="3:8" x14ac:dyDescent="0.25">
      <c r="C61" s="27"/>
      <c r="D61" s="27"/>
      <c r="E61" s="27"/>
      <c r="F61" s="27"/>
      <c r="G61" s="27"/>
      <c r="H61" s="27"/>
    </row>
    <row r="62" spans="3:8" x14ac:dyDescent="0.25">
      <c r="C62" s="27"/>
      <c r="D62" s="27"/>
      <c r="E62" s="27"/>
      <c r="F62" s="27"/>
      <c r="G62" s="27"/>
      <c r="H62" s="27"/>
    </row>
    <row r="63" spans="3:8" x14ac:dyDescent="0.25">
      <c r="C63" s="27"/>
      <c r="D63" s="27"/>
      <c r="E63" s="27"/>
      <c r="F63" s="27"/>
      <c r="G63" s="27"/>
    </row>
    <row r="64" spans="3:8" x14ac:dyDescent="0.25">
      <c r="C64" s="27"/>
      <c r="D64" s="27"/>
      <c r="E64" s="27"/>
      <c r="F64" s="27"/>
      <c r="G64" s="27"/>
    </row>
    <row r="65" spans="3:8" x14ac:dyDescent="0.25">
      <c r="C65" s="27"/>
      <c r="D65" s="27"/>
      <c r="E65" s="27"/>
      <c r="F65" s="27"/>
      <c r="G65" s="27"/>
    </row>
    <row r="66" spans="3:8" x14ac:dyDescent="0.25">
      <c r="C66" s="27"/>
      <c r="D66" s="27"/>
      <c r="E66" s="27"/>
      <c r="F66" s="27"/>
      <c r="G66" s="27"/>
    </row>
    <row r="67" spans="3:8" x14ac:dyDescent="0.25">
      <c r="H67" s="27"/>
    </row>
    <row r="69" spans="3:8" x14ac:dyDescent="0.25">
      <c r="H69" s="27"/>
    </row>
    <row r="70" spans="3:8" x14ac:dyDescent="0.25">
      <c r="H70" s="27"/>
    </row>
    <row r="71" spans="3:8" x14ac:dyDescent="0.25">
      <c r="C71" s="27"/>
      <c r="D71" s="27"/>
      <c r="E71" s="27"/>
      <c r="F71" s="27"/>
      <c r="G71" s="27"/>
      <c r="H71" s="27"/>
    </row>
    <row r="72" spans="3:8" x14ac:dyDescent="0.25">
      <c r="H72" s="27"/>
    </row>
    <row r="73" spans="3:8" x14ac:dyDescent="0.25">
      <c r="C73" s="27"/>
      <c r="D73" s="27"/>
      <c r="E73" s="27"/>
      <c r="F73" s="27"/>
      <c r="G73" s="27"/>
      <c r="H73" s="27"/>
    </row>
    <row r="74" spans="3:8" x14ac:dyDescent="0.25">
      <c r="C74" s="27"/>
      <c r="D74" s="27"/>
      <c r="E74" s="27"/>
      <c r="F74" s="27"/>
      <c r="G74" s="27"/>
      <c r="H74" s="27"/>
    </row>
    <row r="75" spans="3:8" x14ac:dyDescent="0.25">
      <c r="C75" s="27"/>
      <c r="D75" s="27"/>
      <c r="E75" s="27"/>
      <c r="F75" s="27"/>
      <c r="G75" s="27"/>
      <c r="H75" s="27"/>
    </row>
    <row r="76" spans="3:8" x14ac:dyDescent="0.25">
      <c r="C76" s="27"/>
      <c r="D76" s="27"/>
      <c r="E76" s="27"/>
      <c r="F76" s="27"/>
      <c r="G76" s="27"/>
      <c r="H76" s="27"/>
    </row>
    <row r="77" spans="3:8" x14ac:dyDescent="0.25">
      <c r="C77" s="27"/>
      <c r="D77" s="27"/>
      <c r="E77" s="27"/>
      <c r="F77" s="27"/>
      <c r="G77" s="27"/>
      <c r="H77" s="27"/>
    </row>
    <row r="78" spans="3:8" x14ac:dyDescent="0.25">
      <c r="C78" s="27"/>
      <c r="D78" s="27"/>
      <c r="E78" s="27"/>
      <c r="F78" s="27"/>
      <c r="G78" s="27"/>
      <c r="H78" s="27"/>
    </row>
    <row r="79" spans="3:8" x14ac:dyDescent="0.25">
      <c r="C79" s="27"/>
      <c r="D79" s="27"/>
      <c r="E79" s="27"/>
      <c r="F79" s="27"/>
      <c r="G79" s="27"/>
      <c r="H79" s="27"/>
    </row>
    <row r="80" spans="3:8" x14ac:dyDescent="0.25">
      <c r="C80" s="27"/>
      <c r="D80" s="27"/>
      <c r="E80" s="27"/>
      <c r="F80" s="27"/>
      <c r="G80" s="27"/>
      <c r="H80" s="27"/>
    </row>
    <row r="81" spans="3:8" x14ac:dyDescent="0.25">
      <c r="C81" s="27"/>
      <c r="D81" s="27"/>
      <c r="E81" s="27"/>
      <c r="F81" s="27"/>
      <c r="G81" s="27"/>
      <c r="H81" s="27"/>
    </row>
    <row r="82" spans="3:8" x14ac:dyDescent="0.25">
      <c r="C82" s="27"/>
      <c r="D82" s="27"/>
      <c r="E82" s="27"/>
      <c r="F82" s="27"/>
      <c r="G82" s="27"/>
      <c r="H82" s="27"/>
    </row>
    <row r="83" spans="3:8" x14ac:dyDescent="0.25">
      <c r="C83" s="27"/>
      <c r="D83" s="27"/>
      <c r="E83" s="27"/>
      <c r="F83" s="27"/>
      <c r="G83" s="27"/>
    </row>
    <row r="84" spans="3:8" x14ac:dyDescent="0.25">
      <c r="C84" s="27"/>
      <c r="D84" s="27"/>
      <c r="E84" s="27"/>
      <c r="F84" s="27"/>
      <c r="G84" s="27"/>
    </row>
    <row r="85" spans="3:8" x14ac:dyDescent="0.25">
      <c r="C85" s="27"/>
      <c r="D85" s="27"/>
      <c r="E85" s="27"/>
      <c r="F85" s="27"/>
      <c r="G85" s="27"/>
    </row>
    <row r="86" spans="3:8" x14ac:dyDescent="0.25">
      <c r="C86" s="27"/>
      <c r="D86" s="27"/>
      <c r="E86" s="27"/>
      <c r="F86" s="27"/>
      <c r="G86" s="27"/>
    </row>
  </sheetData>
  <phoneticPr fontId="14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B6:CP21"/>
  <sheetViews>
    <sheetView topLeftCell="H1" zoomScale="80" zoomScaleNormal="80" workbookViewId="0">
      <pane xSplit="3" ySplit="7" topLeftCell="K8" activePane="bottomRight" state="frozen"/>
      <selection pane="topRight"/>
      <selection pane="bottomLeft"/>
      <selection pane="bottomRight" activeCell="N33" sqref="N33"/>
    </sheetView>
  </sheetViews>
  <sheetFormatPr defaultColWidth="9" defaultRowHeight="15" x14ac:dyDescent="0.25"/>
  <cols>
    <col min="1" max="1" width="9" style="42"/>
    <col min="2" max="2" width="12" style="42" customWidth="1"/>
    <col min="3" max="8" width="9" style="42"/>
    <col min="9" max="9" width="4" style="42" customWidth="1"/>
    <col min="10" max="10" width="43.25" style="42" customWidth="1"/>
    <col min="11" max="23" width="12" style="42" customWidth="1"/>
    <col min="24" max="24" width="14.125" style="42"/>
    <col min="25" max="16384" width="9" style="42"/>
  </cols>
  <sheetData>
    <row r="6" spans="2:94" x14ac:dyDescent="0.25">
      <c r="B6" s="43" t="s">
        <v>73</v>
      </c>
      <c r="K6" s="76" t="s">
        <v>73</v>
      </c>
      <c r="L6" s="76" t="s">
        <v>73</v>
      </c>
      <c r="M6" s="76" t="s">
        <v>315</v>
      </c>
      <c r="N6" s="76" t="s">
        <v>315</v>
      </c>
      <c r="O6" s="76" t="s">
        <v>316</v>
      </c>
      <c r="P6" s="76" t="s">
        <v>316</v>
      </c>
      <c r="Q6" s="76" t="s">
        <v>317</v>
      </c>
      <c r="R6" s="76" t="s">
        <v>317</v>
      </c>
      <c r="S6" s="76"/>
      <c r="T6" s="76"/>
      <c r="U6" s="76"/>
      <c r="V6" s="76"/>
      <c r="W6" s="76"/>
      <c r="X6" s="76"/>
      <c r="Y6" s="77"/>
      <c r="Z6" s="77"/>
      <c r="AA6" s="77"/>
      <c r="AB6" s="77"/>
      <c r="AC6" s="77"/>
      <c r="AD6" s="77"/>
      <c r="AE6" s="77"/>
      <c r="AF6" s="77"/>
      <c r="AG6" s="77"/>
      <c r="AH6" s="77"/>
      <c r="AI6" s="77"/>
      <c r="AJ6" s="77"/>
      <c r="AK6" s="77"/>
      <c r="AL6" s="77"/>
      <c r="AM6" s="77"/>
      <c r="AN6" s="77"/>
      <c r="AO6" s="77"/>
      <c r="AP6" s="77"/>
      <c r="AQ6" s="77"/>
      <c r="AR6" s="77"/>
      <c r="AS6" s="77"/>
      <c r="AT6" s="77"/>
      <c r="AU6" s="77"/>
      <c r="AV6" s="77"/>
      <c r="AW6" s="77"/>
      <c r="AX6" s="77"/>
      <c r="AY6" s="77"/>
      <c r="AZ6" s="77"/>
      <c r="BA6" s="77"/>
      <c r="BB6" s="77"/>
      <c r="BC6" s="77"/>
      <c r="BD6" s="77"/>
      <c r="BE6" s="77"/>
      <c r="BF6" s="77"/>
      <c r="BG6" s="77"/>
      <c r="BH6" s="77"/>
      <c r="BI6" s="77"/>
      <c r="BJ6" s="77"/>
      <c r="BK6" s="77"/>
      <c r="BL6" s="77"/>
      <c r="BM6" s="77"/>
      <c r="BN6" s="77"/>
      <c r="BO6" s="77"/>
      <c r="BP6" s="77"/>
      <c r="BQ6" s="77"/>
      <c r="BR6" s="77"/>
      <c r="BS6" s="77"/>
      <c r="BT6" s="77"/>
      <c r="BU6" s="77"/>
      <c r="BV6" s="77"/>
      <c r="BW6" s="77"/>
      <c r="BX6" s="77"/>
      <c r="BY6" s="77"/>
      <c r="BZ6" s="77"/>
      <c r="CA6" s="77"/>
      <c r="CB6" s="77"/>
      <c r="CC6" s="77"/>
      <c r="CD6" s="77"/>
      <c r="CE6" s="77"/>
      <c r="CF6" s="77"/>
      <c r="CG6" s="77"/>
      <c r="CH6" s="77"/>
      <c r="CI6" s="77"/>
      <c r="CJ6" s="77"/>
      <c r="CK6" s="77"/>
      <c r="CL6" s="77"/>
      <c r="CM6" s="77"/>
      <c r="CN6" s="77"/>
      <c r="CO6" s="77"/>
      <c r="CP6" s="77"/>
    </row>
    <row r="7" spans="2:94" x14ac:dyDescent="0.25">
      <c r="B7" s="43" t="s">
        <v>74</v>
      </c>
      <c r="C7" s="43"/>
      <c r="D7" s="43"/>
      <c r="E7" s="43"/>
      <c r="F7" s="43"/>
      <c r="G7" s="43"/>
      <c r="H7" s="44"/>
      <c r="K7" s="76" t="s">
        <v>76</v>
      </c>
      <c r="L7" s="76" t="s">
        <v>77</v>
      </c>
      <c r="M7" s="76" t="s">
        <v>76</v>
      </c>
      <c r="N7" s="76" t="s">
        <v>77</v>
      </c>
      <c r="O7" s="76" t="s">
        <v>76</v>
      </c>
      <c r="P7" s="76" t="s">
        <v>77</v>
      </c>
      <c r="Q7" s="76" t="s">
        <v>76</v>
      </c>
      <c r="R7" s="76" t="s">
        <v>77</v>
      </c>
      <c r="S7" s="76"/>
      <c r="T7" s="76"/>
      <c r="U7" s="76"/>
      <c r="V7" s="76"/>
      <c r="W7" s="76"/>
      <c r="X7" s="76"/>
      <c r="Y7" s="77"/>
      <c r="Z7" s="77"/>
      <c r="AA7" s="77"/>
      <c r="AB7" s="77"/>
      <c r="AC7" s="77"/>
      <c r="AD7" s="77"/>
      <c r="AE7" s="77"/>
      <c r="AF7" s="77"/>
      <c r="AG7" s="77"/>
      <c r="AH7" s="77"/>
      <c r="AI7" s="77"/>
      <c r="AJ7" s="77"/>
      <c r="AK7" s="77"/>
      <c r="AL7" s="77"/>
      <c r="AM7" s="77"/>
      <c r="AN7" s="77"/>
      <c r="AO7" s="77"/>
      <c r="AP7" s="77"/>
      <c r="AQ7" s="77"/>
      <c r="AR7" s="77"/>
      <c r="AS7" s="77"/>
      <c r="AT7" s="77"/>
      <c r="AU7" s="77"/>
      <c r="AV7" s="77"/>
      <c r="AW7" s="77"/>
      <c r="AX7" s="77"/>
      <c r="AY7" s="77"/>
      <c r="AZ7" s="77"/>
      <c r="BA7" s="77"/>
      <c r="BB7" s="77"/>
      <c r="BC7" s="77"/>
      <c r="BD7" s="77"/>
      <c r="BE7" s="77"/>
      <c r="BF7" s="77"/>
      <c r="BG7" s="77"/>
      <c r="BH7" s="77"/>
      <c r="BI7" s="77"/>
      <c r="BJ7" s="77"/>
      <c r="BK7" s="77"/>
      <c r="BL7" s="77"/>
      <c r="BM7" s="77"/>
      <c r="BN7" s="77"/>
      <c r="BO7" s="77"/>
      <c r="BP7" s="77"/>
      <c r="BQ7" s="77"/>
      <c r="BR7" s="77"/>
      <c r="BS7" s="77"/>
      <c r="BT7" s="77"/>
      <c r="BU7" s="77"/>
      <c r="BV7" s="77"/>
      <c r="BW7" s="77"/>
      <c r="BX7" s="77"/>
      <c r="BY7" s="77"/>
      <c r="BZ7" s="77"/>
      <c r="CA7" s="77"/>
      <c r="CB7" s="77"/>
      <c r="CC7" s="77"/>
      <c r="CD7" s="77"/>
      <c r="CE7" s="77"/>
      <c r="CF7" s="77"/>
      <c r="CG7" s="77"/>
      <c r="CH7" s="77"/>
      <c r="CI7" s="77"/>
      <c r="CJ7" s="77"/>
      <c r="CK7" s="77"/>
      <c r="CL7" s="77"/>
      <c r="CM7" s="77"/>
      <c r="CN7" s="77"/>
      <c r="CO7" s="77"/>
      <c r="CP7" s="77"/>
    </row>
    <row r="8" spans="2:94" x14ac:dyDescent="0.25">
      <c r="I8" s="42">
        <v>1</v>
      </c>
      <c r="J8" s="77" t="s">
        <v>79</v>
      </c>
      <c r="K8" s="45">
        <v>453.18000000000006</v>
      </c>
      <c r="L8" s="45">
        <v>453.70651337304002</v>
      </c>
      <c r="M8" s="45">
        <v>453.18000000000006</v>
      </c>
      <c r="N8" s="45">
        <v>453.70651337303985</v>
      </c>
      <c r="O8" s="45">
        <v>453.18000000000006</v>
      </c>
      <c r="P8" s="45">
        <v>453.70651337303985</v>
      </c>
      <c r="Q8" s="45">
        <v>453.18000000000006</v>
      </c>
      <c r="R8" s="45">
        <v>453.70651337303985</v>
      </c>
      <c r="S8" s="45"/>
      <c r="T8" s="45"/>
      <c r="U8" s="45"/>
      <c r="V8" s="45"/>
      <c r="W8" s="45"/>
      <c r="X8" s="45"/>
    </row>
    <row r="9" spans="2:94" x14ac:dyDescent="0.25">
      <c r="I9" s="42">
        <v>2</v>
      </c>
      <c r="J9" s="77" t="s">
        <v>81</v>
      </c>
      <c r="K9" s="45">
        <v>21733.836444679815</v>
      </c>
      <c r="L9" s="45">
        <v>21880.296131958461</v>
      </c>
      <c r="M9" s="45">
        <v>21733.836444679815</v>
      </c>
      <c r="N9" s="45">
        <v>22021.532589266717</v>
      </c>
      <c r="O9" s="45">
        <v>21733.836444679815</v>
      </c>
      <c r="P9" s="45">
        <v>22021.532589266717</v>
      </c>
      <c r="Q9" s="45">
        <v>21733.836444679815</v>
      </c>
      <c r="R9" s="45">
        <v>22021.532589266717</v>
      </c>
      <c r="S9" s="45"/>
      <c r="T9" s="45"/>
      <c r="U9" s="45"/>
      <c r="V9" s="45"/>
      <c r="W9" s="45"/>
      <c r="X9" s="45"/>
    </row>
    <row r="10" spans="2:94" x14ac:dyDescent="0.25">
      <c r="I10" s="42">
        <v>3</v>
      </c>
      <c r="J10" s="77" t="s">
        <v>83</v>
      </c>
      <c r="K10" s="45">
        <v>9849.34</v>
      </c>
      <c r="L10" s="45">
        <v>9927.2328696004897</v>
      </c>
      <c r="M10" s="45">
        <v>9849.34</v>
      </c>
      <c r="N10" s="45">
        <v>9991.3127702069742</v>
      </c>
      <c r="O10" s="45">
        <v>9849.34</v>
      </c>
      <c r="P10" s="45">
        <v>9991.3127702069687</v>
      </c>
      <c r="Q10" s="45">
        <v>9849.34</v>
      </c>
      <c r="R10" s="45">
        <v>9991.3127702069669</v>
      </c>
      <c r="S10" s="45"/>
      <c r="T10" s="45"/>
      <c r="U10" s="45"/>
      <c r="V10" s="45"/>
      <c r="W10" s="45"/>
      <c r="X10" s="45"/>
    </row>
    <row r="11" spans="2:94" x14ac:dyDescent="0.25">
      <c r="I11" s="42">
        <v>4</v>
      </c>
      <c r="J11" s="77" t="s">
        <v>85</v>
      </c>
      <c r="K11" s="45">
        <v>9849.34</v>
      </c>
      <c r="L11" s="45">
        <v>9927.2328696004897</v>
      </c>
      <c r="M11" s="45">
        <v>9849.34</v>
      </c>
      <c r="N11" s="45">
        <v>9991.3127702069742</v>
      </c>
      <c r="O11" s="45">
        <v>9849.34</v>
      </c>
      <c r="P11" s="45">
        <v>9991.3127702069687</v>
      </c>
      <c r="Q11" s="45">
        <v>9849.34</v>
      </c>
      <c r="R11" s="45">
        <v>9991.3127702069669</v>
      </c>
      <c r="S11" s="45"/>
      <c r="T11" s="45"/>
      <c r="U11" s="45"/>
      <c r="V11" s="45"/>
      <c r="W11" s="45"/>
      <c r="X11" s="45"/>
    </row>
    <row r="12" spans="2:94" x14ac:dyDescent="0.25">
      <c r="I12" s="42">
        <v>5</v>
      </c>
      <c r="J12" s="77" t="s">
        <v>89</v>
      </c>
      <c r="K12" s="45">
        <v>9864.0400000000009</v>
      </c>
      <c r="L12" s="45">
        <v>9927.2328696004897</v>
      </c>
      <c r="M12" s="45">
        <v>9864.0400000000009</v>
      </c>
      <c r="N12" s="45">
        <v>9991.3127702069742</v>
      </c>
      <c r="O12" s="45">
        <v>9864.0400000000009</v>
      </c>
      <c r="P12" s="45">
        <v>9991.3127702069687</v>
      </c>
      <c r="Q12" s="45">
        <v>9864.0400000000009</v>
      </c>
      <c r="R12" s="45">
        <v>9991.3127702069669</v>
      </c>
      <c r="S12" s="45"/>
      <c r="T12" s="45"/>
      <c r="U12" s="45"/>
      <c r="V12" s="45"/>
      <c r="W12" s="45"/>
      <c r="X12" s="45"/>
    </row>
    <row r="13" spans="2:94" x14ac:dyDescent="0.25">
      <c r="I13" s="42">
        <v>6</v>
      </c>
      <c r="J13" s="77" t="s">
        <v>91</v>
      </c>
      <c r="K13" s="45">
        <v>44.785285680729451</v>
      </c>
      <c r="L13" s="45">
        <v>44.637145725424865</v>
      </c>
      <c r="M13" s="45">
        <v>44.785285680729451</v>
      </c>
      <c r="N13" s="45">
        <v>44.56540217303246</v>
      </c>
      <c r="O13" s="45">
        <v>44.785285680729451</v>
      </c>
      <c r="P13" s="45">
        <v>44.565402173032474</v>
      </c>
      <c r="Q13" s="45">
        <v>44.785285680729451</v>
      </c>
      <c r="R13" s="45">
        <v>44.565402173032496</v>
      </c>
      <c r="S13" s="45"/>
      <c r="T13" s="45"/>
      <c r="U13" s="45"/>
      <c r="V13" s="45"/>
      <c r="W13" s="45"/>
      <c r="X13" s="45"/>
    </row>
    <row r="14" spans="2:94" x14ac:dyDescent="0.25">
      <c r="I14" s="42">
        <v>7</v>
      </c>
      <c r="J14" s="77" t="s">
        <v>93</v>
      </c>
      <c r="K14" s="45">
        <v>884.79</v>
      </c>
      <c r="L14" s="45">
        <v>885.81796629889232</v>
      </c>
      <c r="M14" s="45">
        <v>884.79</v>
      </c>
      <c r="N14" s="45">
        <v>885.81796629889197</v>
      </c>
      <c r="O14" s="45">
        <v>884.79</v>
      </c>
      <c r="P14" s="45">
        <v>885.81796629889197</v>
      </c>
      <c r="Q14" s="45">
        <v>884.79</v>
      </c>
      <c r="R14" s="45">
        <v>885.81796629889197</v>
      </c>
      <c r="S14" s="45"/>
      <c r="T14" s="45"/>
      <c r="U14" s="45"/>
      <c r="V14" s="45"/>
      <c r="W14" s="45"/>
      <c r="X14" s="45"/>
    </row>
    <row r="15" spans="2:94" x14ac:dyDescent="0.25">
      <c r="I15" s="42">
        <v>8</v>
      </c>
      <c r="J15" s="77" t="s">
        <v>95</v>
      </c>
      <c r="K15" s="45">
        <v>589.86</v>
      </c>
      <c r="L15" s="45">
        <v>593.89175966978792</v>
      </c>
      <c r="M15" s="45">
        <v>589.86</v>
      </c>
      <c r="N15" s="45">
        <v>593.00495108462644</v>
      </c>
      <c r="O15" s="45">
        <v>589.86</v>
      </c>
      <c r="P15" s="45">
        <v>593.0049510846261</v>
      </c>
      <c r="Q15" s="45">
        <v>589.86</v>
      </c>
      <c r="R15" s="45">
        <v>593.00495108462621</v>
      </c>
      <c r="S15" s="45"/>
      <c r="T15" s="45"/>
      <c r="U15" s="45"/>
      <c r="V15" s="45"/>
      <c r="W15" s="45"/>
      <c r="X15" s="45"/>
    </row>
    <row r="16" spans="2:94" x14ac:dyDescent="0.25">
      <c r="I16" s="42">
        <v>9</v>
      </c>
      <c r="J16" s="77" t="s">
        <v>97</v>
      </c>
      <c r="K16" s="45">
        <v>983.1</v>
      </c>
      <c r="L16" s="45">
        <v>1109.7554974494774</v>
      </c>
      <c r="M16" s="45">
        <v>983.1</v>
      </c>
      <c r="N16" s="45">
        <v>1106.1910303636264</v>
      </c>
      <c r="O16" s="45">
        <v>983.1</v>
      </c>
      <c r="P16" s="45">
        <v>1106.1910303636264</v>
      </c>
      <c r="Q16" s="45">
        <v>983.1</v>
      </c>
      <c r="R16" s="45">
        <v>1106.1910303636262</v>
      </c>
      <c r="S16" s="45"/>
      <c r="T16" s="45"/>
      <c r="U16" s="45"/>
      <c r="V16" s="45"/>
      <c r="W16" s="45"/>
      <c r="X16" s="45"/>
    </row>
    <row r="17" spans="9:24" x14ac:dyDescent="0.25">
      <c r="I17" s="42">
        <v>10</v>
      </c>
      <c r="J17" s="77" t="s">
        <v>99</v>
      </c>
      <c r="K17" s="45">
        <v>1015.43</v>
      </c>
      <c r="L17" s="45">
        <v>1023.4604626074869</v>
      </c>
      <c r="M17" s="45">
        <v>1015.43</v>
      </c>
      <c r="N17" s="45">
        <v>1030.0668599369365</v>
      </c>
      <c r="O17" s="45">
        <v>1015.43</v>
      </c>
      <c r="P17" s="45">
        <v>1030.066859936936</v>
      </c>
      <c r="Q17" s="45">
        <v>1015.43</v>
      </c>
      <c r="R17" s="45">
        <v>1030.0668599369358</v>
      </c>
      <c r="S17" s="45"/>
      <c r="T17" s="45"/>
      <c r="U17" s="45"/>
      <c r="V17" s="45"/>
      <c r="W17" s="45"/>
      <c r="X17" s="45"/>
    </row>
    <row r="18" spans="9:24" s="41" customFormat="1" x14ac:dyDescent="0.25">
      <c r="I18" s="41">
        <v>11</v>
      </c>
      <c r="J18" s="78" t="s">
        <v>236</v>
      </c>
      <c r="K18" s="46">
        <v>99.02</v>
      </c>
      <c r="L18" s="46">
        <v>106.2104512851638</v>
      </c>
      <c r="M18" s="46">
        <v>99.02</v>
      </c>
      <c r="N18" s="46">
        <v>178.11326323536409</v>
      </c>
      <c r="O18" s="46">
        <v>99.02</v>
      </c>
      <c r="P18" s="46">
        <v>178.11326323535576</v>
      </c>
      <c r="Q18" s="46">
        <v>99.02</v>
      </c>
      <c r="R18" s="46">
        <v>178.11326323535286</v>
      </c>
      <c r="S18" s="46"/>
      <c r="T18" s="46"/>
      <c r="U18" s="46"/>
      <c r="V18" s="46"/>
      <c r="W18" s="46"/>
      <c r="X18" s="46"/>
    </row>
    <row r="19" spans="9:24" x14ac:dyDescent="0.25">
      <c r="I19" s="42">
        <v>12</v>
      </c>
      <c r="J19" s="77" t="s">
        <v>103</v>
      </c>
      <c r="K19" s="45">
        <v>9765.02</v>
      </c>
      <c r="L19" s="45">
        <v>9821.0224183153259</v>
      </c>
      <c r="M19" s="45">
        <v>9765.02</v>
      </c>
      <c r="N19" s="45">
        <v>9813.1995069716104</v>
      </c>
      <c r="O19" s="45">
        <v>9765.02</v>
      </c>
      <c r="P19" s="45">
        <v>9813.1995069716122</v>
      </c>
      <c r="Q19" s="45">
        <v>9765.02</v>
      </c>
      <c r="R19" s="45">
        <v>9813.199506971614</v>
      </c>
      <c r="S19" s="45"/>
      <c r="T19" s="45"/>
      <c r="U19" s="45"/>
      <c r="V19" s="45"/>
      <c r="W19" s="45"/>
      <c r="X19" s="45"/>
    </row>
    <row r="20" spans="9:24" x14ac:dyDescent="0.25">
      <c r="I20" s="42">
        <v>13</v>
      </c>
      <c r="J20" s="77" t="s">
        <v>105</v>
      </c>
      <c r="K20" s="45">
        <v>92.159587679896575</v>
      </c>
      <c r="L20" s="45">
        <v>91.854743868089372</v>
      </c>
      <c r="M20" s="45">
        <v>92.159587679896575</v>
      </c>
      <c r="N20" s="45">
        <v>91.707109302256512</v>
      </c>
      <c r="O20" s="45">
        <v>92.159587679896575</v>
      </c>
      <c r="P20" s="45">
        <v>91.707109302256526</v>
      </c>
      <c r="Q20" s="45">
        <v>92.159587679896575</v>
      </c>
      <c r="R20" s="45">
        <v>91.707109302256569</v>
      </c>
      <c r="S20" s="45"/>
      <c r="T20" s="45"/>
      <c r="U20" s="45"/>
      <c r="V20" s="45"/>
      <c r="W20" s="45"/>
      <c r="X20" s="45"/>
    </row>
    <row r="21" spans="9:24" x14ac:dyDescent="0.25">
      <c r="I21" s="42">
        <v>14</v>
      </c>
      <c r="J21" s="77" t="s">
        <v>107</v>
      </c>
      <c r="K21" s="45">
        <v>6291.84</v>
      </c>
      <c r="L21" s="45">
        <v>6208.0967322896804</v>
      </c>
      <c r="M21" s="45">
        <v>6291.84</v>
      </c>
      <c r="N21" s="45">
        <v>6198.1186992875291</v>
      </c>
      <c r="O21" s="45">
        <v>6291.84</v>
      </c>
      <c r="P21" s="45">
        <v>6198.1186992875309</v>
      </c>
      <c r="Q21" s="45">
        <v>6291.84</v>
      </c>
      <c r="R21" s="45">
        <v>6198.1186992875337</v>
      </c>
      <c r="S21" s="45"/>
      <c r="T21" s="45"/>
      <c r="U21" s="45"/>
      <c r="V21" s="45"/>
      <c r="W21" s="45"/>
      <c r="X21" s="45"/>
    </row>
  </sheetData>
  <phoneticPr fontId="14" type="noConversion"/>
  <pageMargins left="0.7" right="0.7" top="0.75" bottom="0.75" header="0.3" footer="0.3"/>
  <pageSetup paperSize="9"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CP86"/>
  <sheetViews>
    <sheetView topLeftCell="H1" zoomScale="85" zoomScaleNormal="85" workbookViewId="0">
      <pane xSplit="3" ySplit="7" topLeftCell="K8" activePane="bottomRight" state="frozen"/>
      <selection pane="topRight"/>
      <selection pane="bottomLeft"/>
      <selection pane="bottomRight" activeCell="L5" sqref="L5"/>
    </sheetView>
  </sheetViews>
  <sheetFormatPr defaultColWidth="9" defaultRowHeight="15" x14ac:dyDescent="0.25"/>
  <cols>
    <col min="1" max="1" width="30.875" style="20" customWidth="1"/>
    <col min="2" max="2" width="15.5" style="25" customWidth="1"/>
    <col min="3" max="3" width="12.875" style="20" customWidth="1"/>
    <col min="4" max="7" width="9" style="20"/>
    <col min="8" max="8" width="6" style="20" customWidth="1"/>
    <col min="9" max="9" width="9" style="20"/>
    <col min="10" max="10" width="40.875" style="20" customWidth="1"/>
    <col min="11" max="24" width="11.625" style="20" customWidth="1"/>
    <col min="25" max="38" width="14.125" style="20" customWidth="1"/>
    <col min="39" max="16384" width="9" style="20"/>
  </cols>
  <sheetData>
    <row r="1" spans="1:94" x14ac:dyDescent="0.25"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</row>
    <row r="2" spans="1:94" x14ac:dyDescent="0.25">
      <c r="L2" s="27"/>
      <c r="N2" s="27"/>
      <c r="O2" s="27"/>
      <c r="P2" s="27"/>
      <c r="Q2" s="27"/>
      <c r="R2" s="27"/>
      <c r="S2" s="27"/>
      <c r="T2" s="27"/>
      <c r="U2" s="27"/>
      <c r="V2" s="27"/>
      <c r="W2" s="20" t="e">
        <f>W9/W8</f>
        <v>#DIV/0!</v>
      </c>
    </row>
    <row r="3" spans="1:94" x14ac:dyDescent="0.25">
      <c r="K3" s="27">
        <f t="shared" ref="K3:W3" si="0">K11/15</f>
        <v>139.4</v>
      </c>
      <c r="L3" s="27">
        <f t="shared" si="0"/>
        <v>183.03352212836788</v>
      </c>
      <c r="M3" s="27">
        <f t="shared" si="0"/>
        <v>139.4</v>
      </c>
      <c r="N3" s="27">
        <f t="shared" si="0"/>
        <v>184.2149963679376</v>
      </c>
      <c r="O3" s="27">
        <f t="shared" si="0"/>
        <v>139.4</v>
      </c>
      <c r="P3" s="27">
        <f t="shared" si="0"/>
        <v>184.2149963679374</v>
      </c>
      <c r="Q3" s="27">
        <f t="shared" si="0"/>
        <v>139.4</v>
      </c>
      <c r="R3" s="27">
        <f t="shared" si="0"/>
        <v>184.2149963679374</v>
      </c>
      <c r="S3" s="27">
        <f t="shared" si="0"/>
        <v>0</v>
      </c>
      <c r="T3" s="27">
        <f t="shared" si="0"/>
        <v>0</v>
      </c>
      <c r="U3" s="27">
        <f t="shared" si="0"/>
        <v>0</v>
      </c>
      <c r="V3" s="27">
        <f t="shared" si="0"/>
        <v>0</v>
      </c>
      <c r="W3" s="27">
        <f t="shared" si="0"/>
        <v>0</v>
      </c>
    </row>
    <row r="4" spans="1:94" x14ac:dyDescent="0.25">
      <c r="N4" s="27"/>
    </row>
    <row r="5" spans="1:94" x14ac:dyDescent="0.25">
      <c r="H5" s="27"/>
      <c r="L5" s="22">
        <f>L11/L10</f>
        <v>0.2145740338289083</v>
      </c>
      <c r="M5" s="27"/>
      <c r="N5" s="30">
        <f>N9/N8</f>
        <v>2.175628717300345</v>
      </c>
      <c r="O5" s="30"/>
      <c r="P5" s="30"/>
      <c r="Q5" s="30"/>
      <c r="R5" s="30"/>
      <c r="S5" s="30" t="e">
        <f>S9/S8</f>
        <v>#DIV/0!</v>
      </c>
      <c r="T5" s="30"/>
      <c r="U5" s="30"/>
      <c r="V5" s="30"/>
      <c r="W5" s="30"/>
      <c r="X5" s="30" t="e">
        <f>X9/X8</f>
        <v>#DIV/0!</v>
      </c>
      <c r="Y5" s="30"/>
      <c r="Z5" s="30"/>
      <c r="AA5" s="30"/>
    </row>
    <row r="6" spans="1:94" x14ac:dyDescent="0.25">
      <c r="B6" s="25" t="s">
        <v>73</v>
      </c>
      <c r="K6" s="73" t="s">
        <v>73</v>
      </c>
      <c r="L6" s="73" t="s">
        <v>73</v>
      </c>
      <c r="M6" s="73" t="s">
        <v>315</v>
      </c>
      <c r="N6" s="73" t="s">
        <v>315</v>
      </c>
      <c r="O6" s="73" t="s">
        <v>316</v>
      </c>
      <c r="P6" s="73" t="s">
        <v>316</v>
      </c>
      <c r="Q6" s="73" t="s">
        <v>317</v>
      </c>
      <c r="R6" s="73" t="s">
        <v>317</v>
      </c>
      <c r="S6" s="73"/>
      <c r="T6" s="73"/>
      <c r="U6" s="73"/>
      <c r="V6" s="73"/>
      <c r="W6" s="73"/>
      <c r="X6" s="73"/>
      <c r="Y6" s="75"/>
      <c r="Z6" s="75"/>
      <c r="AA6" s="75"/>
      <c r="AB6" s="75"/>
      <c r="AC6" s="75"/>
      <c r="AD6" s="75"/>
      <c r="AE6" s="75"/>
      <c r="AF6" s="75"/>
      <c r="AG6" s="75"/>
      <c r="AH6" s="75"/>
      <c r="AI6" s="75"/>
      <c r="AJ6" s="75"/>
      <c r="AK6" s="75"/>
      <c r="AL6" s="75"/>
      <c r="AM6" s="75"/>
      <c r="AN6" s="75"/>
      <c r="AO6" s="75"/>
      <c r="AP6" s="75"/>
      <c r="AQ6" s="75"/>
      <c r="AR6" s="75"/>
      <c r="AS6" s="75"/>
      <c r="AT6" s="75"/>
      <c r="AU6" s="75"/>
      <c r="AV6" s="75"/>
      <c r="AW6" s="75"/>
      <c r="AX6" s="75"/>
      <c r="AY6" s="75"/>
      <c r="AZ6" s="75"/>
      <c r="BA6" s="75"/>
      <c r="BB6" s="75"/>
      <c r="BC6" s="75"/>
      <c r="BD6" s="75"/>
      <c r="BE6" s="75"/>
      <c r="BF6" s="75"/>
      <c r="BG6" s="75"/>
      <c r="BH6" s="75"/>
      <c r="BI6" s="75"/>
      <c r="BJ6" s="75"/>
      <c r="BK6" s="75"/>
      <c r="BL6" s="75"/>
      <c r="BM6" s="75"/>
      <c r="BN6" s="75"/>
      <c r="BO6" s="75"/>
      <c r="BP6" s="75"/>
      <c r="BQ6" s="75"/>
      <c r="BR6" s="75"/>
      <c r="BS6" s="75"/>
      <c r="BT6" s="75"/>
      <c r="BU6" s="75"/>
      <c r="BV6" s="75"/>
      <c r="BW6" s="75"/>
      <c r="BX6" s="75"/>
      <c r="BY6" s="75"/>
      <c r="BZ6" s="75"/>
      <c r="CA6" s="75"/>
      <c r="CB6" s="75"/>
      <c r="CC6" s="75"/>
      <c r="CD6" s="75"/>
      <c r="CE6" s="75"/>
      <c r="CF6" s="75"/>
      <c r="CG6" s="75"/>
      <c r="CH6" s="75"/>
      <c r="CI6" s="75"/>
      <c r="CJ6" s="75"/>
      <c r="CK6" s="75"/>
      <c r="CL6" s="75"/>
      <c r="CM6" s="75"/>
      <c r="CN6" s="75"/>
      <c r="CO6" s="75"/>
      <c r="CP6" s="75"/>
    </row>
    <row r="7" spans="1:94" x14ac:dyDescent="0.25">
      <c r="B7" s="25" t="s">
        <v>74</v>
      </c>
      <c r="C7" s="25"/>
      <c r="D7" s="25"/>
      <c r="E7" s="25"/>
      <c r="F7" s="25"/>
      <c r="G7" s="25"/>
      <c r="H7" s="27"/>
      <c r="K7" s="73" t="s">
        <v>76</v>
      </c>
      <c r="L7" s="73" t="s">
        <v>77</v>
      </c>
      <c r="M7" s="73" t="s">
        <v>76</v>
      </c>
      <c r="N7" s="73" t="s">
        <v>77</v>
      </c>
      <c r="O7" s="73" t="s">
        <v>76</v>
      </c>
      <c r="P7" s="73" t="s">
        <v>77</v>
      </c>
      <c r="Q7" s="73" t="s">
        <v>76</v>
      </c>
      <c r="R7" s="73" t="s">
        <v>77</v>
      </c>
      <c r="S7" s="73"/>
      <c r="T7" s="73"/>
      <c r="U7" s="73"/>
      <c r="V7" s="73"/>
      <c r="W7" s="73"/>
      <c r="X7" s="73"/>
      <c r="Y7" s="75"/>
      <c r="Z7" s="75"/>
      <c r="AA7" s="75"/>
      <c r="AB7" s="75"/>
      <c r="AC7" s="75"/>
      <c r="AD7" s="75"/>
      <c r="AE7" s="75"/>
      <c r="AF7" s="75"/>
      <c r="AG7" s="75"/>
      <c r="AH7" s="75"/>
      <c r="AI7" s="75"/>
      <c r="AJ7" s="75"/>
      <c r="AK7" s="75"/>
      <c r="AL7" s="75"/>
      <c r="AM7" s="75"/>
      <c r="AN7" s="75"/>
      <c r="AO7" s="75"/>
      <c r="AP7" s="75"/>
      <c r="AQ7" s="75"/>
      <c r="AR7" s="75"/>
      <c r="AS7" s="75"/>
      <c r="AT7" s="75"/>
      <c r="AU7" s="75"/>
      <c r="AV7" s="75"/>
      <c r="AW7" s="75"/>
      <c r="AX7" s="75"/>
      <c r="AY7" s="75"/>
      <c r="AZ7" s="75"/>
      <c r="BA7" s="75"/>
      <c r="BB7" s="75"/>
      <c r="BC7" s="75"/>
      <c r="BD7" s="75"/>
      <c r="BE7" s="75"/>
      <c r="BF7" s="75"/>
      <c r="BG7" s="75"/>
      <c r="BH7" s="75"/>
      <c r="BI7" s="75"/>
      <c r="BJ7" s="75"/>
      <c r="BK7" s="75"/>
      <c r="BL7" s="75"/>
      <c r="BM7" s="75"/>
      <c r="BN7" s="75"/>
      <c r="BO7" s="75"/>
      <c r="BP7" s="75"/>
      <c r="BQ7" s="75"/>
      <c r="BR7" s="75"/>
      <c r="BS7" s="75"/>
      <c r="BT7" s="75"/>
      <c r="BU7" s="75"/>
      <c r="BV7" s="75"/>
      <c r="BW7" s="75"/>
      <c r="BX7" s="75"/>
      <c r="BY7" s="75"/>
      <c r="BZ7" s="75"/>
      <c r="CA7" s="75"/>
      <c r="CB7" s="75"/>
      <c r="CC7" s="75"/>
      <c r="CD7" s="75"/>
      <c r="CE7" s="75"/>
      <c r="CF7" s="75"/>
      <c r="CG7" s="75"/>
      <c r="CH7" s="75"/>
      <c r="CI7" s="75"/>
      <c r="CJ7" s="75"/>
      <c r="CK7" s="75"/>
      <c r="CL7" s="75"/>
      <c r="CM7" s="75"/>
      <c r="CN7" s="75"/>
      <c r="CO7" s="75"/>
      <c r="CP7" s="75"/>
    </row>
    <row r="8" spans="1:94" x14ac:dyDescent="0.25">
      <c r="A8" s="20" t="s">
        <v>192</v>
      </c>
      <c r="B8" s="25">
        <f t="shared" ref="B8:B28" si="1">(AD8/K8)^(1/19)*100-100</f>
        <v>-100</v>
      </c>
      <c r="C8" s="40"/>
      <c r="D8" s="27"/>
      <c r="E8" s="27"/>
      <c r="F8" s="27"/>
      <c r="G8" s="27"/>
      <c r="H8" s="27"/>
      <c r="J8" s="75" t="s">
        <v>79</v>
      </c>
      <c r="K8" s="27">
        <v>1026</v>
      </c>
      <c r="L8" s="27">
        <v>1126.9787550241183</v>
      </c>
      <c r="M8" s="27">
        <v>1026</v>
      </c>
      <c r="N8" s="27">
        <v>1126.9787550241192</v>
      </c>
      <c r="O8" s="27">
        <v>1026</v>
      </c>
      <c r="P8" s="27">
        <v>1126.9787550241192</v>
      </c>
      <c r="Q8" s="27">
        <v>1026</v>
      </c>
      <c r="R8" s="27">
        <v>1126.9787550241192</v>
      </c>
      <c r="S8" s="27"/>
      <c r="T8" s="27"/>
      <c r="U8" s="27"/>
      <c r="V8" s="27"/>
      <c r="W8" s="27"/>
      <c r="X8" s="27"/>
    </row>
    <row r="9" spans="1:94" x14ac:dyDescent="0.25">
      <c r="A9" s="20" t="s">
        <v>218</v>
      </c>
      <c r="B9" s="25">
        <f t="shared" si="1"/>
        <v>-100</v>
      </c>
      <c r="C9" s="40"/>
      <c r="D9" s="27"/>
      <c r="E9" s="27"/>
      <c r="F9" s="27"/>
      <c r="G9" s="27"/>
      <c r="H9" s="27"/>
      <c r="J9" s="75" t="s">
        <v>81</v>
      </c>
      <c r="K9" s="27">
        <v>2038.011695906433</v>
      </c>
      <c r="L9" s="27">
        <v>2436.1620125365735</v>
      </c>
      <c r="M9" s="27">
        <v>2038.011695906433</v>
      </c>
      <c r="N9" s="27">
        <v>2451.8873432178643</v>
      </c>
      <c r="O9" s="27">
        <v>2038.011695906433</v>
      </c>
      <c r="P9" s="27">
        <v>2451.8873432178639</v>
      </c>
      <c r="Q9" s="27">
        <v>2038.011695906433</v>
      </c>
      <c r="R9" s="27">
        <v>2451.8873432178639</v>
      </c>
      <c r="S9" s="27"/>
      <c r="T9" s="27"/>
      <c r="U9" s="27"/>
      <c r="V9" s="27"/>
      <c r="W9" s="27"/>
      <c r="X9" s="27"/>
    </row>
    <row r="10" spans="1:94" x14ac:dyDescent="0.25">
      <c r="A10" s="20" t="s">
        <v>216</v>
      </c>
      <c r="B10" s="25">
        <f t="shared" si="1"/>
        <v>-100</v>
      </c>
      <c r="C10" s="40"/>
      <c r="D10" s="27"/>
      <c r="E10" s="27"/>
      <c r="F10" s="27"/>
      <c r="G10" s="27"/>
      <c r="H10" s="27"/>
      <c r="J10" s="75" t="s">
        <v>83</v>
      </c>
      <c r="K10" s="27">
        <v>13267.199999999999</v>
      </c>
      <c r="L10" s="27">
        <v>12795.130813053824</v>
      </c>
      <c r="M10" s="27">
        <v>13267.199999999999</v>
      </c>
      <c r="N10" s="27">
        <v>12776.561623567351</v>
      </c>
      <c r="O10" s="27">
        <v>13267.199999999999</v>
      </c>
      <c r="P10" s="27">
        <v>12776.561623567319</v>
      </c>
      <c r="Q10" s="27">
        <v>13267.199999999999</v>
      </c>
      <c r="R10" s="27">
        <v>12776.561623567321</v>
      </c>
      <c r="S10" s="27"/>
      <c r="T10" s="27"/>
      <c r="U10" s="27"/>
      <c r="V10" s="27"/>
      <c r="W10" s="27"/>
      <c r="X10" s="27"/>
    </row>
    <row r="11" spans="1:94" x14ac:dyDescent="0.25">
      <c r="A11" s="20" t="s">
        <v>217</v>
      </c>
      <c r="B11" s="25">
        <f t="shared" si="1"/>
        <v>-100</v>
      </c>
      <c r="C11" s="40"/>
      <c r="D11" s="27"/>
      <c r="E11" s="27"/>
      <c r="F11" s="27"/>
      <c r="G11" s="27"/>
      <c r="H11" s="27"/>
      <c r="J11" s="75" t="s">
        <v>85</v>
      </c>
      <c r="K11" s="27">
        <v>2091</v>
      </c>
      <c r="L11" s="27">
        <v>2745.502831925518</v>
      </c>
      <c r="M11" s="27">
        <v>2091</v>
      </c>
      <c r="N11" s="27">
        <v>2763.224945519064</v>
      </c>
      <c r="O11" s="27">
        <v>2091</v>
      </c>
      <c r="P11" s="27">
        <v>2763.2249455190608</v>
      </c>
      <c r="Q11" s="27">
        <v>2091</v>
      </c>
      <c r="R11" s="27">
        <v>2763.2249455190608</v>
      </c>
      <c r="S11" s="27"/>
      <c r="T11" s="27"/>
      <c r="U11" s="27"/>
      <c r="V11" s="27"/>
      <c r="W11" s="27"/>
      <c r="X11" s="27"/>
    </row>
    <row r="12" spans="1:94" x14ac:dyDescent="0.25">
      <c r="A12" s="20" t="s">
        <v>219</v>
      </c>
      <c r="B12" s="25">
        <f t="shared" si="1"/>
        <v>-100</v>
      </c>
      <c r="C12" s="40"/>
      <c r="D12" s="27"/>
      <c r="E12" s="27"/>
      <c r="F12" s="27"/>
      <c r="G12" s="27"/>
      <c r="H12" s="27"/>
      <c r="J12" s="75" t="s">
        <v>87</v>
      </c>
      <c r="K12" s="27">
        <v>11176.199999999999</v>
      </c>
      <c r="L12" s="27">
        <v>10049.627981128306</v>
      </c>
      <c r="M12" s="27">
        <v>11176.199999999999</v>
      </c>
      <c r="N12" s="27">
        <v>10013.336678048287</v>
      </c>
      <c r="O12" s="27">
        <v>11176.199999999999</v>
      </c>
      <c r="P12" s="27">
        <v>10013.336678048257</v>
      </c>
      <c r="Q12" s="27">
        <v>11176.199999999999</v>
      </c>
      <c r="R12" s="27">
        <v>10013.336678048259</v>
      </c>
      <c r="S12" s="27"/>
      <c r="T12" s="27"/>
      <c r="U12" s="27"/>
      <c r="V12" s="27"/>
      <c r="W12" s="27"/>
      <c r="X12" s="27"/>
    </row>
    <row r="13" spans="1:94" x14ac:dyDescent="0.25">
      <c r="A13" s="20" t="s">
        <v>220</v>
      </c>
      <c r="B13" s="25">
        <f t="shared" si="1"/>
        <v>-100</v>
      </c>
      <c r="C13" s="40"/>
      <c r="D13" s="27"/>
      <c r="E13" s="27"/>
      <c r="F13" s="27"/>
      <c r="G13" s="27"/>
      <c r="H13" s="27"/>
      <c r="J13" s="75" t="s">
        <v>89</v>
      </c>
      <c r="K13" s="27">
        <v>13267.199999999999</v>
      </c>
      <c r="L13" s="27">
        <v>12795.130813053824</v>
      </c>
      <c r="M13" s="27">
        <v>13267.199999999999</v>
      </c>
      <c r="N13" s="27">
        <v>12776.561623567351</v>
      </c>
      <c r="O13" s="27">
        <v>13267.199999999999</v>
      </c>
      <c r="P13" s="27">
        <v>12776.561623567319</v>
      </c>
      <c r="Q13" s="27">
        <v>13267.199999999999</v>
      </c>
      <c r="R13" s="27">
        <v>12776.561623567321</v>
      </c>
      <c r="S13" s="27"/>
      <c r="T13" s="27"/>
      <c r="U13" s="27"/>
      <c r="V13" s="27"/>
      <c r="W13" s="27"/>
      <c r="X13" s="27"/>
    </row>
    <row r="14" spans="1:94" x14ac:dyDescent="0.25">
      <c r="A14" s="20" t="s">
        <v>221</v>
      </c>
      <c r="B14" s="25">
        <f t="shared" si="1"/>
        <v>-100</v>
      </c>
      <c r="C14" s="40"/>
      <c r="D14" s="27"/>
      <c r="E14" s="27"/>
      <c r="F14" s="27"/>
      <c r="G14" s="27"/>
      <c r="H14" s="27"/>
      <c r="J14" s="75" t="s">
        <v>91</v>
      </c>
      <c r="K14" s="27">
        <v>12.100591505384763</v>
      </c>
      <c r="L14" s="27">
        <v>12.435914349096272</v>
      </c>
      <c r="M14" s="27">
        <v>12.100591505384763</v>
      </c>
      <c r="N14" s="27">
        <v>12.395572164002637</v>
      </c>
      <c r="O14" s="27">
        <v>12.100591505384763</v>
      </c>
      <c r="P14" s="27">
        <v>12.395572164002632</v>
      </c>
      <c r="Q14" s="27">
        <v>12.100591505384763</v>
      </c>
      <c r="R14" s="27">
        <v>12.395572164002633</v>
      </c>
      <c r="S14" s="27"/>
      <c r="T14" s="27"/>
      <c r="U14" s="27"/>
      <c r="V14" s="27"/>
      <c r="W14" s="27"/>
      <c r="X14" s="27"/>
    </row>
    <row r="15" spans="1:94" x14ac:dyDescent="0.25">
      <c r="A15" s="20" t="s">
        <v>222</v>
      </c>
      <c r="B15" s="25">
        <f t="shared" si="1"/>
        <v>-100</v>
      </c>
      <c r="C15" s="40"/>
      <c r="D15" s="27"/>
      <c r="E15" s="27"/>
      <c r="F15" s="27"/>
      <c r="G15" s="27"/>
      <c r="H15" s="27"/>
      <c r="J15" s="75" t="s">
        <v>93</v>
      </c>
      <c r="K15" s="27">
        <v>83.105999999999995</v>
      </c>
      <c r="L15" s="27">
        <v>91.285279156953564</v>
      </c>
      <c r="M15" s="27">
        <v>83.105999999999995</v>
      </c>
      <c r="N15" s="27">
        <v>91.285279156953649</v>
      </c>
      <c r="O15" s="27">
        <v>83.105999999999995</v>
      </c>
      <c r="P15" s="27">
        <v>91.285279156953621</v>
      </c>
      <c r="Q15" s="27">
        <v>83.105999999999995</v>
      </c>
      <c r="R15" s="27">
        <v>91.285279156953621</v>
      </c>
      <c r="S15" s="27"/>
      <c r="T15" s="27"/>
      <c r="U15" s="27"/>
      <c r="V15" s="27"/>
      <c r="W15" s="27"/>
      <c r="X15" s="27"/>
    </row>
    <row r="16" spans="1:94" x14ac:dyDescent="0.25">
      <c r="A16" s="20" t="s">
        <v>228</v>
      </c>
      <c r="B16" s="25">
        <f t="shared" si="1"/>
        <v>-100</v>
      </c>
      <c r="C16" s="40"/>
      <c r="D16" s="27"/>
      <c r="E16" s="27"/>
      <c r="F16" s="27"/>
      <c r="G16" s="27"/>
      <c r="H16" s="27"/>
      <c r="J16" s="75" t="s">
        <v>121</v>
      </c>
      <c r="K16" s="27">
        <v>10650</v>
      </c>
      <c r="L16" s="27">
        <v>10537.209944595646</v>
      </c>
      <c r="M16" s="27">
        <v>10650</v>
      </c>
      <c r="N16" s="27">
        <v>10521.430313105056</v>
      </c>
      <c r="O16" s="27">
        <v>10650</v>
      </c>
      <c r="P16" s="27">
        <v>10521.430313105038</v>
      </c>
      <c r="Q16" s="27">
        <v>10650</v>
      </c>
      <c r="R16" s="27">
        <v>10521.430313105038</v>
      </c>
      <c r="S16" s="27"/>
      <c r="T16" s="27"/>
      <c r="U16" s="27"/>
      <c r="V16" s="27"/>
      <c r="W16" s="27"/>
      <c r="X16" s="27"/>
    </row>
    <row r="17" spans="1:24" x14ac:dyDescent="0.25">
      <c r="A17" s="20" t="s">
        <v>223</v>
      </c>
      <c r="B17" s="25">
        <f t="shared" si="1"/>
        <v>-100</v>
      </c>
      <c r="C17" s="40"/>
      <c r="D17" s="27"/>
      <c r="E17" s="27"/>
      <c r="F17" s="27"/>
      <c r="G17" s="27"/>
      <c r="H17" s="27"/>
      <c r="J17" s="75" t="s">
        <v>99</v>
      </c>
      <c r="K17" s="27">
        <v>132.74299999999999</v>
      </c>
      <c r="L17" s="27">
        <v>174.29281799057341</v>
      </c>
      <c r="M17" s="27">
        <v>132.74299999999999</v>
      </c>
      <c r="N17" s="27">
        <v>175.41787132617742</v>
      </c>
      <c r="O17" s="27">
        <v>132.74299999999999</v>
      </c>
      <c r="P17" s="27">
        <v>175.41787132617679</v>
      </c>
      <c r="Q17" s="27">
        <v>132.74299999999999</v>
      </c>
      <c r="R17" s="27">
        <v>175.41787132617677</v>
      </c>
      <c r="S17" s="27"/>
      <c r="T17" s="27"/>
      <c r="U17" s="27"/>
      <c r="V17" s="27"/>
      <c r="W17" s="27"/>
      <c r="X17" s="27"/>
    </row>
    <row r="18" spans="1:24" x14ac:dyDescent="0.25">
      <c r="A18" s="20" t="s">
        <v>224</v>
      </c>
      <c r="B18" s="25">
        <f t="shared" si="1"/>
        <v>-100</v>
      </c>
      <c r="C18" s="40"/>
      <c r="D18" s="27"/>
      <c r="E18" s="27"/>
      <c r="F18" s="27"/>
      <c r="G18" s="27"/>
      <c r="H18" s="27"/>
      <c r="J18" s="75" t="s">
        <v>101</v>
      </c>
      <c r="K18" s="27">
        <v>701.35099999999898</v>
      </c>
      <c r="L18" s="27">
        <v>262.76624980639059</v>
      </c>
      <c r="M18" s="27">
        <v>701.35099999999898</v>
      </c>
      <c r="N18" s="27">
        <v>264.46239569029518</v>
      </c>
      <c r="O18" s="27">
        <v>701.35099999999898</v>
      </c>
      <c r="P18" s="27">
        <v>264.46239569029444</v>
      </c>
      <c r="Q18" s="27">
        <v>701.35099999999898</v>
      </c>
      <c r="R18" s="27">
        <v>264.46239569029444</v>
      </c>
      <c r="S18" s="27"/>
      <c r="T18" s="27"/>
      <c r="U18" s="27"/>
      <c r="V18" s="27"/>
      <c r="W18" s="27"/>
      <c r="X18" s="27"/>
    </row>
    <row r="19" spans="1:24" x14ac:dyDescent="0.25">
      <c r="A19" s="20" t="s">
        <v>225</v>
      </c>
      <c r="B19" s="25">
        <f t="shared" si="1"/>
        <v>-100</v>
      </c>
      <c r="C19" s="40"/>
      <c r="D19" s="27"/>
      <c r="E19" s="27"/>
      <c r="F19" s="27"/>
      <c r="G19" s="27"/>
      <c r="H19" s="27"/>
      <c r="J19" s="75" t="s">
        <v>103</v>
      </c>
      <c r="K19" s="27">
        <v>12565.849</v>
      </c>
      <c r="L19" s="27">
        <v>12532.364563247433</v>
      </c>
      <c r="M19" s="27">
        <v>12565.849</v>
      </c>
      <c r="N19" s="27">
        <v>12512.099227877055</v>
      </c>
      <c r="O19" s="27">
        <v>12565.849</v>
      </c>
      <c r="P19" s="27">
        <v>12512.099227877025</v>
      </c>
      <c r="Q19" s="27">
        <v>12565.849</v>
      </c>
      <c r="R19" s="27">
        <v>12512.099227877026</v>
      </c>
      <c r="S19" s="27"/>
      <c r="T19" s="27"/>
      <c r="U19" s="27"/>
      <c r="V19" s="27"/>
      <c r="W19" s="27"/>
      <c r="X19" s="27"/>
    </row>
    <row r="20" spans="1:24" x14ac:dyDescent="0.25">
      <c r="A20" s="20" t="s">
        <v>226</v>
      </c>
      <c r="B20" s="25">
        <f t="shared" si="1"/>
        <v>-100</v>
      </c>
      <c r="C20" s="40"/>
      <c r="D20" s="27"/>
      <c r="E20" s="27"/>
      <c r="F20" s="27"/>
      <c r="G20" s="27"/>
      <c r="H20" s="27"/>
      <c r="J20" s="75" t="s">
        <v>105</v>
      </c>
      <c r="K20" s="27">
        <v>140.22314859749812</v>
      </c>
      <c r="L20" s="27">
        <v>144.10891111753446</v>
      </c>
      <c r="M20" s="27">
        <v>140.22314859749812</v>
      </c>
      <c r="N20" s="27">
        <v>143.64142089504287</v>
      </c>
      <c r="O20" s="27">
        <v>140.22314859749812</v>
      </c>
      <c r="P20" s="27">
        <v>143.64142089504278</v>
      </c>
      <c r="Q20" s="27">
        <v>140.22314859749812</v>
      </c>
      <c r="R20" s="27">
        <v>143.64142089504278</v>
      </c>
      <c r="S20" s="27"/>
      <c r="T20" s="27"/>
      <c r="U20" s="27"/>
      <c r="V20" s="27"/>
      <c r="W20" s="27"/>
      <c r="X20" s="27"/>
    </row>
    <row r="21" spans="1:24" x14ac:dyDescent="0.25">
      <c r="A21" s="20" t="s">
        <v>227</v>
      </c>
      <c r="B21" s="25">
        <f t="shared" si="1"/>
        <v>-100</v>
      </c>
      <c r="C21" s="40"/>
      <c r="D21" s="27"/>
      <c r="E21" s="27"/>
      <c r="F21" s="27"/>
      <c r="G21" s="27"/>
      <c r="H21" s="27"/>
      <c r="J21" s="75" t="s">
        <v>107</v>
      </c>
      <c r="K21" s="27">
        <v>1700</v>
      </c>
      <c r="L21" s="27">
        <v>1729.5765215042563</v>
      </c>
      <c r="M21" s="27">
        <v>1700</v>
      </c>
      <c r="N21" s="27">
        <v>1723.965764288869</v>
      </c>
      <c r="O21" s="27">
        <v>1700</v>
      </c>
      <c r="P21" s="27">
        <v>1723.9657642888681</v>
      </c>
      <c r="Q21" s="27">
        <v>1700</v>
      </c>
      <c r="R21" s="27">
        <v>1723.9657642888685</v>
      </c>
      <c r="S21" s="27"/>
      <c r="T21" s="27"/>
      <c r="U21" s="27"/>
      <c r="V21" s="27"/>
      <c r="W21" s="27"/>
      <c r="X21" s="27"/>
    </row>
    <row r="22" spans="1:24" x14ac:dyDescent="0.25">
      <c r="A22" s="20" t="s">
        <v>229</v>
      </c>
      <c r="B22" s="25">
        <f t="shared" si="1"/>
        <v>-100</v>
      </c>
      <c r="C22" s="40"/>
      <c r="D22" s="27"/>
      <c r="E22" s="27"/>
      <c r="F22" s="27"/>
      <c r="G22" s="27"/>
      <c r="H22" s="27"/>
      <c r="J22" s="75" t="s">
        <v>109</v>
      </c>
      <c r="K22" s="27">
        <v>690.20090140224193</v>
      </c>
      <c r="L22" s="27">
        <v>488.26338785682879</v>
      </c>
      <c r="M22" s="27">
        <v>673.47119708691207</v>
      </c>
      <c r="N22" s="27">
        <v>459.31893325953706</v>
      </c>
      <c r="O22" s="27">
        <v>690.20090140224193</v>
      </c>
      <c r="P22" s="27">
        <v>482.07413922408352</v>
      </c>
      <c r="Q22" s="27">
        <v>690.20090140224193</v>
      </c>
      <c r="R22" s="27">
        <v>482.07413922408381</v>
      </c>
      <c r="S22" s="27"/>
      <c r="T22" s="27"/>
      <c r="U22" s="27"/>
      <c r="V22" s="27"/>
      <c r="W22" s="27"/>
      <c r="X22" s="27"/>
    </row>
    <row r="23" spans="1:24" x14ac:dyDescent="0.25">
      <c r="A23" s="20" t="s">
        <v>230</v>
      </c>
      <c r="B23" s="25" t="e">
        <f t="shared" si="1"/>
        <v>#DIV/0!</v>
      </c>
      <c r="C23" s="40"/>
      <c r="D23" s="27"/>
      <c r="E23" s="27"/>
      <c r="F23" s="27"/>
      <c r="G23" s="27"/>
    </row>
    <row r="24" spans="1:24" x14ac:dyDescent="0.25">
      <c r="A24" s="20" t="s">
        <v>231</v>
      </c>
      <c r="B24" s="25" t="e">
        <f t="shared" si="1"/>
        <v>#DIV/0!</v>
      </c>
      <c r="C24" s="40"/>
      <c r="D24" s="27"/>
      <c r="E24" s="27"/>
      <c r="F24" s="27"/>
      <c r="G24" s="27"/>
    </row>
    <row r="25" spans="1:24" x14ac:dyDescent="0.25">
      <c r="A25" s="20" t="s">
        <v>232</v>
      </c>
      <c r="B25" s="25" t="e">
        <f t="shared" si="1"/>
        <v>#DIV/0!</v>
      </c>
      <c r="C25" s="40"/>
      <c r="D25" s="27"/>
      <c r="E25" s="27"/>
      <c r="F25" s="27"/>
      <c r="G25" s="27"/>
    </row>
    <row r="26" spans="1:24" x14ac:dyDescent="0.25">
      <c r="A26" s="20" t="s">
        <v>233</v>
      </c>
      <c r="B26" s="25" t="e">
        <f t="shared" si="1"/>
        <v>#DIV/0!</v>
      </c>
      <c r="C26" s="40"/>
      <c r="D26" s="27"/>
      <c r="E26" s="27"/>
      <c r="F26" s="27"/>
      <c r="G26" s="27"/>
    </row>
    <row r="27" spans="1:24" x14ac:dyDescent="0.25">
      <c r="A27" s="20" t="s">
        <v>234</v>
      </c>
      <c r="B27" s="25" t="e">
        <f t="shared" si="1"/>
        <v>#DIV/0!</v>
      </c>
      <c r="C27" s="40"/>
      <c r="D27" s="27"/>
      <c r="E27" s="27"/>
      <c r="F27" s="27"/>
      <c r="G27" s="27"/>
      <c r="H27" s="27"/>
    </row>
    <row r="28" spans="1:24" x14ac:dyDescent="0.25">
      <c r="A28" s="20" t="s">
        <v>235</v>
      </c>
      <c r="B28" s="25" t="e">
        <f t="shared" si="1"/>
        <v>#DIV/0!</v>
      </c>
      <c r="C28" s="40"/>
      <c r="D28" s="27"/>
      <c r="E28" s="27"/>
      <c r="F28" s="27"/>
      <c r="G28" s="27"/>
    </row>
    <row r="29" spans="1:24" x14ac:dyDescent="0.25">
      <c r="C29" s="40"/>
      <c r="D29" s="27"/>
      <c r="E29" s="27"/>
      <c r="F29" s="27"/>
      <c r="G29" s="27"/>
      <c r="H29" s="27"/>
    </row>
    <row r="30" spans="1:24" x14ac:dyDescent="0.25">
      <c r="C30" s="40"/>
      <c r="D30" s="27"/>
      <c r="E30" s="27"/>
      <c r="F30" s="27"/>
      <c r="G30" s="27"/>
      <c r="H30" s="27"/>
    </row>
    <row r="31" spans="1:24" x14ac:dyDescent="0.25">
      <c r="C31" s="40"/>
      <c r="D31" s="27"/>
      <c r="E31" s="27"/>
      <c r="F31" s="27"/>
      <c r="G31" s="27"/>
      <c r="H31" s="27"/>
    </row>
    <row r="32" spans="1:24" x14ac:dyDescent="0.25">
      <c r="C32" s="40"/>
      <c r="D32" s="27"/>
      <c r="E32" s="27"/>
      <c r="F32" s="27"/>
      <c r="G32" s="27"/>
      <c r="H32" s="27"/>
    </row>
    <row r="33" spans="3:8" x14ac:dyDescent="0.25">
      <c r="C33" s="40"/>
      <c r="D33" s="27"/>
      <c r="E33" s="27"/>
      <c r="F33" s="27"/>
      <c r="G33" s="27"/>
      <c r="H33" s="27"/>
    </row>
    <row r="34" spans="3:8" x14ac:dyDescent="0.25">
      <c r="C34" s="40"/>
      <c r="D34" s="27"/>
      <c r="E34" s="27"/>
      <c r="F34" s="27"/>
      <c r="G34" s="27"/>
      <c r="H34" s="27"/>
    </row>
    <row r="35" spans="3:8" x14ac:dyDescent="0.25">
      <c r="C35" s="40"/>
      <c r="D35" s="27"/>
      <c r="E35" s="27"/>
      <c r="F35" s="27"/>
      <c r="G35" s="27"/>
      <c r="H35" s="27"/>
    </row>
    <row r="36" spans="3:8" x14ac:dyDescent="0.25">
      <c r="C36" s="27"/>
      <c r="D36" s="27"/>
      <c r="E36" s="27"/>
      <c r="F36" s="27"/>
      <c r="G36" s="27"/>
      <c r="H36" s="27"/>
    </row>
    <row r="37" spans="3:8" x14ac:dyDescent="0.25">
      <c r="C37" s="27"/>
      <c r="D37" s="27"/>
      <c r="E37" s="27"/>
      <c r="F37" s="27"/>
      <c r="G37" s="27"/>
      <c r="H37" s="27"/>
    </row>
    <row r="38" spans="3:8" x14ac:dyDescent="0.25">
      <c r="C38" s="27"/>
      <c r="D38" s="27"/>
      <c r="E38" s="27"/>
      <c r="F38" s="27"/>
      <c r="G38" s="27"/>
      <c r="H38" s="27"/>
    </row>
    <row r="39" spans="3:8" x14ac:dyDescent="0.25">
      <c r="C39" s="27"/>
      <c r="D39" s="27"/>
      <c r="E39" s="27"/>
      <c r="F39" s="27"/>
      <c r="G39" s="27"/>
      <c r="H39" s="27"/>
    </row>
    <row r="40" spans="3:8" x14ac:dyDescent="0.25">
      <c r="C40" s="27"/>
      <c r="D40" s="27"/>
      <c r="E40" s="27"/>
      <c r="F40" s="27"/>
      <c r="G40" s="27"/>
      <c r="H40" s="27"/>
    </row>
    <row r="41" spans="3:8" x14ac:dyDescent="0.25">
      <c r="C41" s="27"/>
      <c r="D41" s="27"/>
      <c r="E41" s="27"/>
      <c r="F41" s="27"/>
      <c r="G41" s="27"/>
      <c r="H41" s="27"/>
    </row>
    <row r="42" spans="3:8" x14ac:dyDescent="0.25">
      <c r="C42" s="27"/>
      <c r="D42" s="27"/>
      <c r="E42" s="27"/>
      <c r="F42" s="27"/>
      <c r="G42" s="27"/>
      <c r="H42" s="27"/>
    </row>
    <row r="43" spans="3:8" x14ac:dyDescent="0.25">
      <c r="C43" s="27"/>
      <c r="D43" s="27"/>
      <c r="E43" s="27"/>
      <c r="F43" s="27"/>
      <c r="G43" s="27"/>
    </row>
    <row r="44" spans="3:8" x14ac:dyDescent="0.25">
      <c r="C44" s="27"/>
      <c r="D44" s="27"/>
      <c r="E44" s="27"/>
      <c r="F44" s="27"/>
      <c r="G44" s="27"/>
    </row>
    <row r="45" spans="3:8" x14ac:dyDescent="0.25">
      <c r="C45" s="27"/>
      <c r="D45" s="27"/>
      <c r="E45" s="27"/>
      <c r="F45" s="27"/>
      <c r="G45" s="27"/>
    </row>
    <row r="46" spans="3:8" x14ac:dyDescent="0.25">
      <c r="C46" s="27"/>
      <c r="D46" s="27"/>
      <c r="E46" s="27"/>
      <c r="F46" s="27"/>
      <c r="G46" s="27"/>
    </row>
    <row r="47" spans="3:8" x14ac:dyDescent="0.25">
      <c r="H47" s="27"/>
    </row>
    <row r="49" spans="3:8" x14ac:dyDescent="0.25">
      <c r="H49" s="27"/>
    </row>
    <row r="50" spans="3:8" x14ac:dyDescent="0.25">
      <c r="H50" s="27"/>
    </row>
    <row r="51" spans="3:8" x14ac:dyDescent="0.25">
      <c r="C51" s="27"/>
      <c r="D51" s="27"/>
      <c r="E51" s="27"/>
      <c r="F51" s="27"/>
      <c r="G51" s="27"/>
      <c r="H51" s="27"/>
    </row>
    <row r="52" spans="3:8" x14ac:dyDescent="0.25">
      <c r="H52" s="27"/>
    </row>
    <row r="53" spans="3:8" x14ac:dyDescent="0.25">
      <c r="C53" s="27"/>
      <c r="D53" s="27"/>
      <c r="E53" s="27"/>
      <c r="F53" s="27"/>
      <c r="G53" s="27"/>
      <c r="H53" s="27"/>
    </row>
    <row r="54" spans="3:8" x14ac:dyDescent="0.25">
      <c r="C54" s="27"/>
      <c r="D54" s="27"/>
      <c r="E54" s="27"/>
      <c r="F54" s="27"/>
      <c r="G54" s="27"/>
      <c r="H54" s="27"/>
    </row>
    <row r="55" spans="3:8" x14ac:dyDescent="0.25">
      <c r="C55" s="27"/>
      <c r="D55" s="27"/>
      <c r="E55" s="27"/>
      <c r="F55" s="27"/>
      <c r="G55" s="27"/>
      <c r="H55" s="27"/>
    </row>
    <row r="56" spans="3:8" x14ac:dyDescent="0.25">
      <c r="C56" s="27"/>
      <c r="D56" s="27"/>
      <c r="E56" s="27"/>
      <c r="F56" s="27"/>
      <c r="G56" s="27"/>
      <c r="H56" s="27"/>
    </row>
    <row r="57" spans="3:8" x14ac:dyDescent="0.25">
      <c r="C57" s="27"/>
      <c r="D57" s="27"/>
      <c r="E57" s="27"/>
      <c r="F57" s="27"/>
      <c r="G57" s="27"/>
      <c r="H57" s="27"/>
    </row>
    <row r="58" spans="3:8" x14ac:dyDescent="0.25">
      <c r="C58" s="27"/>
      <c r="D58" s="27"/>
      <c r="E58" s="27"/>
      <c r="F58" s="27"/>
      <c r="G58" s="27"/>
      <c r="H58" s="27"/>
    </row>
    <row r="59" spans="3:8" x14ac:dyDescent="0.25">
      <c r="C59" s="27"/>
      <c r="D59" s="27"/>
      <c r="E59" s="27"/>
      <c r="F59" s="27"/>
      <c r="G59" s="27"/>
      <c r="H59" s="27"/>
    </row>
    <row r="60" spans="3:8" x14ac:dyDescent="0.25">
      <c r="C60" s="27"/>
      <c r="D60" s="27"/>
      <c r="E60" s="27"/>
      <c r="F60" s="27"/>
      <c r="G60" s="27"/>
      <c r="H60" s="27"/>
    </row>
    <row r="61" spans="3:8" x14ac:dyDescent="0.25">
      <c r="C61" s="27"/>
      <c r="D61" s="27"/>
      <c r="E61" s="27"/>
      <c r="F61" s="27"/>
      <c r="G61" s="27"/>
      <c r="H61" s="27"/>
    </row>
    <row r="62" spans="3:8" x14ac:dyDescent="0.25">
      <c r="C62" s="27"/>
      <c r="D62" s="27"/>
      <c r="E62" s="27"/>
      <c r="F62" s="27"/>
      <c r="G62" s="27"/>
      <c r="H62" s="27"/>
    </row>
    <row r="63" spans="3:8" x14ac:dyDescent="0.25">
      <c r="C63" s="27"/>
      <c r="D63" s="27"/>
      <c r="E63" s="27"/>
      <c r="F63" s="27"/>
      <c r="G63" s="27"/>
    </row>
    <row r="64" spans="3:8" x14ac:dyDescent="0.25">
      <c r="C64" s="27"/>
      <c r="D64" s="27"/>
      <c r="E64" s="27"/>
      <c r="F64" s="27"/>
      <c r="G64" s="27"/>
    </row>
    <row r="65" spans="3:8" x14ac:dyDescent="0.25">
      <c r="C65" s="27"/>
      <c r="D65" s="27"/>
      <c r="E65" s="27"/>
      <c r="F65" s="27"/>
      <c r="G65" s="27"/>
    </row>
    <row r="66" spans="3:8" x14ac:dyDescent="0.25">
      <c r="C66" s="27"/>
      <c r="D66" s="27"/>
      <c r="E66" s="27"/>
      <c r="F66" s="27"/>
      <c r="G66" s="27"/>
    </row>
    <row r="67" spans="3:8" x14ac:dyDescent="0.25">
      <c r="H67" s="27"/>
    </row>
    <row r="69" spans="3:8" x14ac:dyDescent="0.25">
      <c r="H69" s="27"/>
    </row>
    <row r="70" spans="3:8" x14ac:dyDescent="0.25">
      <c r="H70" s="27"/>
    </row>
    <row r="71" spans="3:8" x14ac:dyDescent="0.25">
      <c r="C71" s="27"/>
      <c r="D71" s="27"/>
      <c r="E71" s="27"/>
      <c r="F71" s="27"/>
      <c r="G71" s="27"/>
      <c r="H71" s="27"/>
    </row>
    <row r="72" spans="3:8" x14ac:dyDescent="0.25">
      <c r="H72" s="27"/>
    </row>
    <row r="73" spans="3:8" x14ac:dyDescent="0.25">
      <c r="C73" s="27"/>
      <c r="D73" s="27"/>
      <c r="E73" s="27"/>
      <c r="F73" s="27"/>
      <c r="G73" s="27"/>
      <c r="H73" s="27"/>
    </row>
    <row r="74" spans="3:8" x14ac:dyDescent="0.25">
      <c r="C74" s="27"/>
      <c r="D74" s="27"/>
      <c r="E74" s="27"/>
      <c r="F74" s="27"/>
      <c r="G74" s="27"/>
      <c r="H74" s="27"/>
    </row>
    <row r="75" spans="3:8" x14ac:dyDescent="0.25">
      <c r="C75" s="27"/>
      <c r="D75" s="27"/>
      <c r="E75" s="27"/>
      <c r="F75" s="27"/>
      <c r="G75" s="27"/>
      <c r="H75" s="27"/>
    </row>
    <row r="76" spans="3:8" x14ac:dyDescent="0.25">
      <c r="C76" s="27"/>
      <c r="D76" s="27"/>
      <c r="E76" s="27"/>
      <c r="F76" s="27"/>
      <c r="G76" s="27"/>
      <c r="H76" s="27"/>
    </row>
    <row r="77" spans="3:8" x14ac:dyDescent="0.25">
      <c r="C77" s="27"/>
      <c r="D77" s="27"/>
      <c r="E77" s="27"/>
      <c r="F77" s="27"/>
      <c r="G77" s="27"/>
      <c r="H77" s="27"/>
    </row>
    <row r="78" spans="3:8" x14ac:dyDescent="0.25">
      <c r="C78" s="27"/>
      <c r="D78" s="27"/>
      <c r="E78" s="27"/>
      <c r="F78" s="27"/>
      <c r="G78" s="27"/>
      <c r="H78" s="27"/>
    </row>
    <row r="79" spans="3:8" x14ac:dyDescent="0.25">
      <c r="C79" s="27"/>
      <c r="D79" s="27"/>
      <c r="E79" s="27"/>
      <c r="F79" s="27"/>
      <c r="G79" s="27"/>
      <c r="H79" s="27"/>
    </row>
    <row r="80" spans="3:8" x14ac:dyDescent="0.25">
      <c r="C80" s="27"/>
      <c r="D80" s="27"/>
      <c r="E80" s="27"/>
      <c r="F80" s="27"/>
      <c r="G80" s="27"/>
      <c r="H80" s="27"/>
    </row>
    <row r="81" spans="3:8" x14ac:dyDescent="0.25">
      <c r="C81" s="27"/>
      <c r="D81" s="27"/>
      <c r="E81" s="27"/>
      <c r="F81" s="27"/>
      <c r="G81" s="27"/>
      <c r="H81" s="27"/>
    </row>
    <row r="82" spans="3:8" x14ac:dyDescent="0.25">
      <c r="C82" s="27"/>
      <c r="D82" s="27"/>
      <c r="E82" s="27"/>
      <c r="F82" s="27"/>
      <c r="G82" s="27"/>
      <c r="H82" s="27"/>
    </row>
    <row r="83" spans="3:8" x14ac:dyDescent="0.25">
      <c r="C83" s="27"/>
      <c r="D83" s="27"/>
      <c r="E83" s="27"/>
      <c r="F83" s="27"/>
      <c r="G83" s="27"/>
    </row>
    <row r="84" spans="3:8" x14ac:dyDescent="0.25">
      <c r="C84" s="27"/>
      <c r="D84" s="27"/>
      <c r="E84" s="27"/>
      <c r="F84" s="27"/>
      <c r="G84" s="27"/>
    </row>
    <row r="85" spans="3:8" x14ac:dyDescent="0.25">
      <c r="C85" s="27"/>
      <c r="D85" s="27"/>
      <c r="E85" s="27"/>
      <c r="F85" s="27"/>
      <c r="G85" s="27"/>
    </row>
    <row r="86" spans="3:8" x14ac:dyDescent="0.25">
      <c r="C86" s="27"/>
      <c r="D86" s="27"/>
      <c r="E86" s="27"/>
      <c r="F86" s="27"/>
      <c r="G86" s="27"/>
    </row>
  </sheetData>
  <phoneticPr fontId="14" type="noConversion"/>
  <pageMargins left="0.7" right="0.7" top="0.75" bottom="0.75" header="0.3" footer="0.3"/>
  <pageSetup paperSize="9"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B6:CP17"/>
  <sheetViews>
    <sheetView topLeftCell="I1" zoomScale="85" zoomScaleNormal="85" workbookViewId="0">
      <pane xSplit="2" ySplit="7" topLeftCell="K8" activePane="bottomRight" state="frozen"/>
      <selection pane="topRight"/>
      <selection pane="bottomLeft"/>
      <selection pane="bottomRight" activeCell="M21" sqref="M21"/>
    </sheetView>
  </sheetViews>
  <sheetFormatPr defaultColWidth="9" defaultRowHeight="15" x14ac:dyDescent="0.25"/>
  <cols>
    <col min="1" max="9" width="9" style="20"/>
    <col min="10" max="10" width="21" style="20" customWidth="1"/>
    <col min="11" max="12" width="14.125" style="20"/>
    <col min="13" max="24" width="15.375" style="20"/>
    <col min="25" max="25" width="12.875" style="20"/>
    <col min="26" max="16384" width="9" style="20"/>
  </cols>
  <sheetData>
    <row r="6" spans="2:94" s="23" customFormat="1" ht="12.75" customHeight="1" x14ac:dyDescent="0.25">
      <c r="B6" s="31" t="s">
        <v>73</v>
      </c>
      <c r="K6" s="73" t="s">
        <v>73</v>
      </c>
      <c r="L6" s="71" t="s">
        <v>73</v>
      </c>
      <c r="M6" s="71" t="s">
        <v>315</v>
      </c>
      <c r="N6" s="71" t="s">
        <v>315</v>
      </c>
      <c r="O6" s="71" t="s">
        <v>316</v>
      </c>
      <c r="P6" s="71" t="s">
        <v>316</v>
      </c>
      <c r="Q6" s="71" t="s">
        <v>317</v>
      </c>
      <c r="R6" s="71" t="s">
        <v>317</v>
      </c>
      <c r="S6" s="71"/>
      <c r="T6" s="71"/>
      <c r="U6" s="71"/>
      <c r="V6" s="71"/>
      <c r="W6" s="73"/>
      <c r="X6" s="73"/>
      <c r="Y6" s="73"/>
      <c r="Z6" s="73"/>
      <c r="AA6" s="73"/>
      <c r="AB6" s="73"/>
      <c r="AC6" s="73"/>
      <c r="AD6" s="73"/>
      <c r="AE6" s="73"/>
      <c r="AF6" s="73"/>
      <c r="AG6" s="73"/>
      <c r="AH6" s="73"/>
      <c r="AI6" s="73"/>
      <c r="AJ6" s="73"/>
      <c r="AK6" s="73"/>
      <c r="AL6" s="73"/>
      <c r="AM6" s="73"/>
      <c r="AN6" s="73"/>
      <c r="AO6" s="73"/>
      <c r="AP6" s="73"/>
      <c r="AQ6" s="73"/>
      <c r="AR6" s="73"/>
      <c r="AS6" s="73"/>
      <c r="AT6" s="73"/>
      <c r="AU6" s="73"/>
      <c r="AV6" s="73"/>
      <c r="AW6" s="73"/>
      <c r="AX6" s="73"/>
      <c r="AY6" s="73"/>
      <c r="AZ6" s="73"/>
      <c r="BA6" s="73"/>
      <c r="BB6" s="73"/>
      <c r="BC6" s="73"/>
      <c r="BD6" s="73"/>
      <c r="BE6" s="73"/>
      <c r="BF6" s="73"/>
      <c r="BG6" s="73"/>
      <c r="BH6" s="73"/>
      <c r="BI6" s="73"/>
      <c r="BJ6" s="73"/>
      <c r="BK6" s="73"/>
      <c r="BL6" s="73"/>
      <c r="BM6" s="73"/>
      <c r="BN6" s="73"/>
      <c r="BO6" s="73"/>
      <c r="BP6" s="73"/>
      <c r="BQ6" s="73"/>
      <c r="BR6" s="73"/>
      <c r="BS6" s="73"/>
      <c r="BT6" s="73"/>
      <c r="BU6" s="73"/>
      <c r="BV6" s="73"/>
      <c r="BW6" s="73"/>
      <c r="BX6" s="73"/>
      <c r="BY6" s="73"/>
      <c r="BZ6" s="73"/>
      <c r="CA6" s="73"/>
      <c r="CB6" s="73"/>
      <c r="CC6" s="73"/>
      <c r="CD6" s="73"/>
      <c r="CE6" s="73"/>
      <c r="CF6" s="73"/>
      <c r="CG6" s="73"/>
      <c r="CH6" s="73"/>
      <c r="CI6" s="73"/>
      <c r="CJ6" s="73"/>
      <c r="CK6" s="73"/>
      <c r="CL6" s="73"/>
      <c r="CM6" s="73"/>
      <c r="CN6" s="73"/>
      <c r="CO6" s="73"/>
      <c r="CP6" s="73"/>
    </row>
    <row r="7" spans="2:94" s="23" customFormat="1" x14ac:dyDescent="0.25">
      <c r="B7" s="31" t="s">
        <v>74</v>
      </c>
      <c r="C7" s="31"/>
      <c r="D7" s="31"/>
      <c r="E7" s="31"/>
      <c r="F7" s="31"/>
      <c r="G7" s="31"/>
      <c r="H7" s="26"/>
      <c r="K7" s="73" t="s">
        <v>76</v>
      </c>
      <c r="L7" s="71" t="s">
        <v>77</v>
      </c>
      <c r="M7" s="71" t="s">
        <v>76</v>
      </c>
      <c r="N7" s="71" t="s">
        <v>77</v>
      </c>
      <c r="O7" s="71" t="s">
        <v>76</v>
      </c>
      <c r="P7" s="71" t="s">
        <v>77</v>
      </c>
      <c r="Q7" s="71" t="s">
        <v>76</v>
      </c>
      <c r="R7" s="71" t="s">
        <v>77</v>
      </c>
      <c r="S7" s="71"/>
      <c r="T7" s="71"/>
      <c r="U7" s="71"/>
      <c r="V7" s="71"/>
      <c r="W7" s="73"/>
      <c r="X7" s="73"/>
      <c r="Y7" s="73"/>
      <c r="Z7" s="73"/>
      <c r="AA7" s="73"/>
      <c r="AB7" s="73"/>
      <c r="AC7" s="73"/>
      <c r="AD7" s="73"/>
      <c r="AE7" s="73"/>
      <c r="AF7" s="73"/>
      <c r="AG7" s="73"/>
      <c r="AH7" s="73"/>
      <c r="AI7" s="73"/>
      <c r="AJ7" s="73"/>
      <c r="AK7" s="73"/>
      <c r="AL7" s="73"/>
      <c r="AM7" s="73"/>
      <c r="AN7" s="73"/>
      <c r="AO7" s="73"/>
      <c r="AP7" s="73"/>
      <c r="AQ7" s="73"/>
      <c r="AR7" s="73"/>
      <c r="AS7" s="73"/>
      <c r="AT7" s="73"/>
      <c r="AU7" s="73"/>
      <c r="AV7" s="73"/>
      <c r="AW7" s="73"/>
      <c r="AX7" s="73"/>
      <c r="AY7" s="73"/>
      <c r="AZ7" s="73"/>
      <c r="BA7" s="73"/>
      <c r="BB7" s="73"/>
      <c r="BC7" s="73"/>
      <c r="BD7" s="73"/>
      <c r="BE7" s="73"/>
      <c r="BF7" s="73"/>
      <c r="BG7" s="73"/>
      <c r="BH7" s="73"/>
      <c r="BI7" s="73"/>
      <c r="BJ7" s="73"/>
      <c r="BK7" s="73"/>
      <c r="BL7" s="73"/>
      <c r="BM7" s="73"/>
      <c r="BN7" s="73"/>
      <c r="BO7" s="73"/>
      <c r="BP7" s="73"/>
      <c r="BQ7" s="73"/>
      <c r="BR7" s="73"/>
      <c r="BS7" s="73"/>
      <c r="BT7" s="73"/>
      <c r="BU7" s="73"/>
      <c r="BV7" s="73"/>
      <c r="BW7" s="73"/>
      <c r="BX7" s="73"/>
      <c r="BY7" s="73"/>
      <c r="BZ7" s="73"/>
      <c r="CA7" s="73"/>
      <c r="CB7" s="73"/>
      <c r="CC7" s="73"/>
      <c r="CD7" s="73"/>
      <c r="CE7" s="73"/>
      <c r="CF7" s="73"/>
      <c r="CG7" s="73"/>
      <c r="CH7" s="73"/>
      <c r="CI7" s="73"/>
      <c r="CJ7" s="73"/>
      <c r="CK7" s="73"/>
      <c r="CL7" s="73"/>
      <c r="CM7" s="73"/>
      <c r="CN7" s="73"/>
      <c r="CO7" s="73"/>
      <c r="CP7" s="73"/>
    </row>
    <row r="8" spans="2:94" x14ac:dyDescent="0.25">
      <c r="J8" s="75" t="s">
        <v>83</v>
      </c>
      <c r="K8" s="27">
        <v>1871</v>
      </c>
      <c r="L8" s="27">
        <v>1898.2203465284226</v>
      </c>
      <c r="M8" s="27">
        <v>1871</v>
      </c>
      <c r="N8" s="27">
        <v>1910.973861187573</v>
      </c>
      <c r="O8" s="27">
        <v>1871</v>
      </c>
      <c r="P8" s="27">
        <v>1910.9738611875707</v>
      </c>
      <c r="Q8" s="27">
        <v>1871</v>
      </c>
      <c r="R8" s="27">
        <v>1910.9738611875714</v>
      </c>
      <c r="S8" s="27"/>
      <c r="T8" s="27"/>
      <c r="U8" s="27"/>
      <c r="V8" s="27"/>
      <c r="W8" s="27"/>
      <c r="X8" s="27"/>
    </row>
    <row r="9" spans="2:94" x14ac:dyDescent="0.25">
      <c r="J9" s="75" t="s">
        <v>85</v>
      </c>
      <c r="K9" s="27">
        <v>1871</v>
      </c>
      <c r="L9" s="27">
        <v>1898.2203465284226</v>
      </c>
      <c r="M9" s="27">
        <v>1871</v>
      </c>
      <c r="N9" s="27">
        <v>1910.973861187573</v>
      </c>
      <c r="O9" s="27">
        <v>1871</v>
      </c>
      <c r="P9" s="27">
        <v>1910.9738611875707</v>
      </c>
      <c r="Q9" s="27">
        <v>1871</v>
      </c>
      <c r="R9" s="27">
        <v>1910.9738611875714</v>
      </c>
      <c r="S9" s="27"/>
      <c r="T9" s="27"/>
      <c r="U9" s="27"/>
      <c r="V9" s="27"/>
      <c r="W9" s="27"/>
      <c r="X9" s="27"/>
    </row>
    <row r="10" spans="2:94" x14ac:dyDescent="0.25">
      <c r="J10" s="75" t="s">
        <v>89</v>
      </c>
      <c r="K10" s="27">
        <v>1870.9999999999998</v>
      </c>
      <c r="L10" s="27">
        <v>1898.2203465284226</v>
      </c>
      <c r="M10" s="27">
        <v>1870.9999999999998</v>
      </c>
      <c r="N10" s="27">
        <v>1910.973861187573</v>
      </c>
      <c r="O10" s="27">
        <v>1870.9999999999998</v>
      </c>
      <c r="P10" s="27">
        <v>1910.9738611875707</v>
      </c>
      <c r="Q10" s="27">
        <v>1870.9999999999998</v>
      </c>
      <c r="R10" s="27">
        <v>1910.9738611875714</v>
      </c>
      <c r="S10" s="27"/>
      <c r="T10" s="27"/>
      <c r="U10" s="27"/>
      <c r="V10" s="27"/>
      <c r="W10" s="27"/>
      <c r="X10" s="27"/>
    </row>
    <row r="11" spans="2:94" x14ac:dyDescent="0.25">
      <c r="J11" s="75" t="s">
        <v>91</v>
      </c>
      <c r="K11" s="27">
        <v>13.159322082155898</v>
      </c>
      <c r="L11" s="27">
        <v>13.49339718853941</v>
      </c>
      <c r="M11" s="27">
        <v>13.159322082155898</v>
      </c>
      <c r="N11" s="27">
        <v>13.585096869923381</v>
      </c>
      <c r="O11" s="27">
        <v>13.159322082155898</v>
      </c>
      <c r="P11" s="27">
        <v>13.585096869923373</v>
      </c>
      <c r="Q11" s="27">
        <v>13.159322082155898</v>
      </c>
      <c r="R11" s="27">
        <v>13.585096869923376</v>
      </c>
      <c r="S11" s="27"/>
      <c r="T11" s="27"/>
      <c r="U11" s="27"/>
      <c r="V11" s="27"/>
      <c r="W11" s="27"/>
      <c r="X11" s="27"/>
    </row>
    <row r="12" spans="2:94" x14ac:dyDescent="0.25">
      <c r="J12" s="75" t="s">
        <v>101</v>
      </c>
      <c r="K12" s="27">
        <v>0.68999999999994799</v>
      </c>
      <c r="L12" s="27">
        <v>0.70003850299546388</v>
      </c>
      <c r="M12" s="27">
        <v>0.68999999999994799</v>
      </c>
      <c r="N12" s="27">
        <v>0.70474183015463709</v>
      </c>
      <c r="O12" s="27">
        <v>0.68999999999994799</v>
      </c>
      <c r="P12" s="27">
        <v>0.70474183015463554</v>
      </c>
      <c r="Q12" s="27">
        <v>0.68999999999994799</v>
      </c>
      <c r="R12" s="27">
        <v>0.70474183015463598</v>
      </c>
      <c r="S12" s="27"/>
      <c r="T12" s="27"/>
      <c r="U12" s="27"/>
      <c r="V12" s="27"/>
      <c r="W12" s="27"/>
      <c r="X12" s="27"/>
    </row>
    <row r="13" spans="2:94" x14ac:dyDescent="0.25">
      <c r="J13" s="75" t="s">
        <v>236</v>
      </c>
      <c r="K13" s="27">
        <v>21.57</v>
      </c>
      <c r="L13" s="27">
        <v>20.869961497004397</v>
      </c>
      <c r="M13" s="27">
        <v>21.57</v>
      </c>
      <c r="N13" s="27">
        <v>20.86525816984522</v>
      </c>
      <c r="O13" s="27">
        <v>21.57</v>
      </c>
      <c r="P13" s="27">
        <v>20.865258169844992</v>
      </c>
      <c r="Q13" s="27">
        <v>21.57</v>
      </c>
      <c r="R13" s="27">
        <v>20.86525816984522</v>
      </c>
      <c r="S13" s="27"/>
      <c r="T13" s="27"/>
      <c r="U13" s="27"/>
      <c r="V13" s="27"/>
      <c r="W13" s="27"/>
      <c r="X13" s="27"/>
    </row>
    <row r="14" spans="2:94" x14ac:dyDescent="0.25">
      <c r="J14" s="75" t="s">
        <v>103</v>
      </c>
      <c r="K14" s="27">
        <v>1848.7399999999998</v>
      </c>
      <c r="L14" s="27">
        <v>1876.6503465284227</v>
      </c>
      <c r="M14" s="27">
        <v>1848.7399999999998</v>
      </c>
      <c r="N14" s="27">
        <v>1889.4038611875731</v>
      </c>
      <c r="O14" s="27">
        <v>1848.7399999999998</v>
      </c>
      <c r="P14" s="27">
        <v>1889.403861187571</v>
      </c>
      <c r="Q14" s="27">
        <v>1848.7399999999998</v>
      </c>
      <c r="R14" s="27">
        <v>1889.4038611875715</v>
      </c>
      <c r="S14" s="27"/>
      <c r="T14" s="27"/>
      <c r="U14" s="27"/>
      <c r="V14" s="27"/>
      <c r="W14" s="27"/>
      <c r="X14" s="27"/>
    </row>
    <row r="15" spans="2:94" x14ac:dyDescent="0.25">
      <c r="J15" s="75" t="s">
        <v>105</v>
      </c>
      <c r="K15" s="27">
        <v>318.78386586909721</v>
      </c>
      <c r="L15" s="27">
        <v>326.87681725661423</v>
      </c>
      <c r="M15" s="27">
        <v>318.78386586909721</v>
      </c>
      <c r="N15" s="27">
        <v>329.09823707961459</v>
      </c>
      <c r="O15" s="27">
        <v>318.78386586909721</v>
      </c>
      <c r="P15" s="27">
        <v>329.09823707961436</v>
      </c>
      <c r="Q15" s="27">
        <v>318.78386586909721</v>
      </c>
      <c r="R15" s="27">
        <v>329.09823707961448</v>
      </c>
      <c r="S15" s="27"/>
      <c r="T15" s="27"/>
      <c r="U15" s="27"/>
      <c r="V15" s="27"/>
      <c r="W15" s="27"/>
      <c r="X15" s="27"/>
    </row>
    <row r="16" spans="2:94" x14ac:dyDescent="0.25">
      <c r="J16" s="75" t="s">
        <v>107</v>
      </c>
      <c r="K16" s="27">
        <v>1848.74</v>
      </c>
      <c r="L16" s="27">
        <v>1876.6503465284227</v>
      </c>
      <c r="M16" s="27">
        <v>1848.74</v>
      </c>
      <c r="N16" s="27">
        <v>1889.4038611875731</v>
      </c>
      <c r="O16" s="27">
        <v>1848.74</v>
      </c>
      <c r="P16" s="27">
        <v>1889.4038611875719</v>
      </c>
      <c r="Q16" s="27">
        <v>1848.74</v>
      </c>
      <c r="R16" s="27">
        <v>1889.4038611875724</v>
      </c>
      <c r="S16" s="27"/>
      <c r="T16" s="27"/>
      <c r="U16" s="27"/>
      <c r="V16" s="27"/>
      <c r="W16" s="27"/>
      <c r="X16" s="27"/>
    </row>
    <row r="17" spans="10:24" x14ac:dyDescent="0.25">
      <c r="J17" s="75"/>
      <c r="K17" s="27"/>
      <c r="L17" s="27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</row>
  </sheetData>
  <phoneticPr fontId="14" type="noConversion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B6:CP15"/>
  <sheetViews>
    <sheetView topLeftCell="J1" workbookViewId="0">
      <pane xSplit="1" ySplit="7" topLeftCell="K8" activePane="bottomRight" state="frozen"/>
      <selection pane="topRight"/>
      <selection pane="bottomLeft"/>
      <selection pane="bottomRight" activeCell="J11" sqref="A11:XFD11"/>
    </sheetView>
  </sheetViews>
  <sheetFormatPr defaultColWidth="9" defaultRowHeight="15" x14ac:dyDescent="0.25"/>
  <cols>
    <col min="1" max="9" width="9" style="20"/>
    <col min="10" max="10" width="15.375" style="20" customWidth="1"/>
    <col min="11" max="11" width="10.375" style="20"/>
    <col min="12" max="16" width="15.375" style="20"/>
    <col min="17" max="17" width="14.125" style="20"/>
    <col min="18" max="24" width="15.375" style="20"/>
    <col min="25" max="16384" width="9" style="20"/>
  </cols>
  <sheetData>
    <row r="6" spans="2:94" ht="12.75" customHeight="1" x14ac:dyDescent="0.25">
      <c r="B6" s="25" t="s">
        <v>73</v>
      </c>
      <c r="K6" s="73" t="s">
        <v>73</v>
      </c>
      <c r="L6" s="71" t="s">
        <v>73</v>
      </c>
      <c r="M6" s="71" t="s">
        <v>315</v>
      </c>
      <c r="N6" s="71" t="s">
        <v>315</v>
      </c>
      <c r="O6" s="71" t="s">
        <v>316</v>
      </c>
      <c r="P6" s="71" t="s">
        <v>316</v>
      </c>
      <c r="Q6" s="71" t="s">
        <v>317</v>
      </c>
      <c r="R6" s="71" t="s">
        <v>317</v>
      </c>
      <c r="S6" s="71"/>
      <c r="T6" s="71"/>
      <c r="U6" s="71"/>
      <c r="V6" s="71"/>
      <c r="W6" s="73"/>
      <c r="X6" s="73"/>
      <c r="Y6" s="75"/>
      <c r="Z6" s="75"/>
      <c r="AA6" s="75"/>
      <c r="AB6" s="75"/>
      <c r="AC6" s="75"/>
      <c r="AD6" s="75"/>
      <c r="AE6" s="75"/>
      <c r="AF6" s="75"/>
      <c r="AG6" s="75"/>
      <c r="AH6" s="75"/>
      <c r="AI6" s="75"/>
      <c r="AJ6" s="75"/>
      <c r="AK6" s="75"/>
      <c r="AL6" s="75"/>
      <c r="AM6" s="75"/>
      <c r="AN6" s="75"/>
      <c r="AO6" s="75"/>
      <c r="AP6" s="75"/>
      <c r="AQ6" s="75"/>
      <c r="AR6" s="75"/>
      <c r="AS6" s="75"/>
      <c r="AT6" s="75"/>
      <c r="AU6" s="75"/>
      <c r="AV6" s="75"/>
      <c r="AW6" s="75"/>
      <c r="AX6" s="75"/>
      <c r="AY6" s="75"/>
      <c r="AZ6" s="75"/>
      <c r="BA6" s="75"/>
      <c r="BB6" s="75"/>
      <c r="BC6" s="75"/>
      <c r="BD6" s="75"/>
      <c r="BE6" s="75"/>
      <c r="BF6" s="75"/>
      <c r="BG6" s="75"/>
      <c r="BH6" s="75"/>
      <c r="BI6" s="75"/>
      <c r="BJ6" s="75"/>
      <c r="BK6" s="75"/>
      <c r="BL6" s="75"/>
      <c r="BM6" s="75"/>
      <c r="BN6" s="75"/>
      <c r="BO6" s="75"/>
      <c r="BP6" s="75"/>
      <c r="BQ6" s="75"/>
      <c r="BR6" s="75"/>
      <c r="BS6" s="75"/>
      <c r="BT6" s="75"/>
      <c r="BU6" s="75"/>
      <c r="BV6" s="75"/>
      <c r="BW6" s="75"/>
      <c r="BX6" s="75"/>
      <c r="BY6" s="75"/>
      <c r="BZ6" s="75"/>
      <c r="CA6" s="75"/>
      <c r="CB6" s="75"/>
      <c r="CC6" s="75"/>
      <c r="CD6" s="75"/>
      <c r="CE6" s="75"/>
      <c r="CF6" s="75"/>
      <c r="CG6" s="75"/>
      <c r="CH6" s="75"/>
      <c r="CI6" s="75"/>
      <c r="CJ6" s="75"/>
      <c r="CK6" s="75"/>
      <c r="CL6" s="75"/>
      <c r="CM6" s="75"/>
      <c r="CN6" s="75"/>
      <c r="CO6" s="75"/>
      <c r="CP6" s="75"/>
    </row>
    <row r="7" spans="2:94" x14ac:dyDescent="0.25">
      <c r="B7" s="25" t="s">
        <v>74</v>
      </c>
      <c r="C7" s="25"/>
      <c r="D7" s="25"/>
      <c r="E7" s="25"/>
      <c r="F7" s="25"/>
      <c r="G7" s="25"/>
      <c r="H7" s="27"/>
      <c r="K7" s="73" t="s">
        <v>76</v>
      </c>
      <c r="L7" s="71" t="s">
        <v>77</v>
      </c>
      <c r="M7" s="71" t="s">
        <v>76</v>
      </c>
      <c r="N7" s="71" t="s">
        <v>77</v>
      </c>
      <c r="O7" s="71" t="s">
        <v>76</v>
      </c>
      <c r="P7" s="71" t="s">
        <v>77</v>
      </c>
      <c r="Q7" s="71" t="s">
        <v>76</v>
      </c>
      <c r="R7" s="71" t="s">
        <v>77</v>
      </c>
      <c r="S7" s="71"/>
      <c r="T7" s="71"/>
      <c r="U7" s="71"/>
      <c r="V7" s="71"/>
      <c r="W7" s="73"/>
      <c r="X7" s="73"/>
      <c r="Y7" s="75"/>
      <c r="Z7" s="75"/>
      <c r="AA7" s="75"/>
      <c r="AB7" s="75"/>
      <c r="AC7" s="75"/>
      <c r="AD7" s="75"/>
      <c r="AE7" s="75"/>
      <c r="AF7" s="75"/>
      <c r="AG7" s="75"/>
      <c r="AH7" s="75"/>
      <c r="AI7" s="75"/>
      <c r="AJ7" s="75"/>
      <c r="AK7" s="75"/>
      <c r="AL7" s="75"/>
      <c r="AM7" s="75"/>
      <c r="AN7" s="75"/>
      <c r="AO7" s="75"/>
      <c r="AP7" s="75"/>
      <c r="AQ7" s="75"/>
      <c r="AR7" s="75"/>
      <c r="AS7" s="75"/>
      <c r="AT7" s="75"/>
      <c r="AU7" s="75"/>
      <c r="AV7" s="75"/>
      <c r="AW7" s="75"/>
      <c r="AX7" s="75"/>
      <c r="AY7" s="75"/>
      <c r="AZ7" s="75"/>
      <c r="BA7" s="75"/>
      <c r="BB7" s="75"/>
      <c r="BC7" s="75"/>
      <c r="BD7" s="75"/>
      <c r="BE7" s="75"/>
      <c r="BF7" s="75"/>
      <c r="BG7" s="75"/>
      <c r="BH7" s="75"/>
      <c r="BI7" s="75"/>
      <c r="BJ7" s="75"/>
      <c r="BK7" s="75"/>
      <c r="BL7" s="75"/>
      <c r="BM7" s="75"/>
      <c r="BN7" s="75"/>
      <c r="BO7" s="75"/>
      <c r="BP7" s="75"/>
      <c r="BQ7" s="75"/>
      <c r="BR7" s="75"/>
      <c r="BS7" s="75"/>
      <c r="BT7" s="75"/>
      <c r="BU7" s="75"/>
      <c r="BV7" s="75"/>
      <c r="BW7" s="75"/>
      <c r="BX7" s="75"/>
      <c r="BY7" s="75"/>
      <c r="BZ7" s="75"/>
      <c r="CA7" s="75"/>
      <c r="CB7" s="75"/>
      <c r="CC7" s="75"/>
      <c r="CD7" s="75"/>
      <c r="CE7" s="75"/>
      <c r="CF7" s="75"/>
      <c r="CG7" s="75"/>
      <c r="CH7" s="75"/>
      <c r="CI7" s="75"/>
      <c r="CJ7" s="75"/>
      <c r="CK7" s="75"/>
      <c r="CL7" s="75"/>
      <c r="CM7" s="75"/>
      <c r="CN7" s="75"/>
      <c r="CO7" s="75"/>
      <c r="CP7" s="75"/>
    </row>
    <row r="8" spans="2:94" x14ac:dyDescent="0.25">
      <c r="J8" s="75" t="s">
        <v>83</v>
      </c>
      <c r="K8" s="24">
        <v>8100</v>
      </c>
      <c r="L8" s="24">
        <v>8134.908253633188</v>
      </c>
      <c r="M8" s="24">
        <v>8100</v>
      </c>
      <c r="N8" s="24">
        <v>8122.6091643527589</v>
      </c>
      <c r="O8" s="24">
        <v>8100</v>
      </c>
      <c r="P8" s="24">
        <v>8122.6091643527498</v>
      </c>
      <c r="Q8" s="24">
        <v>8100</v>
      </c>
      <c r="R8" s="24">
        <v>8122.6091643527516</v>
      </c>
      <c r="S8" s="24"/>
      <c r="T8" s="24"/>
      <c r="U8" s="24"/>
      <c r="V8" s="24"/>
      <c r="W8" s="24"/>
      <c r="X8" s="24"/>
    </row>
    <row r="9" spans="2:94" x14ac:dyDescent="0.25">
      <c r="J9" s="75" t="s">
        <v>85</v>
      </c>
      <c r="K9" s="24">
        <v>8100</v>
      </c>
      <c r="L9" s="24">
        <v>8014.2160141995055</v>
      </c>
      <c r="M9" s="24">
        <v>8100</v>
      </c>
      <c r="N9" s="24">
        <v>8002.2146043334224</v>
      </c>
      <c r="O9" s="24">
        <v>8100</v>
      </c>
      <c r="P9" s="24">
        <v>8002.2146043334133</v>
      </c>
      <c r="Q9" s="24">
        <v>8100</v>
      </c>
      <c r="R9" s="24">
        <v>8002.2146043334151</v>
      </c>
      <c r="S9" s="24"/>
      <c r="T9" s="24"/>
      <c r="U9" s="24"/>
      <c r="V9" s="24"/>
      <c r="W9" s="24"/>
      <c r="X9" s="24"/>
    </row>
    <row r="10" spans="2:94" x14ac:dyDescent="0.25">
      <c r="J10" s="75" t="s">
        <v>87</v>
      </c>
      <c r="K10" s="24"/>
      <c r="L10" s="24">
        <v>120.69223943368252</v>
      </c>
      <c r="M10" s="24"/>
      <c r="N10" s="24">
        <v>120.3945600193365</v>
      </c>
      <c r="O10" s="24"/>
      <c r="P10" s="24">
        <v>120.3945600193365</v>
      </c>
      <c r="Q10" s="24"/>
      <c r="R10" s="24">
        <v>120.3945600193365</v>
      </c>
      <c r="S10" s="24"/>
      <c r="T10" s="24"/>
      <c r="U10" s="24"/>
      <c r="V10" s="24"/>
      <c r="W10" s="24"/>
      <c r="X10" s="24"/>
    </row>
    <row r="11" spans="2:94" x14ac:dyDescent="0.25">
      <c r="J11" s="75" t="s">
        <v>89</v>
      </c>
      <c r="K11" s="24">
        <v>8100</v>
      </c>
      <c r="L11" s="24">
        <v>8134.908253633188</v>
      </c>
      <c r="M11" s="24">
        <v>8100</v>
      </c>
      <c r="N11" s="24">
        <v>8122.6091643527589</v>
      </c>
      <c r="O11" s="24">
        <v>8100</v>
      </c>
      <c r="P11" s="24">
        <v>8122.6091643527498</v>
      </c>
      <c r="Q11" s="24">
        <v>8100</v>
      </c>
      <c r="R11" s="24">
        <v>8122.6091643527516</v>
      </c>
      <c r="S11" s="24"/>
      <c r="T11" s="24"/>
      <c r="U11" s="24"/>
      <c r="V11" s="24"/>
      <c r="W11" s="24"/>
      <c r="X11" s="24"/>
    </row>
    <row r="12" spans="2:94" x14ac:dyDescent="0.25">
      <c r="J12" s="75" t="s">
        <v>95</v>
      </c>
      <c r="K12" s="27">
        <v>7821</v>
      </c>
      <c r="L12" s="27">
        <v>7936.1260141995053</v>
      </c>
      <c r="M12" s="27">
        <v>7821</v>
      </c>
      <c r="N12" s="27">
        <v>7924.1246043334222</v>
      </c>
      <c r="O12" s="27">
        <v>7821</v>
      </c>
      <c r="P12" s="27">
        <v>7924.1246043334158</v>
      </c>
      <c r="Q12" s="27">
        <v>7821</v>
      </c>
      <c r="R12" s="27">
        <v>7924.1246043334177</v>
      </c>
      <c r="S12" s="27"/>
      <c r="T12" s="27"/>
      <c r="U12" s="27"/>
      <c r="V12" s="27"/>
      <c r="W12" s="27"/>
      <c r="X12" s="27"/>
    </row>
    <row r="13" spans="2:94" x14ac:dyDescent="0.25">
      <c r="J13" s="75" t="s">
        <v>101</v>
      </c>
      <c r="K13" s="24">
        <v>200.91</v>
      </c>
      <c r="L13" s="24">
        <v>198.78223943368181</v>
      </c>
      <c r="M13" s="24">
        <v>200.91</v>
      </c>
      <c r="N13" s="24">
        <v>198.48456001933678</v>
      </c>
      <c r="O13" s="24">
        <v>200.91</v>
      </c>
      <c r="P13" s="24">
        <v>198.48456001933644</v>
      </c>
      <c r="Q13" s="24">
        <v>200.91</v>
      </c>
      <c r="R13" s="24">
        <v>198.48456001933647</v>
      </c>
      <c r="S13" s="24"/>
      <c r="T13" s="24"/>
      <c r="U13" s="24"/>
      <c r="V13" s="24"/>
      <c r="W13" s="24"/>
      <c r="X13" s="24"/>
    </row>
    <row r="14" spans="2:94" x14ac:dyDescent="0.25">
      <c r="J14" s="75" t="s">
        <v>236</v>
      </c>
      <c r="K14" s="24">
        <v>78.089999999999989</v>
      </c>
      <c r="L14" s="24"/>
      <c r="M14" s="24">
        <v>78.089999999999989</v>
      </c>
      <c r="N14" s="24"/>
      <c r="O14" s="24">
        <v>78.089999999999989</v>
      </c>
      <c r="P14" s="24"/>
      <c r="Q14" s="24">
        <v>78.089999999999989</v>
      </c>
      <c r="R14" s="24"/>
      <c r="S14" s="24"/>
      <c r="T14" s="24"/>
      <c r="U14" s="24"/>
      <c r="V14" s="24"/>
      <c r="W14" s="24"/>
      <c r="X14" s="24"/>
    </row>
    <row r="15" spans="2:94" x14ac:dyDescent="0.25">
      <c r="J15" s="75" t="s">
        <v>103</v>
      </c>
      <c r="K15" s="20">
        <v>7821</v>
      </c>
      <c r="L15" s="20">
        <v>7936.1260141995062</v>
      </c>
      <c r="M15" s="20">
        <v>7821</v>
      </c>
      <c r="N15" s="20">
        <v>7924.1246043334222</v>
      </c>
      <c r="O15" s="20">
        <v>7821</v>
      </c>
      <c r="P15" s="20">
        <v>7924.1246043334131</v>
      </c>
      <c r="Q15" s="20">
        <v>7821</v>
      </c>
      <c r="R15" s="20">
        <v>7924.1246043334149</v>
      </c>
    </row>
  </sheetData>
  <phoneticPr fontId="14" type="noConversion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B3:CP18"/>
  <sheetViews>
    <sheetView topLeftCell="I1" workbookViewId="0">
      <pane xSplit="2" ySplit="7" topLeftCell="K8" activePane="bottomRight" state="frozen"/>
      <selection pane="topRight"/>
      <selection pane="bottomLeft"/>
      <selection pane="bottomRight" activeCell="M18" sqref="M18"/>
    </sheetView>
  </sheetViews>
  <sheetFormatPr defaultColWidth="9" defaultRowHeight="15" x14ac:dyDescent="0.25"/>
  <cols>
    <col min="1" max="1" width="9" style="20"/>
    <col min="2" max="2" width="12" style="20" customWidth="1"/>
    <col min="3" max="9" width="9" style="20"/>
    <col min="10" max="10" width="19.5" style="20" customWidth="1"/>
    <col min="11" max="23" width="10.75" style="20" customWidth="1"/>
    <col min="24" max="24" width="14.125" style="20"/>
    <col min="25" max="25" width="12.875" style="20"/>
    <col min="26" max="16384" width="9" style="20"/>
  </cols>
  <sheetData>
    <row r="3" spans="2:94" x14ac:dyDescent="0.25">
      <c r="K3" s="27">
        <f t="shared" ref="K3:W3" si="0">K9/15</f>
        <v>142.07257368672421</v>
      </c>
      <c r="L3" s="27">
        <f t="shared" si="0"/>
        <v>149.22672877746342</v>
      </c>
      <c r="M3" s="27">
        <f t="shared" si="0"/>
        <v>142.07257368672421</v>
      </c>
      <c r="N3" s="27">
        <f t="shared" si="0"/>
        <v>150.18998148579607</v>
      </c>
      <c r="O3" s="27">
        <f t="shared" si="0"/>
        <v>142.07257368672421</v>
      </c>
      <c r="P3" s="27">
        <f t="shared" si="0"/>
        <v>150.18998148579607</v>
      </c>
      <c r="Q3" s="27">
        <f t="shared" si="0"/>
        <v>142.07257368672421</v>
      </c>
      <c r="R3" s="27">
        <f t="shared" si="0"/>
        <v>150.18998148579607</v>
      </c>
      <c r="S3" s="27">
        <f t="shared" si="0"/>
        <v>0</v>
      </c>
      <c r="T3" s="27">
        <f t="shared" si="0"/>
        <v>0</v>
      </c>
      <c r="U3" s="27">
        <f t="shared" si="0"/>
        <v>0</v>
      </c>
      <c r="V3" s="27">
        <f t="shared" si="0"/>
        <v>0</v>
      </c>
      <c r="W3" s="27">
        <f t="shared" si="0"/>
        <v>0</v>
      </c>
    </row>
    <row r="4" spans="2:94" x14ac:dyDescent="0.25">
      <c r="M4" s="24"/>
    </row>
    <row r="5" spans="2:94" x14ac:dyDescent="0.25">
      <c r="L5" s="22">
        <f>L11/L10</f>
        <v>0.88957919498193261</v>
      </c>
    </row>
    <row r="6" spans="2:94" ht="12.75" customHeight="1" x14ac:dyDescent="0.25">
      <c r="B6" s="25" t="s">
        <v>73</v>
      </c>
      <c r="K6" s="73" t="s">
        <v>73</v>
      </c>
      <c r="L6" s="71" t="s">
        <v>73</v>
      </c>
      <c r="M6" s="71" t="s">
        <v>315</v>
      </c>
      <c r="N6" s="71" t="s">
        <v>315</v>
      </c>
      <c r="O6" s="71" t="s">
        <v>316</v>
      </c>
      <c r="P6" s="71" t="s">
        <v>316</v>
      </c>
      <c r="Q6" s="71" t="s">
        <v>317</v>
      </c>
      <c r="R6" s="71" t="s">
        <v>317</v>
      </c>
      <c r="S6" s="71"/>
      <c r="T6" s="71"/>
      <c r="U6" s="71"/>
      <c r="V6" s="71"/>
      <c r="W6" s="73"/>
      <c r="X6" s="73"/>
      <c r="Y6" s="75"/>
      <c r="Z6" s="75"/>
      <c r="AA6" s="75"/>
      <c r="AB6" s="75"/>
      <c r="AC6" s="75"/>
      <c r="AD6" s="75"/>
      <c r="AE6" s="75"/>
      <c r="AF6" s="75"/>
      <c r="AG6" s="75"/>
      <c r="AH6" s="75"/>
      <c r="AI6" s="75"/>
      <c r="AJ6" s="75"/>
      <c r="AK6" s="75"/>
      <c r="AL6" s="75"/>
      <c r="AM6" s="75"/>
      <c r="AN6" s="75"/>
      <c r="AO6" s="75"/>
      <c r="AP6" s="75"/>
      <c r="AQ6" s="75"/>
      <c r="AR6" s="75"/>
      <c r="AS6" s="75"/>
      <c r="AT6" s="75"/>
      <c r="AU6" s="75"/>
      <c r="AV6" s="75"/>
      <c r="AW6" s="75"/>
      <c r="AX6" s="75"/>
      <c r="AY6" s="75"/>
      <c r="AZ6" s="75"/>
      <c r="BA6" s="75"/>
      <c r="BB6" s="75"/>
      <c r="BC6" s="75"/>
      <c r="BD6" s="75"/>
      <c r="BE6" s="75"/>
      <c r="BF6" s="75"/>
      <c r="BG6" s="75"/>
      <c r="BH6" s="75"/>
      <c r="BI6" s="75"/>
      <c r="BJ6" s="75"/>
      <c r="BK6" s="75"/>
      <c r="BL6" s="75"/>
      <c r="BM6" s="75"/>
      <c r="BN6" s="75"/>
      <c r="BO6" s="75"/>
      <c r="BP6" s="75"/>
      <c r="BQ6" s="75"/>
      <c r="BR6" s="75"/>
      <c r="BS6" s="75"/>
      <c r="BT6" s="75"/>
      <c r="BU6" s="75"/>
      <c r="BV6" s="75"/>
      <c r="BW6" s="75"/>
      <c r="BX6" s="75"/>
      <c r="BY6" s="75"/>
      <c r="BZ6" s="75"/>
      <c r="CA6" s="75"/>
      <c r="CB6" s="75"/>
      <c r="CC6" s="75"/>
      <c r="CD6" s="75"/>
      <c r="CE6" s="75"/>
      <c r="CF6" s="75"/>
      <c r="CG6" s="75"/>
      <c r="CH6" s="75"/>
      <c r="CI6" s="75"/>
      <c r="CJ6" s="75"/>
      <c r="CK6" s="75"/>
      <c r="CL6" s="75"/>
      <c r="CM6" s="75"/>
      <c r="CN6" s="75"/>
      <c r="CO6" s="75"/>
      <c r="CP6" s="75"/>
    </row>
    <row r="7" spans="2:94" x14ac:dyDescent="0.25">
      <c r="B7" s="25" t="s">
        <v>74</v>
      </c>
      <c r="C7" s="25"/>
      <c r="D7" s="25"/>
      <c r="E7" s="25"/>
      <c r="F7" s="25"/>
      <c r="G7" s="25"/>
      <c r="H7" s="27"/>
      <c r="K7" s="73" t="s">
        <v>76</v>
      </c>
      <c r="L7" s="71" t="s">
        <v>77</v>
      </c>
      <c r="M7" s="71" t="s">
        <v>76</v>
      </c>
      <c r="N7" s="71" t="s">
        <v>77</v>
      </c>
      <c r="O7" s="71" t="s">
        <v>76</v>
      </c>
      <c r="P7" s="71" t="s">
        <v>77</v>
      </c>
      <c r="Q7" s="71" t="s">
        <v>76</v>
      </c>
      <c r="R7" s="71" t="s">
        <v>77</v>
      </c>
      <c r="S7" s="71"/>
      <c r="T7" s="71"/>
      <c r="U7" s="71"/>
      <c r="V7" s="71"/>
      <c r="W7" s="73"/>
      <c r="X7" s="73"/>
      <c r="Y7" s="75"/>
      <c r="Z7" s="75"/>
      <c r="AA7" s="75"/>
      <c r="AB7" s="75"/>
      <c r="AC7" s="75"/>
      <c r="AD7" s="75"/>
      <c r="AE7" s="75"/>
      <c r="AF7" s="75"/>
      <c r="AG7" s="75"/>
      <c r="AH7" s="75"/>
      <c r="AI7" s="75"/>
      <c r="AJ7" s="75"/>
      <c r="AK7" s="75"/>
      <c r="AL7" s="75"/>
      <c r="AM7" s="75"/>
      <c r="AN7" s="75"/>
      <c r="AO7" s="75"/>
      <c r="AP7" s="75"/>
      <c r="AQ7" s="75"/>
      <c r="AR7" s="75"/>
      <c r="AS7" s="75"/>
      <c r="AT7" s="75"/>
      <c r="AU7" s="75"/>
      <c r="AV7" s="75"/>
      <c r="AW7" s="75"/>
      <c r="AX7" s="75"/>
      <c r="AY7" s="75"/>
      <c r="AZ7" s="75"/>
      <c r="BA7" s="75"/>
      <c r="BB7" s="75"/>
      <c r="BC7" s="75"/>
      <c r="BD7" s="75"/>
      <c r="BE7" s="75"/>
      <c r="BF7" s="75"/>
      <c r="BG7" s="75"/>
      <c r="BH7" s="75"/>
      <c r="BI7" s="75"/>
      <c r="BJ7" s="75"/>
      <c r="BK7" s="75"/>
      <c r="BL7" s="75"/>
      <c r="BM7" s="75"/>
      <c r="BN7" s="75"/>
      <c r="BO7" s="75"/>
      <c r="BP7" s="75"/>
      <c r="BQ7" s="75"/>
      <c r="BR7" s="75"/>
      <c r="BS7" s="75"/>
      <c r="BT7" s="75"/>
      <c r="BU7" s="75"/>
      <c r="BV7" s="75"/>
      <c r="BW7" s="75"/>
      <c r="BX7" s="75"/>
      <c r="BY7" s="75"/>
      <c r="BZ7" s="75"/>
      <c r="CA7" s="75"/>
      <c r="CB7" s="75"/>
      <c r="CC7" s="75"/>
      <c r="CD7" s="75"/>
      <c r="CE7" s="75"/>
      <c r="CF7" s="75"/>
      <c r="CG7" s="75"/>
      <c r="CH7" s="75"/>
      <c r="CI7" s="75"/>
      <c r="CJ7" s="75"/>
      <c r="CK7" s="75"/>
      <c r="CL7" s="75"/>
      <c r="CM7" s="75"/>
      <c r="CN7" s="75"/>
      <c r="CO7" s="75"/>
      <c r="CP7" s="75"/>
    </row>
    <row r="8" spans="2:94" x14ac:dyDescent="0.25">
      <c r="J8" s="75" t="s">
        <v>79</v>
      </c>
      <c r="K8" s="24">
        <v>815.30946000000006</v>
      </c>
      <c r="L8" s="24">
        <v>855.18361898917681</v>
      </c>
      <c r="M8" s="24">
        <v>815.30946000000006</v>
      </c>
      <c r="N8" s="24">
        <v>855.18361898917738</v>
      </c>
      <c r="O8" s="24">
        <v>815.30946000000006</v>
      </c>
      <c r="P8" s="24">
        <v>855.18361898917726</v>
      </c>
      <c r="Q8" s="24">
        <v>815.30946000000006</v>
      </c>
      <c r="R8" s="24">
        <v>855.18361898917738</v>
      </c>
      <c r="S8" s="24"/>
      <c r="T8" s="24"/>
      <c r="U8" s="24"/>
      <c r="V8" s="24"/>
      <c r="W8" s="24"/>
      <c r="X8" s="24"/>
    </row>
    <row r="9" spans="2:94" x14ac:dyDescent="0.25">
      <c r="J9" s="75" t="s">
        <v>81</v>
      </c>
      <c r="K9" s="24">
        <v>2131.088605300863</v>
      </c>
      <c r="L9" s="24">
        <v>2238.4009316619513</v>
      </c>
      <c r="M9" s="24">
        <v>2131.088605300863</v>
      </c>
      <c r="N9" s="24">
        <v>2252.849722286941</v>
      </c>
      <c r="O9" s="24">
        <v>2131.088605300863</v>
      </c>
      <c r="P9" s="24">
        <v>2252.849722286941</v>
      </c>
      <c r="Q9" s="24">
        <v>2131.088605300863</v>
      </c>
      <c r="R9" s="24">
        <v>2252.849722286941</v>
      </c>
      <c r="S9" s="24"/>
      <c r="T9" s="24"/>
      <c r="U9" s="24"/>
      <c r="V9" s="24"/>
      <c r="W9" s="24"/>
      <c r="X9" s="24"/>
    </row>
    <row r="10" spans="2:94" x14ac:dyDescent="0.25">
      <c r="J10" s="75" t="s">
        <v>83</v>
      </c>
      <c r="K10" s="24">
        <v>1987.8266999999998</v>
      </c>
      <c r="L10" s="24">
        <v>2151.8531686504771</v>
      </c>
      <c r="M10" s="24">
        <v>1987.8266999999998</v>
      </c>
      <c r="N10" s="24">
        <v>2148.0033637407873</v>
      </c>
      <c r="O10" s="24">
        <v>1987.8266999999998</v>
      </c>
      <c r="P10" s="24">
        <v>2148.0033637407819</v>
      </c>
      <c r="Q10" s="24">
        <v>1987.8266999999998</v>
      </c>
      <c r="R10" s="24">
        <v>2148.0033637407842</v>
      </c>
      <c r="S10" s="24"/>
      <c r="T10" s="24"/>
      <c r="U10" s="24"/>
      <c r="V10" s="24"/>
      <c r="W10" s="24"/>
      <c r="X10" s="24"/>
    </row>
    <row r="11" spans="2:94" x14ac:dyDescent="0.25">
      <c r="J11" s="75" t="s">
        <v>85</v>
      </c>
      <c r="K11" s="24">
        <v>1737.4966999999999</v>
      </c>
      <c r="L11" s="24">
        <v>1914.2438094874124</v>
      </c>
      <c r="M11" s="24">
        <v>1737.4966999999999</v>
      </c>
      <c r="N11" s="24">
        <v>1926.6001785441092</v>
      </c>
      <c r="O11" s="24">
        <v>1737.4966999999999</v>
      </c>
      <c r="P11" s="24">
        <v>1926.6001785441088</v>
      </c>
      <c r="Q11" s="24">
        <v>1737.4966999999999</v>
      </c>
      <c r="R11" s="24">
        <v>1926.6001785441094</v>
      </c>
      <c r="S11" s="24"/>
      <c r="T11" s="24"/>
      <c r="U11" s="24"/>
      <c r="V11" s="24"/>
      <c r="W11" s="24"/>
      <c r="X11" s="24"/>
    </row>
    <row r="12" spans="2:94" x14ac:dyDescent="0.25">
      <c r="J12" s="75" t="s">
        <v>87</v>
      </c>
      <c r="K12" s="24">
        <v>250.33</v>
      </c>
      <c r="L12" s="24">
        <v>237.60935916306465</v>
      </c>
      <c r="M12" s="24">
        <v>250.33</v>
      </c>
      <c r="N12" s="24">
        <v>221.40318519667807</v>
      </c>
      <c r="O12" s="24">
        <v>250.33</v>
      </c>
      <c r="P12" s="24">
        <v>221.40318519667312</v>
      </c>
      <c r="Q12" s="24">
        <v>250.33</v>
      </c>
      <c r="R12" s="24">
        <v>221.40318519667471</v>
      </c>
      <c r="S12" s="24"/>
      <c r="T12" s="24"/>
      <c r="U12" s="24"/>
      <c r="V12" s="24"/>
      <c r="W12" s="24"/>
      <c r="X12" s="24"/>
    </row>
    <row r="13" spans="2:94" x14ac:dyDescent="0.25">
      <c r="J13" s="75" t="s">
        <v>89</v>
      </c>
      <c r="K13" s="24">
        <v>1987.8267000000001</v>
      </c>
      <c r="L13" s="24">
        <v>2151.8531686504771</v>
      </c>
      <c r="M13" s="24">
        <v>1987.8267000000001</v>
      </c>
      <c r="N13" s="24">
        <v>2148.0033637407873</v>
      </c>
      <c r="O13" s="24">
        <v>1987.8267000000001</v>
      </c>
      <c r="P13" s="24">
        <v>2148.0033637407819</v>
      </c>
      <c r="Q13" s="24">
        <v>1987.8267000000001</v>
      </c>
      <c r="R13" s="24">
        <v>2148.0033637407842</v>
      </c>
      <c r="S13" s="24"/>
      <c r="T13" s="24"/>
      <c r="U13" s="24"/>
      <c r="V13" s="24"/>
      <c r="W13" s="24"/>
      <c r="X13" s="24"/>
    </row>
    <row r="14" spans="2:94" x14ac:dyDescent="0.25">
      <c r="J14" s="75" t="s">
        <v>121</v>
      </c>
      <c r="K14" s="24">
        <v>1980</v>
      </c>
      <c r="L14" s="24">
        <v>2143.2302964322362</v>
      </c>
      <c r="M14" s="24">
        <v>1980</v>
      </c>
      <c r="N14" s="24">
        <v>2139.3248312190212</v>
      </c>
      <c r="O14" s="24">
        <v>1980</v>
      </c>
      <c r="P14" s="24">
        <v>2139.3248312190171</v>
      </c>
      <c r="Q14" s="24">
        <v>1980</v>
      </c>
      <c r="R14" s="24">
        <v>2139.3248312190194</v>
      </c>
      <c r="S14" s="24"/>
      <c r="T14" s="24"/>
      <c r="U14" s="24"/>
      <c r="V14" s="24"/>
      <c r="W14" s="24"/>
      <c r="X14" s="24"/>
    </row>
    <row r="15" spans="2:94" x14ac:dyDescent="0.25">
      <c r="J15" s="75" t="s">
        <v>101</v>
      </c>
      <c r="K15" s="24">
        <v>7.8267000000000699</v>
      </c>
      <c r="L15" s="24">
        <v>8.6228722182409125</v>
      </c>
      <c r="M15" s="24">
        <v>7.8267000000000699</v>
      </c>
      <c r="N15" s="24">
        <v>8.6785325217661224</v>
      </c>
      <c r="O15" s="24">
        <v>7.8267000000000699</v>
      </c>
      <c r="P15" s="24">
        <v>8.6785325217661171</v>
      </c>
      <c r="Q15" s="24">
        <v>7.8267000000000699</v>
      </c>
      <c r="R15" s="24">
        <v>8.6785325217661207</v>
      </c>
      <c r="S15" s="24"/>
      <c r="T15" s="24"/>
      <c r="U15" s="24"/>
      <c r="V15" s="24"/>
      <c r="W15" s="24"/>
      <c r="X15" s="24"/>
    </row>
    <row r="16" spans="2:94" x14ac:dyDescent="0.25">
      <c r="J16" s="75" t="s">
        <v>103</v>
      </c>
      <c r="K16" s="24">
        <v>1980</v>
      </c>
      <c r="L16" s="24">
        <v>2143.2302964322362</v>
      </c>
      <c r="M16" s="24">
        <v>1980</v>
      </c>
      <c r="N16" s="24">
        <v>2139.3248312190212</v>
      </c>
      <c r="O16" s="24">
        <v>1980</v>
      </c>
      <c r="P16" s="24">
        <v>2139.3248312190158</v>
      </c>
      <c r="Q16" s="24">
        <v>1980</v>
      </c>
      <c r="R16" s="24">
        <v>2139.3248312190181</v>
      </c>
      <c r="S16" s="24"/>
      <c r="T16" s="24"/>
      <c r="U16" s="24"/>
      <c r="V16" s="24"/>
      <c r="W16" s="24"/>
      <c r="X16" s="24"/>
    </row>
    <row r="17" spans="10:24" x14ac:dyDescent="0.25">
      <c r="J17" s="75" t="s">
        <v>109</v>
      </c>
      <c r="K17" s="24">
        <v>399.80370111548336</v>
      </c>
      <c r="L17" s="24">
        <v>411.52605171619979</v>
      </c>
      <c r="M17" s="24">
        <v>385.68208664514543</v>
      </c>
      <c r="N17" s="24">
        <v>379.61436898633889</v>
      </c>
      <c r="O17" s="24">
        <v>399.80370111548336</v>
      </c>
      <c r="P17" s="24">
        <v>407.92218660088577</v>
      </c>
      <c r="Q17" s="24">
        <v>399.80370111548336</v>
      </c>
      <c r="R17" s="24">
        <v>407.92218660088633</v>
      </c>
      <c r="S17" s="24"/>
      <c r="T17" s="24"/>
      <c r="U17" s="24"/>
      <c r="V17" s="24"/>
      <c r="W17" s="24"/>
      <c r="X17" s="24"/>
    </row>
    <row r="18" spans="10:24" x14ac:dyDescent="0.25">
      <c r="J18" s="75"/>
    </row>
  </sheetData>
  <phoneticPr fontId="14" type="noConversion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B5:CP16"/>
  <sheetViews>
    <sheetView topLeftCell="I1" workbookViewId="0">
      <pane xSplit="2" ySplit="7" topLeftCell="K8" activePane="bottomRight" state="frozen"/>
      <selection pane="topRight"/>
      <selection pane="bottomLeft"/>
      <selection pane="bottomRight" activeCell="N16" sqref="N16"/>
    </sheetView>
  </sheetViews>
  <sheetFormatPr defaultColWidth="9" defaultRowHeight="15" x14ac:dyDescent="0.25"/>
  <cols>
    <col min="1" max="9" width="9" style="20"/>
    <col min="10" max="10" width="49.125" style="20" customWidth="1"/>
    <col min="11" max="24" width="14.125" style="20"/>
    <col min="25" max="16384" width="9" style="20"/>
  </cols>
  <sheetData>
    <row r="5" spans="2:94" x14ac:dyDescent="0.25"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</row>
    <row r="6" spans="2:94" ht="12.75" customHeight="1" x14ac:dyDescent="0.25">
      <c r="B6" s="25" t="s">
        <v>73</v>
      </c>
      <c r="K6" s="73" t="s">
        <v>73</v>
      </c>
      <c r="L6" s="71" t="s">
        <v>73</v>
      </c>
      <c r="M6" s="71" t="s">
        <v>315</v>
      </c>
      <c r="N6" s="71" t="s">
        <v>315</v>
      </c>
      <c r="O6" s="71" t="s">
        <v>316</v>
      </c>
      <c r="P6" s="71" t="s">
        <v>316</v>
      </c>
      <c r="Q6" s="71" t="s">
        <v>317</v>
      </c>
      <c r="R6" s="71" t="s">
        <v>317</v>
      </c>
      <c r="S6" s="71"/>
      <c r="T6" s="71"/>
      <c r="U6" s="71"/>
      <c r="V6" s="71"/>
      <c r="W6" s="73"/>
      <c r="X6" s="73"/>
      <c r="Y6" s="75"/>
      <c r="Z6" s="75"/>
      <c r="AA6" s="75"/>
      <c r="AB6" s="75"/>
      <c r="AC6" s="75"/>
      <c r="AD6" s="75"/>
      <c r="AE6" s="75"/>
      <c r="AF6" s="75"/>
      <c r="AG6" s="75"/>
      <c r="AH6" s="75"/>
      <c r="AI6" s="75"/>
      <c r="AJ6" s="75"/>
      <c r="AK6" s="75"/>
      <c r="AL6" s="75"/>
      <c r="AM6" s="75"/>
      <c r="AN6" s="75"/>
      <c r="AO6" s="75"/>
      <c r="AP6" s="75"/>
      <c r="AQ6" s="75"/>
      <c r="AR6" s="75"/>
      <c r="AS6" s="75"/>
      <c r="AT6" s="75"/>
      <c r="AU6" s="75"/>
      <c r="AV6" s="75"/>
      <c r="AW6" s="75"/>
      <c r="AX6" s="75"/>
      <c r="AY6" s="75"/>
      <c r="AZ6" s="75"/>
      <c r="BA6" s="75"/>
      <c r="BB6" s="75"/>
      <c r="BC6" s="75"/>
      <c r="BD6" s="75"/>
      <c r="BE6" s="75"/>
      <c r="BF6" s="75"/>
      <c r="BG6" s="75"/>
      <c r="BH6" s="75"/>
      <c r="BI6" s="75"/>
      <c r="BJ6" s="75"/>
      <c r="BK6" s="75"/>
      <c r="BL6" s="75"/>
      <c r="BM6" s="75"/>
      <c r="BN6" s="75"/>
      <c r="BO6" s="75"/>
      <c r="BP6" s="75"/>
      <c r="BQ6" s="75"/>
      <c r="BR6" s="75"/>
      <c r="BS6" s="75"/>
      <c r="BT6" s="75"/>
      <c r="BU6" s="75"/>
      <c r="BV6" s="75"/>
      <c r="BW6" s="75"/>
      <c r="BX6" s="75"/>
      <c r="BY6" s="75"/>
      <c r="BZ6" s="75"/>
      <c r="CA6" s="75"/>
      <c r="CB6" s="75"/>
      <c r="CC6" s="75"/>
      <c r="CD6" s="75"/>
      <c r="CE6" s="75"/>
      <c r="CF6" s="75"/>
      <c r="CG6" s="75"/>
      <c r="CH6" s="75"/>
      <c r="CI6" s="75"/>
      <c r="CJ6" s="75"/>
      <c r="CK6" s="75"/>
      <c r="CL6" s="75"/>
      <c r="CM6" s="75"/>
      <c r="CN6" s="75"/>
      <c r="CO6" s="75"/>
      <c r="CP6" s="75"/>
    </row>
    <row r="7" spans="2:94" x14ac:dyDescent="0.25">
      <c r="B7" s="25" t="s">
        <v>74</v>
      </c>
      <c r="C7" s="25"/>
      <c r="D7" s="25"/>
      <c r="E7" s="25"/>
      <c r="F7" s="25"/>
      <c r="G7" s="25"/>
      <c r="H7" s="27"/>
      <c r="K7" s="73" t="s">
        <v>76</v>
      </c>
      <c r="L7" s="71" t="s">
        <v>77</v>
      </c>
      <c r="M7" s="71" t="s">
        <v>76</v>
      </c>
      <c r="N7" s="71" t="s">
        <v>77</v>
      </c>
      <c r="O7" s="71" t="s">
        <v>76</v>
      </c>
      <c r="P7" s="71" t="s">
        <v>77</v>
      </c>
      <c r="Q7" s="71" t="s">
        <v>76</v>
      </c>
      <c r="R7" s="71" t="s">
        <v>77</v>
      </c>
      <c r="S7" s="71"/>
      <c r="T7" s="71"/>
      <c r="U7" s="71"/>
      <c r="V7" s="71"/>
      <c r="W7" s="73"/>
      <c r="X7" s="73"/>
      <c r="Y7" s="75"/>
      <c r="Z7" s="75"/>
      <c r="AA7" s="75"/>
      <c r="AB7" s="75"/>
      <c r="AC7" s="75"/>
      <c r="AD7" s="75"/>
      <c r="AE7" s="75"/>
      <c r="AF7" s="75"/>
      <c r="AG7" s="75"/>
      <c r="AH7" s="75"/>
      <c r="AI7" s="75"/>
      <c r="AJ7" s="75"/>
      <c r="AK7" s="75"/>
      <c r="AL7" s="75"/>
      <c r="AM7" s="75"/>
      <c r="AN7" s="75"/>
      <c r="AO7" s="75"/>
      <c r="AP7" s="75"/>
      <c r="AQ7" s="75"/>
      <c r="AR7" s="75"/>
      <c r="AS7" s="75"/>
      <c r="AT7" s="75"/>
      <c r="AU7" s="75"/>
      <c r="AV7" s="75"/>
      <c r="AW7" s="75"/>
      <c r="AX7" s="75"/>
      <c r="AY7" s="75"/>
      <c r="AZ7" s="75"/>
      <c r="BA7" s="75"/>
      <c r="BB7" s="75"/>
      <c r="BC7" s="75"/>
      <c r="BD7" s="75"/>
      <c r="BE7" s="75"/>
      <c r="BF7" s="75"/>
      <c r="BG7" s="75"/>
      <c r="BH7" s="75"/>
      <c r="BI7" s="75"/>
      <c r="BJ7" s="75"/>
      <c r="BK7" s="75"/>
      <c r="BL7" s="75"/>
      <c r="BM7" s="75"/>
      <c r="BN7" s="75"/>
      <c r="BO7" s="75"/>
      <c r="BP7" s="75"/>
      <c r="BQ7" s="75"/>
      <c r="BR7" s="75"/>
      <c r="BS7" s="75"/>
      <c r="BT7" s="75"/>
      <c r="BU7" s="75"/>
      <c r="BV7" s="75"/>
      <c r="BW7" s="75"/>
      <c r="BX7" s="75"/>
      <c r="BY7" s="75"/>
      <c r="BZ7" s="75"/>
      <c r="CA7" s="75"/>
      <c r="CB7" s="75"/>
      <c r="CC7" s="75"/>
      <c r="CD7" s="75"/>
      <c r="CE7" s="75"/>
      <c r="CF7" s="75"/>
      <c r="CG7" s="75"/>
      <c r="CH7" s="75"/>
      <c r="CI7" s="75"/>
      <c r="CJ7" s="75"/>
      <c r="CK7" s="75"/>
      <c r="CL7" s="75"/>
      <c r="CM7" s="75"/>
      <c r="CN7" s="75"/>
      <c r="CO7" s="75"/>
      <c r="CP7" s="75"/>
    </row>
    <row r="8" spans="2:94" x14ac:dyDescent="0.25">
      <c r="J8" s="75" t="s">
        <v>83</v>
      </c>
      <c r="K8" s="24">
        <v>980.76</v>
      </c>
      <c r="L8" s="24">
        <v>1008.7481483685565</v>
      </c>
      <c r="M8" s="24">
        <v>980.76</v>
      </c>
      <c r="N8" s="24">
        <v>1015.5681782110315</v>
      </c>
      <c r="O8" s="24">
        <v>980.76</v>
      </c>
      <c r="P8" s="24">
        <v>1015.5681782110302</v>
      </c>
      <c r="Q8" s="24">
        <v>980.76</v>
      </c>
      <c r="R8" s="24">
        <v>1015.56817821103</v>
      </c>
      <c r="S8" s="24"/>
      <c r="T8" s="24"/>
      <c r="U8" s="24"/>
      <c r="V8" s="24"/>
      <c r="W8" s="24"/>
      <c r="X8" s="24"/>
    </row>
    <row r="9" spans="2:94" x14ac:dyDescent="0.25">
      <c r="J9" s="75" t="s">
        <v>85</v>
      </c>
      <c r="K9" s="24">
        <v>772.2</v>
      </c>
      <c r="L9" s="24">
        <v>820.63494497742192</v>
      </c>
      <c r="M9" s="24">
        <v>772.2</v>
      </c>
      <c r="N9" s="24">
        <v>827.62924353824769</v>
      </c>
      <c r="O9" s="24">
        <v>772.2</v>
      </c>
      <c r="P9" s="24">
        <v>827.6292435382461</v>
      </c>
      <c r="Q9" s="24">
        <v>772.2</v>
      </c>
      <c r="R9" s="24">
        <v>827.6292435382461</v>
      </c>
      <c r="S9" s="24"/>
      <c r="T9" s="24"/>
      <c r="U9" s="24"/>
      <c r="V9" s="24"/>
      <c r="W9" s="24"/>
      <c r="X9" s="24"/>
    </row>
    <row r="10" spans="2:94" x14ac:dyDescent="0.25">
      <c r="J10" s="75" t="s">
        <v>87</v>
      </c>
      <c r="K10" s="24">
        <v>208.56</v>
      </c>
      <c r="L10" s="24">
        <v>188.11320339113453</v>
      </c>
      <c r="M10" s="24">
        <v>208.56</v>
      </c>
      <c r="N10" s="24">
        <v>187.93893467278383</v>
      </c>
      <c r="O10" s="24">
        <v>208.56</v>
      </c>
      <c r="P10" s="24">
        <v>187.93893467278406</v>
      </c>
      <c r="Q10" s="24">
        <v>208.56</v>
      </c>
      <c r="R10" s="24">
        <v>187.93893467278394</v>
      </c>
      <c r="S10" s="24"/>
      <c r="T10" s="24"/>
      <c r="U10" s="24"/>
      <c r="V10" s="24"/>
      <c r="W10" s="24"/>
      <c r="X10" s="24"/>
    </row>
    <row r="11" spans="2:94" x14ac:dyDescent="0.25">
      <c r="J11" s="75" t="s">
        <v>89</v>
      </c>
      <c r="K11" s="24">
        <v>980.76000000000022</v>
      </c>
      <c r="L11" s="24">
        <v>1008.7481483685565</v>
      </c>
      <c r="M11" s="24">
        <v>980.76000000000022</v>
      </c>
      <c r="N11" s="24">
        <v>1015.5681782110315</v>
      </c>
      <c r="O11" s="24">
        <v>980.76000000000022</v>
      </c>
      <c r="P11" s="24">
        <v>1015.5681782110302</v>
      </c>
      <c r="Q11" s="24">
        <v>980.76000000000022</v>
      </c>
      <c r="R11" s="24">
        <v>1015.56817821103</v>
      </c>
      <c r="S11" s="24"/>
      <c r="T11" s="24"/>
      <c r="U11" s="24"/>
      <c r="V11" s="24"/>
      <c r="W11" s="24"/>
      <c r="X11" s="24"/>
    </row>
    <row r="12" spans="2:94" x14ac:dyDescent="0.25">
      <c r="J12" s="75" t="s">
        <v>91</v>
      </c>
      <c r="K12" s="24">
        <v>7.1179950031675085</v>
      </c>
      <c r="L12" s="24">
        <v>7.4000658688003433</v>
      </c>
      <c r="M12" s="24">
        <v>7.1179950031675085</v>
      </c>
      <c r="N12" s="24">
        <v>7.4503559234773036</v>
      </c>
      <c r="O12" s="24">
        <v>7.1179950031675085</v>
      </c>
      <c r="P12" s="24">
        <v>7.4503559234773</v>
      </c>
      <c r="Q12" s="24">
        <v>7.1179950031675085</v>
      </c>
      <c r="R12" s="24">
        <v>7.4503559234773</v>
      </c>
      <c r="S12" s="24"/>
      <c r="T12" s="24"/>
      <c r="U12" s="24"/>
      <c r="V12" s="24"/>
      <c r="W12" s="24"/>
      <c r="X12" s="24"/>
    </row>
    <row r="13" spans="2:94" x14ac:dyDescent="0.25">
      <c r="J13" s="75" t="s">
        <v>101</v>
      </c>
      <c r="K13" s="24">
        <v>-19.240000000000499</v>
      </c>
      <c r="L13" s="24">
        <v>-20.446796608865586</v>
      </c>
      <c r="M13" s="24">
        <v>-19.240000000000499</v>
      </c>
      <c r="N13" s="24">
        <v>-20.621065327216133</v>
      </c>
      <c r="O13" s="24">
        <v>-19.240000000000499</v>
      </c>
      <c r="P13" s="24">
        <v>-20.621065327216051</v>
      </c>
      <c r="Q13" s="24">
        <v>-19.240000000000499</v>
      </c>
      <c r="R13" s="24">
        <v>-20.621065327216051</v>
      </c>
      <c r="S13" s="24"/>
      <c r="T13" s="24"/>
      <c r="U13" s="24"/>
      <c r="V13" s="24"/>
      <c r="W13" s="24"/>
      <c r="X13" s="24"/>
    </row>
    <row r="14" spans="2:94" x14ac:dyDescent="0.25">
      <c r="J14" s="75" t="s">
        <v>103</v>
      </c>
      <c r="K14" s="24">
        <v>1000.0000000000007</v>
      </c>
      <c r="L14" s="24">
        <v>1029.194944977422</v>
      </c>
      <c r="M14" s="24">
        <v>1000.0000000000007</v>
      </c>
      <c r="N14" s="24">
        <v>1036.1892435382476</v>
      </c>
      <c r="O14" s="24">
        <v>1000.0000000000007</v>
      </c>
      <c r="P14" s="24">
        <v>1036.1892435382463</v>
      </c>
      <c r="Q14" s="24">
        <v>1000.0000000000007</v>
      </c>
      <c r="R14" s="24">
        <v>1036.189243538246</v>
      </c>
      <c r="S14" s="24"/>
      <c r="T14" s="24"/>
      <c r="U14" s="24"/>
      <c r="V14" s="24"/>
      <c r="W14" s="24"/>
      <c r="X14" s="24"/>
    </row>
    <row r="15" spans="2:94" x14ac:dyDescent="0.25">
      <c r="J15" s="75" t="s">
        <v>105</v>
      </c>
      <c r="K15" s="24">
        <v>172.43304405654521</v>
      </c>
      <c r="L15" s="24">
        <v>179.26619552393038</v>
      </c>
      <c r="M15" s="24">
        <v>172.43304405654521</v>
      </c>
      <c r="N15" s="24">
        <v>180.48446937911845</v>
      </c>
      <c r="O15" s="24">
        <v>172.43304405654521</v>
      </c>
      <c r="P15" s="24">
        <v>180.48446937911834</v>
      </c>
      <c r="Q15" s="24">
        <v>172.43304405654521</v>
      </c>
      <c r="R15" s="24">
        <v>180.48446937911834</v>
      </c>
      <c r="S15" s="24"/>
      <c r="T15" s="24"/>
      <c r="U15" s="24"/>
      <c r="V15" s="24"/>
      <c r="W15" s="24"/>
      <c r="X15" s="24"/>
    </row>
    <row r="16" spans="2:94" x14ac:dyDescent="0.25">
      <c r="J16" s="75" t="s">
        <v>107</v>
      </c>
      <c r="K16" s="24">
        <v>1000</v>
      </c>
      <c r="L16" s="24">
        <v>1029.194944977422</v>
      </c>
      <c r="M16" s="24">
        <v>1000</v>
      </c>
      <c r="N16" s="24">
        <v>1036.1892435382476</v>
      </c>
      <c r="O16" s="24">
        <v>1000</v>
      </c>
      <c r="P16" s="24">
        <v>1036.1892435382472</v>
      </c>
      <c r="Q16" s="24">
        <v>1000</v>
      </c>
      <c r="R16" s="24">
        <v>1036.1892435382472</v>
      </c>
      <c r="S16" s="24"/>
      <c r="T16" s="24"/>
      <c r="U16" s="24"/>
      <c r="V16" s="24"/>
      <c r="W16" s="24"/>
      <c r="X16" s="24"/>
    </row>
  </sheetData>
  <phoneticPr fontId="14" type="noConversion"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B6:CP14"/>
  <sheetViews>
    <sheetView topLeftCell="J1" workbookViewId="0">
      <pane xSplit="1" ySplit="7" topLeftCell="K8" activePane="bottomRight" state="frozen"/>
      <selection pane="topRight"/>
      <selection pane="bottomLeft"/>
      <selection pane="bottomRight" activeCell="O17" sqref="O17"/>
    </sheetView>
  </sheetViews>
  <sheetFormatPr defaultColWidth="9" defaultRowHeight="15" x14ac:dyDescent="0.25"/>
  <cols>
    <col min="1" max="1" width="9" style="20"/>
    <col min="2" max="2" width="11.625" style="20" customWidth="1"/>
    <col min="3" max="9" width="9" style="20"/>
    <col min="10" max="10" width="19.125" style="20" customWidth="1"/>
    <col min="11" max="12" width="10.375" style="20" customWidth="1"/>
    <col min="13" max="24" width="14.125" style="20" customWidth="1"/>
    <col min="25" max="16384" width="9" style="20"/>
  </cols>
  <sheetData>
    <row r="6" spans="2:94" ht="12.75" customHeight="1" x14ac:dyDescent="0.25">
      <c r="B6" s="25" t="s">
        <v>73</v>
      </c>
      <c r="K6" s="73" t="s">
        <v>73</v>
      </c>
      <c r="L6" s="71" t="s">
        <v>73</v>
      </c>
      <c r="M6" s="71" t="s">
        <v>315</v>
      </c>
      <c r="N6" s="71" t="s">
        <v>315</v>
      </c>
      <c r="O6" s="71" t="s">
        <v>316</v>
      </c>
      <c r="P6" s="71" t="s">
        <v>316</v>
      </c>
      <c r="Q6" s="71" t="s">
        <v>317</v>
      </c>
      <c r="R6" s="71" t="s">
        <v>317</v>
      </c>
      <c r="S6" s="71"/>
      <c r="T6" s="71"/>
      <c r="U6" s="71"/>
      <c r="V6" s="71"/>
      <c r="W6" s="73"/>
      <c r="X6" s="73"/>
      <c r="Y6" s="75"/>
      <c r="Z6" s="75"/>
      <c r="AA6" s="75"/>
      <c r="AB6" s="75"/>
      <c r="AC6" s="75"/>
      <c r="AD6" s="75"/>
      <c r="AE6" s="75"/>
      <c r="AF6" s="75"/>
      <c r="AG6" s="75"/>
      <c r="AH6" s="75"/>
      <c r="AI6" s="75"/>
      <c r="AJ6" s="75"/>
      <c r="AK6" s="75"/>
      <c r="AL6" s="75"/>
      <c r="AM6" s="75"/>
      <c r="AN6" s="75"/>
      <c r="AO6" s="75"/>
      <c r="AP6" s="75"/>
      <c r="AQ6" s="75"/>
      <c r="AR6" s="75"/>
      <c r="AS6" s="75"/>
      <c r="AT6" s="75"/>
      <c r="AU6" s="75"/>
      <c r="AV6" s="75"/>
      <c r="AW6" s="75"/>
      <c r="AX6" s="75"/>
      <c r="AY6" s="75"/>
      <c r="AZ6" s="75"/>
      <c r="BA6" s="75"/>
      <c r="BB6" s="75"/>
      <c r="BC6" s="75"/>
      <c r="BD6" s="75"/>
      <c r="BE6" s="75"/>
      <c r="BF6" s="75"/>
      <c r="BG6" s="75"/>
      <c r="BH6" s="75"/>
      <c r="BI6" s="75"/>
      <c r="BJ6" s="75"/>
      <c r="BK6" s="75"/>
      <c r="BL6" s="75"/>
      <c r="BM6" s="75"/>
      <c r="BN6" s="75"/>
      <c r="BO6" s="75"/>
      <c r="BP6" s="75"/>
      <c r="BQ6" s="75"/>
      <c r="BR6" s="75"/>
      <c r="BS6" s="75"/>
      <c r="BT6" s="75"/>
      <c r="BU6" s="75"/>
      <c r="BV6" s="75"/>
      <c r="BW6" s="75"/>
      <c r="BX6" s="75"/>
      <c r="BY6" s="75"/>
      <c r="BZ6" s="75"/>
      <c r="CA6" s="75"/>
      <c r="CB6" s="75"/>
      <c r="CC6" s="75"/>
      <c r="CD6" s="75"/>
      <c r="CE6" s="75"/>
      <c r="CF6" s="75"/>
      <c r="CG6" s="75"/>
      <c r="CH6" s="75"/>
      <c r="CI6" s="75"/>
      <c r="CJ6" s="75"/>
      <c r="CK6" s="75"/>
      <c r="CL6" s="75"/>
      <c r="CM6" s="75"/>
      <c r="CN6" s="75"/>
      <c r="CO6" s="75"/>
      <c r="CP6" s="75"/>
    </row>
    <row r="7" spans="2:94" x14ac:dyDescent="0.25">
      <c r="B7" s="25" t="s">
        <v>74</v>
      </c>
      <c r="C7" s="25"/>
      <c r="D7" s="25"/>
      <c r="E7" s="25"/>
      <c r="F7" s="25"/>
      <c r="G7" s="25"/>
      <c r="H7" s="27"/>
      <c r="K7" s="73" t="s">
        <v>76</v>
      </c>
      <c r="L7" s="71" t="s">
        <v>77</v>
      </c>
      <c r="M7" s="71" t="s">
        <v>76</v>
      </c>
      <c r="N7" s="71" t="s">
        <v>77</v>
      </c>
      <c r="O7" s="71" t="s">
        <v>76</v>
      </c>
      <c r="P7" s="71" t="s">
        <v>77</v>
      </c>
      <c r="Q7" s="71" t="s">
        <v>76</v>
      </c>
      <c r="R7" s="71" t="s">
        <v>77</v>
      </c>
      <c r="S7" s="71"/>
      <c r="T7" s="71"/>
      <c r="U7" s="71"/>
      <c r="V7" s="71"/>
      <c r="W7" s="73"/>
      <c r="X7" s="73"/>
      <c r="Y7" s="75"/>
      <c r="Z7" s="75"/>
      <c r="AA7" s="75"/>
      <c r="AB7" s="75"/>
      <c r="AC7" s="75"/>
      <c r="AD7" s="75"/>
      <c r="AE7" s="75"/>
      <c r="AF7" s="75"/>
      <c r="AG7" s="75"/>
      <c r="AH7" s="75"/>
      <c r="AI7" s="75"/>
      <c r="AJ7" s="75"/>
      <c r="AK7" s="75"/>
      <c r="AL7" s="75"/>
      <c r="AM7" s="75"/>
      <c r="AN7" s="75"/>
      <c r="AO7" s="75"/>
      <c r="AP7" s="75"/>
      <c r="AQ7" s="75"/>
      <c r="AR7" s="75"/>
      <c r="AS7" s="75"/>
      <c r="AT7" s="75"/>
      <c r="AU7" s="75"/>
      <c r="AV7" s="75"/>
      <c r="AW7" s="75"/>
      <c r="AX7" s="75"/>
      <c r="AY7" s="75"/>
      <c r="AZ7" s="75"/>
      <c r="BA7" s="75"/>
      <c r="BB7" s="75"/>
      <c r="BC7" s="75"/>
      <c r="BD7" s="75"/>
      <c r="BE7" s="75"/>
      <c r="BF7" s="75"/>
      <c r="BG7" s="75"/>
      <c r="BH7" s="75"/>
      <c r="BI7" s="75"/>
      <c r="BJ7" s="75"/>
      <c r="BK7" s="75"/>
      <c r="BL7" s="75"/>
      <c r="BM7" s="75"/>
      <c r="BN7" s="75"/>
      <c r="BO7" s="75"/>
      <c r="BP7" s="75"/>
      <c r="BQ7" s="75"/>
      <c r="BR7" s="75"/>
      <c r="BS7" s="75"/>
      <c r="BT7" s="75"/>
      <c r="BU7" s="75"/>
      <c r="BV7" s="75"/>
      <c r="BW7" s="75"/>
      <c r="BX7" s="75"/>
      <c r="BY7" s="75"/>
      <c r="BZ7" s="75"/>
      <c r="CA7" s="75"/>
      <c r="CB7" s="75"/>
      <c r="CC7" s="75"/>
      <c r="CD7" s="75"/>
      <c r="CE7" s="75"/>
      <c r="CF7" s="75"/>
      <c r="CG7" s="75"/>
      <c r="CH7" s="75"/>
      <c r="CI7" s="75"/>
      <c r="CJ7" s="75"/>
      <c r="CK7" s="75"/>
      <c r="CL7" s="75"/>
      <c r="CM7" s="75"/>
      <c r="CN7" s="75"/>
      <c r="CO7" s="75"/>
      <c r="CP7" s="75"/>
    </row>
    <row r="8" spans="2:94" x14ac:dyDescent="0.25">
      <c r="J8" s="75" t="s">
        <v>83</v>
      </c>
      <c r="K8" s="39">
        <v>1445.1200000000001</v>
      </c>
      <c r="L8" s="39">
        <v>1449.7550302565537</v>
      </c>
      <c r="M8" s="39">
        <v>1445.1200000000001</v>
      </c>
      <c r="N8" s="39">
        <v>1447.6174869826575</v>
      </c>
      <c r="O8" s="39">
        <v>1445.1200000000001</v>
      </c>
      <c r="P8" s="39">
        <v>1447.6174869826557</v>
      </c>
      <c r="Q8" s="39">
        <v>1445.1200000000001</v>
      </c>
      <c r="R8" s="39">
        <v>1447.6174869826568</v>
      </c>
      <c r="S8" s="39"/>
      <c r="T8" s="39"/>
      <c r="U8" s="39"/>
      <c r="V8" s="39"/>
      <c r="W8" s="39"/>
      <c r="X8" s="39"/>
    </row>
    <row r="9" spans="2:94" x14ac:dyDescent="0.25">
      <c r="J9" s="75" t="s">
        <v>85</v>
      </c>
      <c r="K9" s="39">
        <v>1168.4000000000001</v>
      </c>
      <c r="L9" s="39">
        <v>1255.8693062641237</v>
      </c>
      <c r="M9" s="39">
        <v>1168.4000000000001</v>
      </c>
      <c r="N9" s="39">
        <v>1253.5808196296618</v>
      </c>
      <c r="O9" s="39">
        <v>1168.4000000000001</v>
      </c>
      <c r="P9" s="39">
        <v>1253.5808196296598</v>
      </c>
      <c r="Q9" s="39">
        <v>1168.4000000000001</v>
      </c>
      <c r="R9" s="39">
        <v>1253.5808196296612</v>
      </c>
      <c r="S9" s="39"/>
      <c r="T9" s="39"/>
      <c r="U9" s="39"/>
      <c r="V9" s="39"/>
      <c r="W9" s="39"/>
      <c r="X9" s="39"/>
    </row>
    <row r="10" spans="2:94" x14ac:dyDescent="0.25">
      <c r="J10" s="75" t="s">
        <v>87</v>
      </c>
      <c r="K10" s="39">
        <v>276.72000000000003</v>
      </c>
      <c r="L10" s="39">
        <v>193.88572399243014</v>
      </c>
      <c r="M10" s="39">
        <v>276.72000000000003</v>
      </c>
      <c r="N10" s="39">
        <v>194.03666735299566</v>
      </c>
      <c r="O10" s="39">
        <v>276.72000000000003</v>
      </c>
      <c r="P10" s="39">
        <v>194.03666735299589</v>
      </c>
      <c r="Q10" s="39">
        <v>276.72000000000003</v>
      </c>
      <c r="R10" s="39">
        <v>194.03666735299566</v>
      </c>
      <c r="S10" s="39"/>
      <c r="T10" s="39"/>
      <c r="U10" s="39"/>
      <c r="V10" s="39"/>
      <c r="W10" s="39"/>
      <c r="X10" s="39"/>
    </row>
    <row r="11" spans="2:94" x14ac:dyDescent="0.25">
      <c r="J11" s="75" t="s">
        <v>89</v>
      </c>
      <c r="K11" s="39">
        <v>1445.12</v>
      </c>
      <c r="L11" s="39">
        <v>1449.7550302565539</v>
      </c>
      <c r="M11" s="39">
        <v>1445.12</v>
      </c>
      <c r="N11" s="39">
        <v>1447.6174869826575</v>
      </c>
      <c r="O11" s="39">
        <v>1445.12</v>
      </c>
      <c r="P11" s="39">
        <v>1447.6174869826557</v>
      </c>
      <c r="Q11" s="39">
        <v>1445.12</v>
      </c>
      <c r="R11" s="39">
        <v>1447.6174869826568</v>
      </c>
      <c r="S11" s="39"/>
      <c r="T11" s="39"/>
      <c r="U11" s="39"/>
      <c r="V11" s="39"/>
      <c r="W11" s="39"/>
      <c r="X11" s="39"/>
    </row>
    <row r="12" spans="2:94" x14ac:dyDescent="0.25">
      <c r="J12" s="75" t="s">
        <v>95</v>
      </c>
      <c r="K12" s="39">
        <v>1522.1849999999999</v>
      </c>
      <c r="L12" s="39">
        <v>1532.5893062641237</v>
      </c>
      <c r="M12" s="39">
        <v>1522.1849999999999</v>
      </c>
      <c r="N12" s="39">
        <v>1530.3008196296619</v>
      </c>
      <c r="O12" s="39">
        <v>1522.1849999999999</v>
      </c>
      <c r="P12" s="39">
        <v>1530.3008196296603</v>
      </c>
      <c r="Q12" s="39">
        <v>1522.1849999999999</v>
      </c>
      <c r="R12" s="39">
        <v>1530.3008196296614</v>
      </c>
      <c r="S12" s="39"/>
      <c r="T12" s="39"/>
      <c r="U12" s="39"/>
      <c r="V12" s="39"/>
      <c r="W12" s="39"/>
      <c r="X12" s="39"/>
    </row>
    <row r="13" spans="2:94" x14ac:dyDescent="0.25">
      <c r="J13" s="75" t="s">
        <v>101</v>
      </c>
      <c r="K13" s="39">
        <v>-77.065000000000097</v>
      </c>
      <c r="L13" s="39">
        <v>-82.83427600757004</v>
      </c>
      <c r="M13" s="39">
        <v>-77.065000000000097</v>
      </c>
      <c r="N13" s="39">
        <v>-82.683332647004463</v>
      </c>
      <c r="O13" s="39">
        <v>-77.065000000000097</v>
      </c>
      <c r="P13" s="39">
        <v>-82.683332647004292</v>
      </c>
      <c r="Q13" s="39">
        <v>-77.065000000000097</v>
      </c>
      <c r="R13" s="39">
        <v>-82.683332647004391</v>
      </c>
      <c r="S13" s="39"/>
      <c r="T13" s="39"/>
      <c r="U13" s="39"/>
      <c r="V13" s="39"/>
      <c r="W13" s="39"/>
      <c r="X13" s="39"/>
    </row>
    <row r="14" spans="2:94" x14ac:dyDescent="0.25">
      <c r="J14" s="75" t="s">
        <v>103</v>
      </c>
      <c r="K14" s="20">
        <v>1522.1849999999999</v>
      </c>
      <c r="L14" s="20">
        <v>1532.5893062641239</v>
      </c>
      <c r="M14" s="20">
        <v>1522.1849999999999</v>
      </c>
      <c r="N14" s="20">
        <v>1530.3008196296619</v>
      </c>
      <c r="O14" s="20">
        <v>1522.1849999999999</v>
      </c>
      <c r="P14" s="20">
        <v>1530.3008196296601</v>
      </c>
      <c r="Q14" s="20">
        <v>1522.1849999999999</v>
      </c>
      <c r="R14" s="20">
        <v>1530.3008196296612</v>
      </c>
    </row>
  </sheetData>
  <phoneticPr fontId="14" type="noConversion"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B5:CP22"/>
  <sheetViews>
    <sheetView topLeftCell="I1" zoomScale="130" zoomScaleNormal="130" workbookViewId="0">
      <pane xSplit="2" ySplit="7" topLeftCell="K8" activePane="bottomRight" state="frozen"/>
      <selection pane="topRight"/>
      <selection pane="bottomLeft"/>
      <selection pane="bottomRight" activeCell="L5" sqref="L5"/>
    </sheetView>
  </sheetViews>
  <sheetFormatPr defaultColWidth="9" defaultRowHeight="15" x14ac:dyDescent="0.25"/>
  <cols>
    <col min="1" max="9" width="9" style="24"/>
    <col min="10" max="10" width="40" style="24" customWidth="1"/>
    <col min="11" max="11" width="15.375" style="24"/>
    <col min="12" max="24" width="14.125" style="24"/>
    <col min="25" max="16384" width="9" style="24"/>
  </cols>
  <sheetData>
    <row r="5" spans="2:94" x14ac:dyDescent="0.25">
      <c r="L5" s="22">
        <f>L11/L10</f>
        <v>1</v>
      </c>
    </row>
    <row r="6" spans="2:94" s="38" customFormat="1" ht="12.75" customHeight="1" x14ac:dyDescent="0.25">
      <c r="B6" s="38" t="s">
        <v>73</v>
      </c>
      <c r="K6" s="79" t="s">
        <v>73</v>
      </c>
      <c r="L6" s="79" t="s">
        <v>73</v>
      </c>
      <c r="M6" s="79" t="s">
        <v>315</v>
      </c>
      <c r="N6" s="79" t="s">
        <v>315</v>
      </c>
      <c r="O6" s="79" t="s">
        <v>316</v>
      </c>
      <c r="P6" s="79" t="s">
        <v>316</v>
      </c>
      <c r="Q6" s="79" t="s">
        <v>317</v>
      </c>
      <c r="R6" s="79" t="s">
        <v>317</v>
      </c>
      <c r="S6" s="79"/>
      <c r="T6" s="79"/>
      <c r="U6" s="79"/>
      <c r="V6" s="79"/>
      <c r="W6" s="79"/>
      <c r="X6" s="79"/>
      <c r="Y6" s="79"/>
      <c r="Z6" s="79"/>
      <c r="AA6" s="79"/>
      <c r="AB6" s="79"/>
      <c r="AC6" s="79"/>
      <c r="AD6" s="79"/>
      <c r="AE6" s="79"/>
      <c r="AF6" s="79"/>
      <c r="AG6" s="79"/>
      <c r="AH6" s="79"/>
      <c r="AI6" s="79"/>
      <c r="AJ6" s="79"/>
      <c r="AK6" s="79"/>
      <c r="AL6" s="79"/>
      <c r="AM6" s="79"/>
      <c r="AN6" s="79"/>
      <c r="AO6" s="79"/>
      <c r="AP6" s="79"/>
      <c r="AQ6" s="79"/>
      <c r="AR6" s="79"/>
      <c r="AS6" s="79"/>
      <c r="AT6" s="79"/>
      <c r="AU6" s="79"/>
      <c r="AV6" s="79"/>
      <c r="AW6" s="79"/>
      <c r="AX6" s="79"/>
      <c r="AY6" s="79"/>
      <c r="AZ6" s="79"/>
      <c r="BA6" s="79"/>
      <c r="BB6" s="79"/>
      <c r="BC6" s="79"/>
      <c r="BD6" s="79"/>
      <c r="BE6" s="79"/>
      <c r="BF6" s="79"/>
      <c r="BG6" s="79"/>
      <c r="BH6" s="79"/>
      <c r="BI6" s="79"/>
      <c r="BJ6" s="79"/>
      <c r="BK6" s="79"/>
      <c r="BL6" s="79"/>
      <c r="BM6" s="79"/>
      <c r="BN6" s="79"/>
      <c r="BO6" s="79"/>
      <c r="BP6" s="79"/>
      <c r="BQ6" s="79"/>
      <c r="BR6" s="79"/>
      <c r="BS6" s="79"/>
      <c r="BT6" s="79"/>
      <c r="BU6" s="79"/>
      <c r="BV6" s="79"/>
      <c r="BW6" s="79"/>
      <c r="BX6" s="79"/>
      <c r="BY6" s="79"/>
      <c r="BZ6" s="79"/>
      <c r="CA6" s="79"/>
      <c r="CB6" s="79"/>
      <c r="CC6" s="79"/>
      <c r="CD6" s="79"/>
      <c r="CE6" s="79"/>
      <c r="CF6" s="79"/>
      <c r="CG6" s="79"/>
      <c r="CH6" s="79"/>
      <c r="CI6" s="79"/>
      <c r="CJ6" s="79"/>
      <c r="CK6" s="79"/>
      <c r="CL6" s="79"/>
      <c r="CM6" s="79"/>
      <c r="CN6" s="79"/>
      <c r="CO6" s="79"/>
      <c r="CP6" s="79"/>
    </row>
    <row r="7" spans="2:94" s="38" customFormat="1" x14ac:dyDescent="0.25">
      <c r="B7" s="38" t="s">
        <v>74</v>
      </c>
      <c r="K7" s="79" t="s">
        <v>76</v>
      </c>
      <c r="L7" s="79" t="s">
        <v>77</v>
      </c>
      <c r="M7" s="79" t="s">
        <v>76</v>
      </c>
      <c r="N7" s="79" t="s">
        <v>77</v>
      </c>
      <c r="O7" s="79" t="s">
        <v>76</v>
      </c>
      <c r="P7" s="79" t="s">
        <v>77</v>
      </c>
      <c r="Q7" s="79" t="s">
        <v>76</v>
      </c>
      <c r="R7" s="79" t="s">
        <v>77</v>
      </c>
      <c r="S7" s="79"/>
      <c r="T7" s="79"/>
      <c r="U7" s="79"/>
      <c r="V7" s="79"/>
      <c r="W7" s="79"/>
      <c r="X7" s="79"/>
      <c r="Y7" s="79"/>
      <c r="Z7" s="79"/>
      <c r="AA7" s="79"/>
      <c r="AB7" s="79"/>
      <c r="AC7" s="79"/>
      <c r="AD7" s="79"/>
      <c r="AE7" s="79"/>
      <c r="AF7" s="79"/>
      <c r="AG7" s="79"/>
      <c r="AH7" s="79"/>
      <c r="AI7" s="79"/>
      <c r="AJ7" s="79"/>
      <c r="AK7" s="79"/>
      <c r="AL7" s="79"/>
      <c r="AM7" s="79"/>
      <c r="AN7" s="79"/>
      <c r="AO7" s="79"/>
      <c r="AP7" s="79"/>
      <c r="AQ7" s="79"/>
      <c r="AR7" s="79"/>
      <c r="AS7" s="79"/>
      <c r="AT7" s="79"/>
      <c r="AU7" s="79"/>
      <c r="AV7" s="79"/>
      <c r="AW7" s="79"/>
      <c r="AX7" s="79"/>
      <c r="AY7" s="79"/>
      <c r="AZ7" s="79"/>
      <c r="BA7" s="79"/>
      <c r="BB7" s="79"/>
      <c r="BC7" s="79"/>
      <c r="BD7" s="79"/>
      <c r="BE7" s="79"/>
      <c r="BF7" s="79"/>
      <c r="BG7" s="79"/>
      <c r="BH7" s="79"/>
      <c r="BI7" s="79"/>
      <c r="BJ7" s="79"/>
      <c r="BK7" s="79"/>
      <c r="BL7" s="79"/>
      <c r="BM7" s="79"/>
      <c r="BN7" s="79"/>
      <c r="BO7" s="79"/>
      <c r="BP7" s="79"/>
      <c r="BQ7" s="79"/>
      <c r="BR7" s="79"/>
      <c r="BS7" s="79"/>
      <c r="BT7" s="79"/>
      <c r="BU7" s="79"/>
      <c r="BV7" s="79"/>
      <c r="BW7" s="79"/>
      <c r="BX7" s="79"/>
      <c r="BY7" s="79"/>
      <c r="BZ7" s="79"/>
      <c r="CA7" s="79"/>
      <c r="CB7" s="79"/>
      <c r="CC7" s="79"/>
      <c r="CD7" s="79"/>
      <c r="CE7" s="79"/>
      <c r="CF7" s="79"/>
      <c r="CG7" s="79"/>
      <c r="CH7" s="79"/>
      <c r="CI7" s="79"/>
      <c r="CJ7" s="79"/>
      <c r="CK7" s="79"/>
      <c r="CL7" s="79"/>
      <c r="CM7" s="79"/>
      <c r="CN7" s="79"/>
      <c r="CO7" s="79"/>
      <c r="CP7" s="79"/>
    </row>
    <row r="8" spans="2:94" x14ac:dyDescent="0.25">
      <c r="J8" s="80" t="s">
        <v>79</v>
      </c>
      <c r="K8" s="24">
        <v>495</v>
      </c>
      <c r="L8" s="24">
        <v>499.73011929615319</v>
      </c>
      <c r="M8" s="24">
        <v>495</v>
      </c>
      <c r="N8" s="24">
        <v>499.7301192961533</v>
      </c>
      <c r="O8" s="24">
        <v>495</v>
      </c>
      <c r="P8" s="24">
        <v>499.7301192961533</v>
      </c>
      <c r="Q8" s="24">
        <v>495</v>
      </c>
      <c r="R8" s="24">
        <v>499.73011929615336</v>
      </c>
    </row>
    <row r="9" spans="2:94" x14ac:dyDescent="0.25">
      <c r="J9" s="80" t="s">
        <v>81</v>
      </c>
      <c r="K9" s="24">
        <v>3850</v>
      </c>
      <c r="L9" s="24">
        <v>3946.4055361909577</v>
      </c>
      <c r="M9" s="24">
        <v>3850</v>
      </c>
      <c r="N9" s="24">
        <v>3971.8794298563707</v>
      </c>
      <c r="O9" s="24">
        <v>3850</v>
      </c>
      <c r="P9" s="24">
        <v>3971.8794298563707</v>
      </c>
      <c r="Q9" s="24">
        <v>3850</v>
      </c>
      <c r="R9" s="24">
        <v>3971.8794298563707</v>
      </c>
    </row>
    <row r="10" spans="2:94" x14ac:dyDescent="0.25">
      <c r="J10" s="80" t="s">
        <v>83</v>
      </c>
      <c r="K10" s="24">
        <v>1910.94</v>
      </c>
      <c r="L10" s="24">
        <v>1972.1377093917065</v>
      </c>
      <c r="M10" s="24">
        <v>1910.94</v>
      </c>
      <c r="N10" s="24">
        <v>1984.8677813120614</v>
      </c>
      <c r="O10" s="24">
        <v>1910.94</v>
      </c>
      <c r="P10" s="24">
        <v>1984.8677813120612</v>
      </c>
      <c r="Q10" s="24">
        <v>1910.94</v>
      </c>
      <c r="R10" s="24">
        <v>1984.8677813120619</v>
      </c>
    </row>
    <row r="11" spans="2:94" x14ac:dyDescent="0.25">
      <c r="J11" s="80" t="s">
        <v>85</v>
      </c>
      <c r="K11" s="24">
        <v>1905.75</v>
      </c>
      <c r="L11" s="24">
        <v>1972.1377093917065</v>
      </c>
      <c r="M11" s="24">
        <v>1905.75</v>
      </c>
      <c r="N11" s="24">
        <v>1984.8677813120614</v>
      </c>
      <c r="O11" s="24">
        <v>1905.75</v>
      </c>
      <c r="P11" s="24">
        <v>1984.8677813120612</v>
      </c>
      <c r="Q11" s="24">
        <v>1905.75</v>
      </c>
      <c r="R11" s="24">
        <v>1984.8677813120619</v>
      </c>
    </row>
    <row r="12" spans="2:94" x14ac:dyDescent="0.25">
      <c r="J12" s="80" t="s">
        <v>87</v>
      </c>
      <c r="K12" s="24">
        <v>5.1899999999999977</v>
      </c>
      <c r="M12" s="24">
        <v>5.1899999999999977</v>
      </c>
      <c r="O12" s="24">
        <v>5.1899999999999977</v>
      </c>
      <c r="Q12" s="24">
        <v>5.1899999999999977</v>
      </c>
    </row>
    <row r="13" spans="2:94" x14ac:dyDescent="0.25">
      <c r="J13" s="80" t="s">
        <v>89</v>
      </c>
      <c r="K13" s="24">
        <v>1910.9399999999998</v>
      </c>
      <c r="L13" s="24">
        <v>1972.1377093917065</v>
      </c>
      <c r="M13" s="24">
        <v>1910.9399999999998</v>
      </c>
      <c r="N13" s="24">
        <v>1984.8677813120614</v>
      </c>
      <c r="O13" s="24">
        <v>1910.9399999999998</v>
      </c>
      <c r="P13" s="24">
        <v>1984.8677813120612</v>
      </c>
      <c r="Q13" s="24">
        <v>1910.9399999999998</v>
      </c>
      <c r="R13" s="24">
        <v>1984.8677813120621</v>
      </c>
    </row>
    <row r="14" spans="2:94" x14ac:dyDescent="0.25">
      <c r="J14" s="80" t="s">
        <v>91</v>
      </c>
      <c r="K14" s="24">
        <v>5.9435258276448693</v>
      </c>
      <c r="L14" s="24">
        <v>6.5011959229160095</v>
      </c>
      <c r="M14" s="24">
        <v>5.9435258276448693</v>
      </c>
      <c r="N14" s="24">
        <v>6.4387525809271953</v>
      </c>
      <c r="O14" s="24">
        <v>5.9435258276448693</v>
      </c>
      <c r="P14" s="24">
        <v>6.4387525809271899</v>
      </c>
      <c r="Q14" s="24">
        <v>5.9435258276448693</v>
      </c>
      <c r="R14" s="24">
        <v>6.4387525809271944</v>
      </c>
    </row>
    <row r="15" spans="2:94" x14ac:dyDescent="0.25">
      <c r="J15" s="80" t="s">
        <v>95</v>
      </c>
      <c r="K15" s="24">
        <v>105</v>
      </c>
      <c r="M15" s="24">
        <v>105</v>
      </c>
      <c r="O15" s="24">
        <v>105</v>
      </c>
      <c r="Q15" s="24">
        <v>105</v>
      </c>
    </row>
    <row r="16" spans="2:94" x14ac:dyDescent="0.25">
      <c r="J16" s="80" t="s">
        <v>121</v>
      </c>
      <c r="K16" s="24">
        <v>980</v>
      </c>
      <c r="L16" s="24">
        <v>997.07296749024033</v>
      </c>
      <c r="M16" s="24">
        <v>980</v>
      </c>
      <c r="N16" s="24">
        <v>995.5848062154065</v>
      </c>
      <c r="O16" s="24">
        <v>980</v>
      </c>
      <c r="P16" s="24">
        <v>995.58480621540548</v>
      </c>
      <c r="Q16" s="24">
        <v>980</v>
      </c>
      <c r="R16" s="24">
        <v>995.58480621540582</v>
      </c>
    </row>
    <row r="17" spans="10:18" x14ac:dyDescent="0.25">
      <c r="J17" s="80" t="s">
        <v>101</v>
      </c>
      <c r="K17" s="24">
        <v>-9.0599999999998904</v>
      </c>
      <c r="L17" s="24">
        <v>-9.3756094173362943</v>
      </c>
      <c r="M17" s="24">
        <v>-9.0599999999998904</v>
      </c>
      <c r="N17" s="24">
        <v>-9.4361286100942188</v>
      </c>
      <c r="O17" s="24">
        <v>-9.0599999999998904</v>
      </c>
      <c r="P17" s="24">
        <v>-9.4361286100942152</v>
      </c>
      <c r="Q17" s="24">
        <v>-9.0599999999998904</v>
      </c>
      <c r="R17" s="24">
        <v>-9.4361286100942188</v>
      </c>
    </row>
    <row r="18" spans="10:18" x14ac:dyDescent="0.25">
      <c r="J18" s="80" t="s">
        <v>236</v>
      </c>
      <c r="L18" s="24">
        <v>80.259483364218838</v>
      </c>
      <c r="N18" s="24">
        <v>103.22280330356301</v>
      </c>
      <c r="P18" s="24">
        <v>103.22280330356554</v>
      </c>
      <c r="R18" s="24">
        <v>103.22280330356614</v>
      </c>
    </row>
    <row r="19" spans="10:18" x14ac:dyDescent="0.25">
      <c r="J19" s="80" t="s">
        <v>103</v>
      </c>
      <c r="K19" s="24">
        <v>1919.9999999999998</v>
      </c>
      <c r="L19" s="24">
        <v>1901.2538354448241</v>
      </c>
      <c r="M19" s="24">
        <v>1919.9999999999998</v>
      </c>
      <c r="N19" s="24">
        <v>1891.0811066185927</v>
      </c>
      <c r="O19" s="24">
        <v>1919.9999999999998</v>
      </c>
      <c r="P19" s="24">
        <v>1891.0811066185897</v>
      </c>
      <c r="Q19" s="24">
        <v>1919.9999999999998</v>
      </c>
      <c r="R19" s="24">
        <v>1891.0811066185902</v>
      </c>
    </row>
    <row r="20" spans="10:18" x14ac:dyDescent="0.25">
      <c r="J20" s="80" t="s">
        <v>105</v>
      </c>
      <c r="K20" s="24">
        <v>70.997416404815951</v>
      </c>
      <c r="L20" s="24">
        <v>77.658973386081271</v>
      </c>
      <c r="M20" s="24">
        <v>70.997416404815951</v>
      </c>
      <c r="N20" s="24">
        <v>76.913066649667741</v>
      </c>
      <c r="O20" s="24">
        <v>70.997416404815951</v>
      </c>
      <c r="P20" s="24">
        <v>76.913066649667684</v>
      </c>
      <c r="Q20" s="24">
        <v>70.997416404815951</v>
      </c>
      <c r="R20" s="24">
        <v>76.913066649667741</v>
      </c>
    </row>
    <row r="21" spans="10:18" x14ac:dyDescent="0.25">
      <c r="J21" s="80" t="s">
        <v>107</v>
      </c>
      <c r="K21" s="24">
        <v>835</v>
      </c>
      <c r="L21" s="24">
        <v>904.18086795458328</v>
      </c>
      <c r="M21" s="24">
        <v>835</v>
      </c>
      <c r="N21" s="24">
        <v>895.4963004031863</v>
      </c>
      <c r="O21" s="24">
        <v>835</v>
      </c>
      <c r="P21" s="24">
        <v>895.49630040318561</v>
      </c>
      <c r="Q21" s="24">
        <v>835</v>
      </c>
      <c r="R21" s="24">
        <v>895.49630040318618</v>
      </c>
    </row>
    <row r="22" spans="10:18" x14ac:dyDescent="0.25">
      <c r="J22" s="80" t="s">
        <v>109</v>
      </c>
      <c r="K22" s="24">
        <v>381.13084467521873</v>
      </c>
      <c r="L22" s="24">
        <v>357.94739595429513</v>
      </c>
      <c r="M22" s="24">
        <v>367.66878107690519</v>
      </c>
      <c r="N22" s="24">
        <v>329.16181534695852</v>
      </c>
      <c r="O22" s="24">
        <v>381.13084467521873</v>
      </c>
      <c r="P22" s="24">
        <v>353.70738947629434</v>
      </c>
      <c r="Q22" s="24">
        <v>381.13084467521873</v>
      </c>
      <c r="R22" s="24">
        <v>353.7073894762944</v>
      </c>
    </row>
  </sheetData>
  <phoneticPr fontId="14" type="noConversion"/>
  <pageMargins left="0.7" right="0.7" top="0.75" bottom="0.75" header="0.3" footer="0.3"/>
  <pageSetup paperSize="9" orientation="portrait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B6:CP16"/>
  <sheetViews>
    <sheetView topLeftCell="I1" workbookViewId="0">
      <pane xSplit="2" ySplit="7" topLeftCell="K8" activePane="bottomRight" state="frozen"/>
      <selection pane="topRight"/>
      <selection pane="bottomLeft"/>
      <selection pane="bottomRight" activeCell="K8" sqref="K8:X15"/>
    </sheetView>
  </sheetViews>
  <sheetFormatPr defaultColWidth="9" defaultRowHeight="15" x14ac:dyDescent="0.25"/>
  <cols>
    <col min="1" max="9" width="9" style="20"/>
    <col min="10" max="10" width="49.125" style="20" customWidth="1"/>
    <col min="11" max="24" width="14.125" style="20"/>
    <col min="25" max="16384" width="9" style="20"/>
  </cols>
  <sheetData>
    <row r="6" spans="2:94" s="23" customFormat="1" ht="12.75" customHeight="1" x14ac:dyDescent="0.25">
      <c r="B6" s="31" t="s">
        <v>73</v>
      </c>
      <c r="K6" s="73" t="s">
        <v>73</v>
      </c>
      <c r="L6" s="71" t="s">
        <v>73</v>
      </c>
      <c r="M6" s="71" t="s">
        <v>315</v>
      </c>
      <c r="N6" s="71" t="s">
        <v>315</v>
      </c>
      <c r="O6" s="71" t="s">
        <v>316</v>
      </c>
      <c r="P6" s="71" t="s">
        <v>316</v>
      </c>
      <c r="Q6" s="71" t="s">
        <v>317</v>
      </c>
      <c r="R6" s="71" t="s">
        <v>317</v>
      </c>
      <c r="S6" s="71"/>
      <c r="T6" s="71"/>
      <c r="U6" s="71"/>
      <c r="V6" s="71"/>
      <c r="W6" s="73"/>
      <c r="X6" s="73"/>
      <c r="Y6" s="73"/>
      <c r="Z6" s="73"/>
      <c r="AA6" s="73"/>
      <c r="AB6" s="73"/>
      <c r="AC6" s="73"/>
      <c r="AD6" s="73"/>
      <c r="AE6" s="73"/>
      <c r="AF6" s="73"/>
      <c r="AG6" s="73"/>
      <c r="AH6" s="73"/>
      <c r="AI6" s="73"/>
      <c r="AJ6" s="73"/>
      <c r="AK6" s="73"/>
      <c r="AL6" s="73"/>
      <c r="AM6" s="73"/>
      <c r="AN6" s="73"/>
      <c r="AO6" s="73"/>
      <c r="AP6" s="73"/>
      <c r="AQ6" s="73"/>
      <c r="AR6" s="73"/>
      <c r="AS6" s="73"/>
      <c r="AT6" s="73"/>
      <c r="AU6" s="73"/>
      <c r="AV6" s="73"/>
      <c r="AW6" s="73"/>
      <c r="AX6" s="73"/>
      <c r="AY6" s="73"/>
      <c r="AZ6" s="73"/>
      <c r="BA6" s="73"/>
      <c r="BB6" s="73"/>
      <c r="BC6" s="73"/>
      <c r="BD6" s="73"/>
      <c r="BE6" s="73"/>
      <c r="BF6" s="73"/>
      <c r="BG6" s="73"/>
      <c r="BH6" s="73"/>
      <c r="BI6" s="73"/>
      <c r="BJ6" s="73"/>
      <c r="BK6" s="73"/>
      <c r="BL6" s="73"/>
      <c r="BM6" s="73"/>
      <c r="BN6" s="73"/>
      <c r="BO6" s="73"/>
      <c r="BP6" s="73"/>
      <c r="BQ6" s="73"/>
      <c r="BR6" s="73"/>
      <c r="BS6" s="73"/>
      <c r="BT6" s="73"/>
      <c r="BU6" s="73"/>
      <c r="BV6" s="73"/>
      <c r="BW6" s="73"/>
      <c r="BX6" s="73"/>
      <c r="BY6" s="73"/>
      <c r="BZ6" s="73"/>
      <c r="CA6" s="73"/>
      <c r="CB6" s="73"/>
      <c r="CC6" s="73"/>
      <c r="CD6" s="73"/>
      <c r="CE6" s="73"/>
      <c r="CF6" s="73"/>
      <c r="CG6" s="73"/>
      <c r="CH6" s="73"/>
      <c r="CI6" s="73"/>
      <c r="CJ6" s="73"/>
      <c r="CK6" s="73"/>
      <c r="CL6" s="73"/>
      <c r="CM6" s="73"/>
      <c r="CN6" s="73"/>
      <c r="CO6" s="73"/>
      <c r="CP6" s="73"/>
    </row>
    <row r="7" spans="2:94" s="23" customFormat="1" x14ac:dyDescent="0.25">
      <c r="B7" s="31" t="s">
        <v>74</v>
      </c>
      <c r="C7" s="31"/>
      <c r="D7" s="31"/>
      <c r="E7" s="31"/>
      <c r="F7" s="31"/>
      <c r="G7" s="31"/>
      <c r="H7" s="26"/>
      <c r="K7" s="73" t="s">
        <v>76</v>
      </c>
      <c r="L7" s="71" t="s">
        <v>77</v>
      </c>
      <c r="M7" s="71" t="s">
        <v>76</v>
      </c>
      <c r="N7" s="71" t="s">
        <v>77</v>
      </c>
      <c r="O7" s="71" t="s">
        <v>76</v>
      </c>
      <c r="P7" s="71" t="s">
        <v>77</v>
      </c>
      <c r="Q7" s="71" t="s">
        <v>76</v>
      </c>
      <c r="R7" s="71" t="s">
        <v>77</v>
      </c>
      <c r="S7" s="71"/>
      <c r="T7" s="71"/>
      <c r="U7" s="71"/>
      <c r="V7" s="71"/>
      <c r="W7" s="73"/>
      <c r="X7" s="73"/>
      <c r="Y7" s="73"/>
      <c r="Z7" s="73"/>
      <c r="AA7" s="73"/>
      <c r="AB7" s="73"/>
      <c r="AC7" s="73"/>
      <c r="AD7" s="73"/>
      <c r="AE7" s="73"/>
      <c r="AF7" s="73"/>
      <c r="AG7" s="73"/>
      <c r="AH7" s="73"/>
      <c r="AI7" s="73"/>
      <c r="AJ7" s="73"/>
      <c r="AK7" s="73"/>
      <c r="AL7" s="73"/>
      <c r="AM7" s="73"/>
      <c r="AN7" s="73"/>
      <c r="AO7" s="73"/>
      <c r="AP7" s="73"/>
      <c r="AQ7" s="73"/>
      <c r="AR7" s="73"/>
      <c r="AS7" s="73"/>
      <c r="AT7" s="73"/>
      <c r="AU7" s="73"/>
      <c r="AV7" s="73"/>
      <c r="AW7" s="73"/>
      <c r="AX7" s="73"/>
      <c r="AY7" s="73"/>
      <c r="AZ7" s="73"/>
      <c r="BA7" s="73"/>
      <c r="BB7" s="73"/>
      <c r="BC7" s="73"/>
      <c r="BD7" s="73"/>
      <c r="BE7" s="73"/>
      <c r="BF7" s="73"/>
      <c r="BG7" s="73"/>
      <c r="BH7" s="73"/>
      <c r="BI7" s="73"/>
      <c r="BJ7" s="73"/>
      <c r="BK7" s="73"/>
      <c r="BL7" s="73"/>
      <c r="BM7" s="73"/>
      <c r="BN7" s="73"/>
      <c r="BO7" s="73"/>
      <c r="BP7" s="73"/>
      <c r="BQ7" s="73"/>
      <c r="BR7" s="73"/>
      <c r="BS7" s="73"/>
      <c r="BT7" s="73"/>
      <c r="BU7" s="73"/>
      <c r="BV7" s="73"/>
      <c r="BW7" s="73"/>
      <c r="BX7" s="73"/>
      <c r="BY7" s="73"/>
      <c r="BZ7" s="73"/>
      <c r="CA7" s="73"/>
      <c r="CB7" s="73"/>
      <c r="CC7" s="73"/>
      <c r="CD7" s="73"/>
      <c r="CE7" s="73"/>
      <c r="CF7" s="73"/>
      <c r="CG7" s="73"/>
      <c r="CH7" s="73"/>
      <c r="CI7" s="73"/>
      <c r="CJ7" s="73"/>
      <c r="CK7" s="73"/>
      <c r="CL7" s="73"/>
      <c r="CM7" s="73"/>
      <c r="CN7" s="73"/>
      <c r="CO7" s="73"/>
      <c r="CP7" s="73"/>
    </row>
    <row r="8" spans="2:94" x14ac:dyDescent="0.25">
      <c r="J8" s="75" t="s">
        <v>83</v>
      </c>
      <c r="K8" s="24">
        <v>359.09</v>
      </c>
      <c r="L8" s="24">
        <v>376.10593747424912</v>
      </c>
      <c r="M8" s="24">
        <v>359.09</v>
      </c>
      <c r="N8" s="24">
        <v>378.05272895678075</v>
      </c>
      <c r="O8" s="24">
        <v>359.09</v>
      </c>
      <c r="P8" s="24">
        <v>378.05272895678081</v>
      </c>
      <c r="Q8" s="24">
        <v>359.09</v>
      </c>
      <c r="R8" s="24">
        <v>378.05272895678081</v>
      </c>
      <c r="S8" s="24"/>
      <c r="T8" s="24"/>
      <c r="U8" s="24"/>
      <c r="V8" s="24"/>
      <c r="W8" s="24"/>
      <c r="X8" s="24"/>
    </row>
    <row r="9" spans="2:94" x14ac:dyDescent="0.25">
      <c r="J9" s="75" t="s">
        <v>85</v>
      </c>
      <c r="K9" s="24">
        <v>320</v>
      </c>
      <c r="L9" s="24">
        <v>337.97705973787868</v>
      </c>
      <c r="M9" s="24">
        <v>320</v>
      </c>
      <c r="N9" s="24">
        <v>339.92940319712255</v>
      </c>
      <c r="O9" s="24">
        <v>320</v>
      </c>
      <c r="P9" s="24">
        <v>339.92940319712261</v>
      </c>
      <c r="Q9" s="24">
        <v>320</v>
      </c>
      <c r="R9" s="24">
        <v>339.92940319712261</v>
      </c>
      <c r="S9" s="24"/>
      <c r="T9" s="24"/>
      <c r="U9" s="24"/>
      <c r="V9" s="24"/>
      <c r="W9" s="24"/>
      <c r="X9" s="24"/>
    </row>
    <row r="10" spans="2:94" x14ac:dyDescent="0.25">
      <c r="J10" s="75" t="s">
        <v>87</v>
      </c>
      <c r="K10" s="24">
        <v>39.089999999999996</v>
      </c>
      <c r="L10" s="24">
        <v>38.128877736370463</v>
      </c>
      <c r="M10" s="24">
        <v>39.089999999999996</v>
      </c>
      <c r="N10" s="24">
        <v>38.123325759658201</v>
      </c>
      <c r="O10" s="24">
        <v>39.089999999999996</v>
      </c>
      <c r="P10" s="24">
        <v>38.123325759658201</v>
      </c>
      <c r="Q10" s="24">
        <v>39.089999999999996</v>
      </c>
      <c r="R10" s="24">
        <v>38.123325759658201</v>
      </c>
      <c r="S10" s="24"/>
      <c r="T10" s="24"/>
      <c r="U10" s="24"/>
      <c r="V10" s="24"/>
      <c r="W10" s="24"/>
      <c r="X10" s="24"/>
    </row>
    <row r="11" spans="2:94" x14ac:dyDescent="0.25">
      <c r="J11" s="75" t="s">
        <v>89</v>
      </c>
      <c r="K11" s="24">
        <v>359.09</v>
      </c>
      <c r="L11" s="24">
        <v>376.10593747424912</v>
      </c>
      <c r="M11" s="24">
        <v>359.09</v>
      </c>
      <c r="N11" s="24">
        <v>378.05272895678075</v>
      </c>
      <c r="O11" s="24">
        <v>359.09</v>
      </c>
      <c r="P11" s="24">
        <v>378.05272895678081</v>
      </c>
      <c r="Q11" s="24">
        <v>359.09</v>
      </c>
      <c r="R11" s="24">
        <v>378.05272895678081</v>
      </c>
      <c r="S11" s="24"/>
      <c r="T11" s="24"/>
      <c r="U11" s="24"/>
      <c r="V11" s="24"/>
      <c r="W11" s="24"/>
      <c r="X11" s="24"/>
    </row>
    <row r="12" spans="2:94" x14ac:dyDescent="0.25">
      <c r="J12" s="75" t="s">
        <v>91</v>
      </c>
      <c r="K12" s="24">
        <v>2.5624782011403027</v>
      </c>
      <c r="L12" s="24">
        <v>2.7111686591857374</v>
      </c>
      <c r="M12" s="24">
        <v>2.5624782011403027</v>
      </c>
      <c r="N12" s="24">
        <v>2.7252063011965455</v>
      </c>
      <c r="O12" s="24">
        <v>2.5624782011403027</v>
      </c>
      <c r="P12" s="24">
        <v>2.7252063011965473</v>
      </c>
      <c r="Q12" s="24">
        <v>2.5624782011403027</v>
      </c>
      <c r="R12" s="24">
        <v>2.7252063011965477</v>
      </c>
      <c r="S12" s="24"/>
      <c r="T12" s="24"/>
      <c r="U12" s="24"/>
      <c r="V12" s="24"/>
      <c r="W12" s="24"/>
      <c r="X12" s="24"/>
    </row>
    <row r="13" spans="2:94" x14ac:dyDescent="0.25">
      <c r="J13" s="75" t="s">
        <v>101</v>
      </c>
      <c r="K13" s="24">
        <v>-0.90999999999994596</v>
      </c>
      <c r="L13" s="24">
        <v>-0.96112226362953557</v>
      </c>
      <c r="M13" s="24">
        <v>-0.90999999999994596</v>
      </c>
      <c r="N13" s="24">
        <v>-0.96667424034175986</v>
      </c>
      <c r="O13" s="24">
        <v>-0.90999999999994596</v>
      </c>
      <c r="P13" s="24">
        <v>-0.96667424034175908</v>
      </c>
      <c r="Q13" s="24">
        <v>-0.90999999999994596</v>
      </c>
      <c r="R13" s="24">
        <v>-0.96667424034175908</v>
      </c>
      <c r="S13" s="24"/>
      <c r="T13" s="24"/>
      <c r="U13" s="24"/>
      <c r="V13" s="24"/>
      <c r="W13" s="24"/>
      <c r="X13" s="24"/>
    </row>
    <row r="14" spans="2:94" x14ac:dyDescent="0.25">
      <c r="J14" s="75" t="s">
        <v>103</v>
      </c>
      <c r="K14" s="24">
        <v>359.99999999999994</v>
      </c>
      <c r="L14" s="24">
        <v>377.06705973787865</v>
      </c>
      <c r="M14" s="24">
        <v>359.99999999999994</v>
      </c>
      <c r="N14" s="24">
        <v>379.01940319712253</v>
      </c>
      <c r="O14" s="24">
        <v>359.99999999999994</v>
      </c>
      <c r="P14" s="24">
        <v>379.01940319712259</v>
      </c>
      <c r="Q14" s="24">
        <v>359.99999999999994</v>
      </c>
      <c r="R14" s="24">
        <v>379.01940319712259</v>
      </c>
      <c r="S14" s="24"/>
      <c r="T14" s="24"/>
      <c r="U14" s="24"/>
      <c r="V14" s="24"/>
      <c r="W14" s="24"/>
      <c r="X14" s="24"/>
    </row>
    <row r="15" spans="2:94" x14ac:dyDescent="0.25">
      <c r="J15" s="75" t="s">
        <v>105</v>
      </c>
      <c r="K15" s="24">
        <v>62.075895860356262</v>
      </c>
      <c r="L15" s="24">
        <v>65.677914166287493</v>
      </c>
      <c r="M15" s="24">
        <v>62.075895860356262</v>
      </c>
      <c r="N15" s="24">
        <v>66.017975284934309</v>
      </c>
      <c r="O15" s="24">
        <v>62.075895860356262</v>
      </c>
      <c r="P15" s="24">
        <v>66.017975284934366</v>
      </c>
      <c r="Q15" s="24">
        <v>62.075895860356262</v>
      </c>
      <c r="R15" s="24">
        <v>66.01797528493438</v>
      </c>
      <c r="S15" s="24"/>
      <c r="T15" s="24"/>
      <c r="U15" s="24"/>
      <c r="V15" s="24"/>
      <c r="W15" s="24"/>
      <c r="X15" s="24"/>
    </row>
    <row r="16" spans="2:94" x14ac:dyDescent="0.25">
      <c r="J16" s="75" t="s">
        <v>107</v>
      </c>
      <c r="K16" s="20">
        <v>360</v>
      </c>
      <c r="L16" s="20">
        <v>377.06705973787865</v>
      </c>
      <c r="M16" s="20">
        <v>360</v>
      </c>
      <c r="N16" s="20">
        <v>379.01940319712253</v>
      </c>
      <c r="O16" s="20">
        <v>360</v>
      </c>
      <c r="P16" s="20">
        <v>379.01940319712276</v>
      </c>
      <c r="Q16" s="20">
        <v>360</v>
      </c>
      <c r="R16" s="20">
        <v>379.01940319712281</v>
      </c>
    </row>
  </sheetData>
  <phoneticPr fontId="14" type="noConversion"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B6:CP15"/>
  <sheetViews>
    <sheetView topLeftCell="I1" workbookViewId="0">
      <pane xSplit="2" ySplit="7" topLeftCell="K8" activePane="bottomRight" state="frozen"/>
      <selection pane="topRight"/>
      <selection pane="bottomLeft"/>
      <selection pane="bottomRight" activeCell="W35" sqref="W35"/>
    </sheetView>
  </sheetViews>
  <sheetFormatPr defaultColWidth="9" defaultRowHeight="15" x14ac:dyDescent="0.25"/>
  <cols>
    <col min="1" max="9" width="9" style="20"/>
    <col min="10" max="10" width="19.125" style="20" customWidth="1"/>
    <col min="11" max="12" width="9.25" style="20"/>
    <col min="13" max="24" width="14.125" style="20"/>
    <col min="25" max="16384" width="9" style="20"/>
  </cols>
  <sheetData>
    <row r="6" spans="2:94" s="23" customFormat="1" ht="12.75" customHeight="1" x14ac:dyDescent="0.25">
      <c r="B6" s="31" t="s">
        <v>73</v>
      </c>
      <c r="K6" s="73" t="s">
        <v>73</v>
      </c>
      <c r="L6" s="71" t="s">
        <v>73</v>
      </c>
      <c r="M6" s="71" t="s">
        <v>315</v>
      </c>
      <c r="N6" s="71" t="s">
        <v>315</v>
      </c>
      <c r="O6" s="71" t="s">
        <v>316</v>
      </c>
      <c r="P6" s="71" t="s">
        <v>316</v>
      </c>
      <c r="Q6" s="71" t="s">
        <v>317</v>
      </c>
      <c r="R6" s="71" t="s">
        <v>317</v>
      </c>
      <c r="S6" s="71"/>
      <c r="T6" s="71"/>
      <c r="U6" s="71"/>
      <c r="V6" s="71"/>
      <c r="W6" s="73"/>
      <c r="X6" s="73"/>
      <c r="Y6" s="73"/>
      <c r="Z6" s="73"/>
      <c r="AA6" s="73"/>
      <c r="AB6" s="73"/>
      <c r="AC6" s="73"/>
      <c r="AD6" s="73"/>
      <c r="AE6" s="73"/>
      <c r="AF6" s="73"/>
      <c r="AG6" s="73"/>
      <c r="AH6" s="73"/>
      <c r="AI6" s="73"/>
      <c r="AJ6" s="73"/>
      <c r="AK6" s="73"/>
      <c r="AL6" s="73"/>
      <c r="AM6" s="73"/>
      <c r="AN6" s="73"/>
      <c r="AO6" s="73"/>
      <c r="AP6" s="73"/>
      <c r="AQ6" s="73"/>
      <c r="AR6" s="73"/>
      <c r="AS6" s="73"/>
      <c r="AT6" s="73"/>
      <c r="AU6" s="73"/>
      <c r="AV6" s="73"/>
      <c r="AW6" s="73"/>
      <c r="AX6" s="73"/>
      <c r="AY6" s="73"/>
      <c r="AZ6" s="73"/>
      <c r="BA6" s="73"/>
      <c r="BB6" s="73"/>
      <c r="BC6" s="73"/>
      <c r="BD6" s="73"/>
      <c r="BE6" s="73"/>
      <c r="BF6" s="73"/>
      <c r="BG6" s="73"/>
      <c r="BH6" s="73"/>
      <c r="BI6" s="73"/>
      <c r="BJ6" s="73"/>
      <c r="BK6" s="73"/>
      <c r="BL6" s="73"/>
      <c r="BM6" s="73"/>
      <c r="BN6" s="73"/>
      <c r="BO6" s="73"/>
      <c r="BP6" s="73"/>
      <c r="BQ6" s="73"/>
      <c r="BR6" s="73"/>
      <c r="BS6" s="73"/>
      <c r="BT6" s="73"/>
      <c r="BU6" s="73"/>
      <c r="BV6" s="73"/>
      <c r="BW6" s="73"/>
      <c r="BX6" s="73"/>
      <c r="BY6" s="73"/>
      <c r="BZ6" s="73"/>
      <c r="CA6" s="73"/>
      <c r="CB6" s="73"/>
      <c r="CC6" s="73"/>
      <c r="CD6" s="73"/>
      <c r="CE6" s="73"/>
      <c r="CF6" s="73"/>
      <c r="CG6" s="73"/>
      <c r="CH6" s="73"/>
      <c r="CI6" s="73"/>
      <c r="CJ6" s="73"/>
      <c r="CK6" s="73"/>
      <c r="CL6" s="73"/>
      <c r="CM6" s="73"/>
      <c r="CN6" s="73"/>
      <c r="CO6" s="73"/>
      <c r="CP6" s="73"/>
    </row>
    <row r="7" spans="2:94" s="23" customFormat="1" x14ac:dyDescent="0.25">
      <c r="B7" s="31" t="s">
        <v>74</v>
      </c>
      <c r="C7" s="31"/>
      <c r="D7" s="31"/>
      <c r="E7" s="31"/>
      <c r="F7" s="31"/>
      <c r="G7" s="31"/>
      <c r="H7" s="26"/>
      <c r="K7" s="73" t="s">
        <v>76</v>
      </c>
      <c r="L7" s="71" t="s">
        <v>77</v>
      </c>
      <c r="M7" s="71" t="s">
        <v>76</v>
      </c>
      <c r="N7" s="71" t="s">
        <v>77</v>
      </c>
      <c r="O7" s="71" t="s">
        <v>76</v>
      </c>
      <c r="P7" s="71" t="s">
        <v>77</v>
      </c>
      <c r="Q7" s="71" t="s">
        <v>76</v>
      </c>
      <c r="R7" s="71" t="s">
        <v>77</v>
      </c>
      <c r="S7" s="71"/>
      <c r="T7" s="71"/>
      <c r="U7" s="71"/>
      <c r="V7" s="71"/>
      <c r="W7" s="73"/>
      <c r="X7" s="73"/>
      <c r="Y7" s="73"/>
      <c r="Z7" s="73"/>
      <c r="AA7" s="73"/>
      <c r="AB7" s="73"/>
      <c r="AC7" s="73"/>
      <c r="AD7" s="73"/>
      <c r="AE7" s="73"/>
      <c r="AF7" s="73"/>
      <c r="AG7" s="73"/>
      <c r="AH7" s="73"/>
      <c r="AI7" s="73"/>
      <c r="AJ7" s="73"/>
      <c r="AK7" s="73"/>
      <c r="AL7" s="73"/>
      <c r="AM7" s="73"/>
      <c r="AN7" s="73"/>
      <c r="AO7" s="73"/>
      <c r="AP7" s="73"/>
      <c r="AQ7" s="73"/>
      <c r="AR7" s="73"/>
      <c r="AS7" s="73"/>
      <c r="AT7" s="73"/>
      <c r="AU7" s="73"/>
      <c r="AV7" s="73"/>
      <c r="AW7" s="73"/>
      <c r="AX7" s="73"/>
      <c r="AY7" s="73"/>
      <c r="AZ7" s="73"/>
      <c r="BA7" s="73"/>
      <c r="BB7" s="73"/>
      <c r="BC7" s="73"/>
      <c r="BD7" s="73"/>
      <c r="BE7" s="73"/>
      <c r="BF7" s="73"/>
      <c r="BG7" s="73"/>
      <c r="BH7" s="73"/>
      <c r="BI7" s="73"/>
      <c r="BJ7" s="73"/>
      <c r="BK7" s="73"/>
      <c r="BL7" s="73"/>
      <c r="BM7" s="73"/>
      <c r="BN7" s="73"/>
      <c r="BO7" s="73"/>
      <c r="BP7" s="73"/>
      <c r="BQ7" s="73"/>
      <c r="BR7" s="73"/>
      <c r="BS7" s="73"/>
      <c r="BT7" s="73"/>
      <c r="BU7" s="73"/>
      <c r="BV7" s="73"/>
      <c r="BW7" s="73"/>
      <c r="BX7" s="73"/>
      <c r="BY7" s="73"/>
      <c r="BZ7" s="73"/>
      <c r="CA7" s="73"/>
      <c r="CB7" s="73"/>
      <c r="CC7" s="73"/>
      <c r="CD7" s="73"/>
      <c r="CE7" s="73"/>
      <c r="CF7" s="73"/>
      <c r="CG7" s="73"/>
      <c r="CH7" s="73"/>
      <c r="CI7" s="73"/>
      <c r="CJ7" s="73"/>
      <c r="CK7" s="73"/>
      <c r="CL7" s="73"/>
      <c r="CM7" s="73"/>
      <c r="CN7" s="73"/>
      <c r="CO7" s="73"/>
      <c r="CP7" s="73"/>
    </row>
    <row r="8" spans="2:94" x14ac:dyDescent="0.25">
      <c r="J8" s="75" t="s">
        <v>83</v>
      </c>
      <c r="K8" s="27">
        <v>398</v>
      </c>
      <c r="L8" s="27">
        <v>404.93371536848525</v>
      </c>
      <c r="M8" s="27">
        <v>398</v>
      </c>
      <c r="N8" s="27">
        <v>404.32933966707321</v>
      </c>
      <c r="O8" s="27">
        <v>398</v>
      </c>
      <c r="P8" s="27">
        <v>404.32933966707287</v>
      </c>
      <c r="Q8" s="27">
        <v>398</v>
      </c>
      <c r="R8" s="27">
        <v>404.3293396670731</v>
      </c>
      <c r="S8" s="27"/>
      <c r="T8" s="27"/>
      <c r="U8" s="27"/>
      <c r="V8" s="27"/>
      <c r="W8" s="27"/>
      <c r="X8" s="27"/>
    </row>
    <row r="9" spans="2:94" x14ac:dyDescent="0.25">
      <c r="J9" s="75" t="s">
        <v>85</v>
      </c>
      <c r="K9" s="27">
        <v>398</v>
      </c>
      <c r="L9" s="27">
        <v>404.93371536848525</v>
      </c>
      <c r="M9" s="27">
        <v>398</v>
      </c>
      <c r="N9" s="27">
        <v>404.32933966707321</v>
      </c>
      <c r="O9" s="27">
        <v>398</v>
      </c>
      <c r="P9" s="27">
        <v>404.32933966707287</v>
      </c>
      <c r="Q9" s="27">
        <v>398</v>
      </c>
      <c r="R9" s="27">
        <v>404.3293396670731</v>
      </c>
      <c r="S9" s="27"/>
      <c r="T9" s="27"/>
      <c r="U9" s="27"/>
      <c r="V9" s="27"/>
      <c r="W9" s="27"/>
      <c r="X9" s="27"/>
    </row>
    <row r="10" spans="2:94" x14ac:dyDescent="0.25">
      <c r="J10" s="75" t="s">
        <v>89</v>
      </c>
      <c r="K10" s="27">
        <v>398</v>
      </c>
      <c r="L10" s="27">
        <v>404.93371536848525</v>
      </c>
      <c r="M10" s="27">
        <v>398</v>
      </c>
      <c r="N10" s="27">
        <v>404.32933966707321</v>
      </c>
      <c r="O10" s="27">
        <v>398</v>
      </c>
      <c r="P10" s="27">
        <v>404.32933966707287</v>
      </c>
      <c r="Q10" s="27">
        <v>398</v>
      </c>
      <c r="R10" s="27">
        <v>404.3293396670731</v>
      </c>
      <c r="S10" s="27"/>
      <c r="T10" s="27"/>
      <c r="U10" s="27"/>
      <c r="V10" s="27"/>
      <c r="W10" s="27"/>
      <c r="X10" s="27"/>
    </row>
    <row r="11" spans="2:94" x14ac:dyDescent="0.25">
      <c r="J11" s="75" t="s">
        <v>95</v>
      </c>
      <c r="K11" s="27">
        <v>402</v>
      </c>
      <c r="L11" s="27">
        <v>404.74771536848522</v>
      </c>
      <c r="M11" s="27">
        <v>402</v>
      </c>
      <c r="N11" s="27">
        <v>404.14333966707323</v>
      </c>
      <c r="O11" s="27">
        <v>402</v>
      </c>
      <c r="P11" s="27">
        <v>404.14333966707301</v>
      </c>
      <c r="Q11" s="27">
        <v>402</v>
      </c>
      <c r="R11" s="27">
        <v>404.14333966707318</v>
      </c>
      <c r="S11" s="27"/>
      <c r="T11" s="27"/>
      <c r="U11" s="27"/>
      <c r="V11" s="27"/>
      <c r="W11" s="27"/>
      <c r="X11" s="27"/>
    </row>
    <row r="12" spans="2:94" x14ac:dyDescent="0.25">
      <c r="J12" s="75" t="s">
        <v>101</v>
      </c>
      <c r="K12" s="27">
        <v>-4.1859999999999902</v>
      </c>
      <c r="L12" s="27">
        <v>-4.2589259611368737</v>
      </c>
      <c r="M12" s="27">
        <v>-4.1859999999999902</v>
      </c>
      <c r="N12" s="27">
        <v>-4.2525693865486547</v>
      </c>
      <c r="O12" s="27">
        <v>-4.1859999999999902</v>
      </c>
      <c r="P12" s="27">
        <v>-4.2525693865486494</v>
      </c>
      <c r="Q12" s="27">
        <v>-4.1859999999999902</v>
      </c>
      <c r="R12" s="27">
        <v>-4.252569386548652</v>
      </c>
      <c r="S12" s="27"/>
      <c r="T12" s="27"/>
      <c r="U12" s="27"/>
      <c r="V12" s="27"/>
      <c r="W12" s="27"/>
      <c r="X12" s="27"/>
    </row>
    <row r="13" spans="2:94" x14ac:dyDescent="0.25">
      <c r="J13" s="75" t="s">
        <v>236</v>
      </c>
      <c r="K13" s="27">
        <v>0.186</v>
      </c>
      <c r="L13" s="27">
        <v>4.444925961136903</v>
      </c>
      <c r="M13" s="27">
        <v>0.186</v>
      </c>
      <c r="N13" s="27">
        <v>4.438569386548636</v>
      </c>
      <c r="O13" s="27">
        <v>0.186</v>
      </c>
      <c r="P13" s="27">
        <v>4.4385693865485791</v>
      </c>
      <c r="Q13" s="27">
        <v>0.186</v>
      </c>
      <c r="R13" s="27">
        <v>4.4385693865486928</v>
      </c>
      <c r="S13" s="27"/>
      <c r="T13" s="27"/>
      <c r="U13" s="27"/>
      <c r="V13" s="27"/>
      <c r="W13" s="27"/>
      <c r="X13" s="27"/>
    </row>
    <row r="14" spans="2:94" x14ac:dyDescent="0.25">
      <c r="J14" s="75" t="s">
        <v>103</v>
      </c>
      <c r="K14" s="20">
        <v>402</v>
      </c>
      <c r="L14" s="20">
        <v>404.74771536848522</v>
      </c>
      <c r="M14" s="20">
        <v>402</v>
      </c>
      <c r="N14" s="20">
        <v>404.14333966707323</v>
      </c>
      <c r="O14" s="20">
        <v>402</v>
      </c>
      <c r="P14" s="20">
        <v>404.14333966707295</v>
      </c>
      <c r="Q14" s="20">
        <v>402</v>
      </c>
      <c r="R14" s="20">
        <v>404.14333966707306</v>
      </c>
    </row>
    <row r="15" spans="2:94" x14ac:dyDescent="0.25">
      <c r="J15" s="75"/>
    </row>
  </sheetData>
  <phoneticPr fontId="14" type="noConversion"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B3:CP17"/>
  <sheetViews>
    <sheetView topLeftCell="I1" zoomScale="90" zoomScaleNormal="90" workbookViewId="0">
      <pane xSplit="2" ySplit="7" topLeftCell="K8" activePane="bottomRight" state="frozen"/>
      <selection pane="topRight"/>
      <selection pane="bottomLeft"/>
      <selection pane="bottomRight" activeCell="M12" sqref="M12"/>
    </sheetView>
  </sheetViews>
  <sheetFormatPr defaultColWidth="9" defaultRowHeight="15" x14ac:dyDescent="0.25"/>
  <cols>
    <col min="1" max="9" width="9" style="20"/>
    <col min="10" max="10" width="21.625" style="20" customWidth="1"/>
    <col min="11" max="16" width="14.125" style="20"/>
    <col min="17" max="31" width="9.875" style="20" customWidth="1"/>
    <col min="32" max="16384" width="9" style="20"/>
  </cols>
  <sheetData>
    <row r="3" spans="2:94" x14ac:dyDescent="0.25">
      <c r="K3" s="27">
        <f t="shared" ref="K3:W3" si="0">K9/15</f>
        <v>148.60812746151092</v>
      </c>
      <c r="L3" s="27">
        <f t="shared" si="0"/>
        <v>148.99889729634472</v>
      </c>
      <c r="M3" s="27">
        <f t="shared" si="0"/>
        <v>148.60812746151092</v>
      </c>
      <c r="N3" s="27">
        <f t="shared" si="0"/>
        <v>149.96067936136143</v>
      </c>
      <c r="O3" s="27">
        <f t="shared" si="0"/>
        <v>148.60812746151092</v>
      </c>
      <c r="P3" s="27">
        <f t="shared" si="0"/>
        <v>149.96067936136143</v>
      </c>
      <c r="Q3" s="27">
        <f t="shared" si="0"/>
        <v>148.60812746151092</v>
      </c>
      <c r="R3" s="27">
        <f t="shared" si="0"/>
        <v>149.96067936136143</v>
      </c>
      <c r="S3" s="27">
        <f t="shared" si="0"/>
        <v>0</v>
      </c>
      <c r="T3" s="27">
        <f t="shared" si="0"/>
        <v>0</v>
      </c>
      <c r="U3" s="27">
        <f t="shared" si="0"/>
        <v>0</v>
      </c>
      <c r="V3" s="27">
        <f t="shared" si="0"/>
        <v>0</v>
      </c>
      <c r="W3" s="27">
        <f t="shared" si="0"/>
        <v>0</v>
      </c>
    </row>
    <row r="5" spans="2:94" x14ac:dyDescent="0.25">
      <c r="L5" s="22">
        <f>L11/L10</f>
        <v>0.80975196249495907</v>
      </c>
      <c r="M5" s="30">
        <f>M8/L8-1</f>
        <v>5.7500707399882334E-3</v>
      </c>
      <c r="N5" s="30">
        <f t="shared" ref="N5:X5" si="1">N8/M8-1</f>
        <v>-5.5301194657325636E-3</v>
      </c>
      <c r="O5" s="30">
        <f t="shared" si="1"/>
        <v>5.5608717508484062E-3</v>
      </c>
      <c r="P5" s="30">
        <f t="shared" si="1"/>
        <v>-5.5301194657331187E-3</v>
      </c>
      <c r="Q5" s="30">
        <f t="shared" si="1"/>
        <v>5.5608717508488503E-3</v>
      </c>
      <c r="R5" s="30">
        <f t="shared" si="1"/>
        <v>-5.5301194657330077E-3</v>
      </c>
      <c r="S5" s="30">
        <f t="shared" si="1"/>
        <v>-1</v>
      </c>
      <c r="T5" s="30" t="e">
        <f t="shared" si="1"/>
        <v>#DIV/0!</v>
      </c>
      <c r="U5" s="30" t="e">
        <f t="shared" si="1"/>
        <v>#DIV/0!</v>
      </c>
      <c r="V5" s="30" t="e">
        <f t="shared" si="1"/>
        <v>#DIV/0!</v>
      </c>
      <c r="W5" s="30" t="e">
        <f t="shared" si="1"/>
        <v>#DIV/0!</v>
      </c>
      <c r="X5" s="30" t="e">
        <f t="shared" si="1"/>
        <v>#DIV/0!</v>
      </c>
    </row>
    <row r="6" spans="2:94" s="23" customFormat="1" ht="12.75" customHeight="1" x14ac:dyDescent="0.25">
      <c r="B6" s="31" t="s">
        <v>73</v>
      </c>
      <c r="K6" s="73" t="s">
        <v>73</v>
      </c>
      <c r="L6" s="71" t="s">
        <v>73</v>
      </c>
      <c r="M6" s="71" t="s">
        <v>315</v>
      </c>
      <c r="N6" s="71" t="s">
        <v>315</v>
      </c>
      <c r="O6" s="71" t="s">
        <v>316</v>
      </c>
      <c r="P6" s="71" t="s">
        <v>316</v>
      </c>
      <c r="Q6" s="71" t="s">
        <v>317</v>
      </c>
      <c r="R6" s="71" t="s">
        <v>317</v>
      </c>
      <c r="S6" s="71"/>
      <c r="T6" s="71"/>
      <c r="U6" s="71"/>
      <c r="V6" s="71"/>
      <c r="W6" s="73"/>
      <c r="X6" s="73"/>
      <c r="Y6" s="73"/>
      <c r="Z6" s="73"/>
      <c r="AA6" s="73"/>
      <c r="AB6" s="73"/>
      <c r="AC6" s="73"/>
      <c r="AD6" s="73"/>
      <c r="AE6" s="73"/>
      <c r="AF6" s="73"/>
      <c r="AG6" s="73"/>
      <c r="AH6" s="73"/>
      <c r="AI6" s="73"/>
      <c r="AJ6" s="73"/>
      <c r="AK6" s="73"/>
      <c r="AL6" s="73"/>
      <c r="AM6" s="73"/>
      <c r="AN6" s="73"/>
      <c r="AO6" s="73"/>
      <c r="AP6" s="73"/>
      <c r="AQ6" s="73"/>
      <c r="AR6" s="73"/>
      <c r="AS6" s="73"/>
      <c r="AT6" s="73"/>
      <c r="AU6" s="73"/>
      <c r="AV6" s="73"/>
      <c r="AW6" s="73"/>
      <c r="AX6" s="73"/>
      <c r="AY6" s="73"/>
      <c r="AZ6" s="73"/>
      <c r="BA6" s="73"/>
      <c r="BB6" s="73"/>
      <c r="BC6" s="73"/>
      <c r="BD6" s="73"/>
      <c r="BE6" s="73"/>
      <c r="BF6" s="73"/>
      <c r="BG6" s="73"/>
      <c r="BH6" s="73"/>
      <c r="BI6" s="73"/>
      <c r="BJ6" s="73"/>
      <c r="BK6" s="73"/>
      <c r="BL6" s="73"/>
      <c r="BM6" s="73"/>
      <c r="BN6" s="73"/>
      <c r="BO6" s="73"/>
      <c r="BP6" s="73"/>
      <c r="BQ6" s="73"/>
      <c r="BR6" s="73"/>
      <c r="BS6" s="73"/>
      <c r="BT6" s="73"/>
      <c r="BU6" s="73"/>
      <c r="BV6" s="73"/>
      <c r="BW6" s="73"/>
      <c r="BX6" s="73"/>
      <c r="BY6" s="73"/>
      <c r="BZ6" s="73"/>
      <c r="CA6" s="73"/>
      <c r="CB6" s="73"/>
      <c r="CC6" s="73"/>
      <c r="CD6" s="73"/>
      <c r="CE6" s="73"/>
      <c r="CF6" s="73"/>
      <c r="CG6" s="73"/>
      <c r="CH6" s="73"/>
      <c r="CI6" s="73"/>
      <c r="CJ6" s="73"/>
      <c r="CK6" s="73"/>
      <c r="CL6" s="73"/>
      <c r="CM6" s="73"/>
      <c r="CN6" s="73"/>
      <c r="CO6" s="73"/>
      <c r="CP6" s="73"/>
    </row>
    <row r="7" spans="2:94" s="23" customFormat="1" x14ac:dyDescent="0.25">
      <c r="B7" s="31" t="s">
        <v>74</v>
      </c>
      <c r="C7" s="31"/>
      <c r="D7" s="31"/>
      <c r="E7" s="31"/>
      <c r="F7" s="31"/>
      <c r="G7" s="31"/>
      <c r="H7" s="26"/>
      <c r="K7" s="73" t="s">
        <v>76</v>
      </c>
      <c r="L7" s="71" t="s">
        <v>77</v>
      </c>
      <c r="M7" s="71" t="s">
        <v>76</v>
      </c>
      <c r="N7" s="71" t="s">
        <v>77</v>
      </c>
      <c r="O7" s="71" t="s">
        <v>76</v>
      </c>
      <c r="P7" s="71" t="s">
        <v>77</v>
      </c>
      <c r="Q7" s="71" t="s">
        <v>76</v>
      </c>
      <c r="R7" s="71" t="s">
        <v>77</v>
      </c>
      <c r="S7" s="71"/>
      <c r="T7" s="71"/>
      <c r="U7" s="71"/>
      <c r="V7" s="71"/>
      <c r="W7" s="73"/>
      <c r="X7" s="73"/>
      <c r="Y7" s="73"/>
      <c r="Z7" s="73"/>
      <c r="AA7" s="73"/>
      <c r="AB7" s="73"/>
      <c r="AC7" s="73"/>
      <c r="AD7" s="73"/>
      <c r="AE7" s="73"/>
      <c r="AF7" s="73"/>
      <c r="AG7" s="73"/>
      <c r="AH7" s="73"/>
      <c r="AI7" s="73"/>
      <c r="AJ7" s="73"/>
      <c r="AK7" s="73"/>
      <c r="AL7" s="73"/>
      <c r="AM7" s="73"/>
      <c r="AN7" s="73"/>
      <c r="AO7" s="73"/>
      <c r="AP7" s="73"/>
      <c r="AQ7" s="73"/>
      <c r="AR7" s="73"/>
      <c r="AS7" s="73"/>
      <c r="AT7" s="73"/>
      <c r="AU7" s="73"/>
      <c r="AV7" s="73"/>
      <c r="AW7" s="73"/>
      <c r="AX7" s="73"/>
      <c r="AY7" s="73"/>
      <c r="AZ7" s="73"/>
      <c r="BA7" s="73"/>
      <c r="BB7" s="73"/>
      <c r="BC7" s="73"/>
      <c r="BD7" s="73"/>
      <c r="BE7" s="73"/>
      <c r="BF7" s="73"/>
      <c r="BG7" s="73"/>
      <c r="BH7" s="73"/>
      <c r="BI7" s="73"/>
      <c r="BJ7" s="73"/>
      <c r="BK7" s="73"/>
      <c r="BL7" s="73"/>
      <c r="BM7" s="73"/>
      <c r="BN7" s="73"/>
      <c r="BO7" s="73"/>
      <c r="BP7" s="73"/>
      <c r="BQ7" s="73"/>
      <c r="BR7" s="73"/>
      <c r="BS7" s="73"/>
      <c r="BT7" s="73"/>
      <c r="BU7" s="73"/>
      <c r="BV7" s="73"/>
      <c r="BW7" s="73"/>
      <c r="BX7" s="73"/>
      <c r="BY7" s="73"/>
      <c r="BZ7" s="73"/>
      <c r="CA7" s="73"/>
      <c r="CB7" s="73"/>
      <c r="CC7" s="73"/>
      <c r="CD7" s="73"/>
      <c r="CE7" s="73"/>
      <c r="CF7" s="73"/>
      <c r="CG7" s="73"/>
      <c r="CH7" s="73"/>
      <c r="CI7" s="73"/>
      <c r="CJ7" s="73"/>
      <c r="CK7" s="73"/>
      <c r="CL7" s="73"/>
      <c r="CM7" s="73"/>
      <c r="CN7" s="73"/>
      <c r="CO7" s="73"/>
      <c r="CP7" s="73"/>
    </row>
    <row r="8" spans="2:94" x14ac:dyDescent="0.25">
      <c r="J8" s="75" t="s">
        <v>79</v>
      </c>
      <c r="K8" s="24">
        <v>297.92</v>
      </c>
      <c r="L8" s="24">
        <v>296.21673283184867</v>
      </c>
      <c r="M8" s="24">
        <v>297.92</v>
      </c>
      <c r="N8" s="24">
        <v>296.27246680876897</v>
      </c>
      <c r="O8" s="24">
        <v>297.92</v>
      </c>
      <c r="P8" s="24">
        <v>296.2724668087688</v>
      </c>
      <c r="Q8" s="24">
        <v>297.92</v>
      </c>
      <c r="R8" s="24">
        <v>296.27246680876885</v>
      </c>
      <c r="S8" s="24"/>
      <c r="T8" s="24"/>
      <c r="U8" s="24"/>
      <c r="V8" s="24"/>
      <c r="W8" s="24"/>
      <c r="X8" s="24"/>
      <c r="Y8" s="37"/>
      <c r="Z8" s="37"/>
      <c r="AA8" s="37"/>
      <c r="AB8" s="37"/>
      <c r="AC8" s="37"/>
      <c r="AD8" s="37"/>
      <c r="AE8" s="37"/>
    </row>
    <row r="9" spans="2:94" x14ac:dyDescent="0.25">
      <c r="J9" s="75" t="s">
        <v>81</v>
      </c>
      <c r="K9" s="24">
        <v>2229.1219119226639</v>
      </c>
      <c r="L9" s="24">
        <v>2234.9834594451709</v>
      </c>
      <c r="M9" s="24">
        <v>2229.1219119226639</v>
      </c>
      <c r="N9" s="24">
        <v>2249.4101904204213</v>
      </c>
      <c r="O9" s="24">
        <v>2229.1219119226639</v>
      </c>
      <c r="P9" s="24">
        <v>2249.4101904204213</v>
      </c>
      <c r="Q9" s="24">
        <v>2229.1219119226639</v>
      </c>
      <c r="R9" s="24">
        <v>2249.4101904204213</v>
      </c>
      <c r="S9" s="24"/>
      <c r="T9" s="24"/>
      <c r="U9" s="24"/>
      <c r="V9" s="24"/>
      <c r="W9" s="24"/>
      <c r="X9" s="24"/>
      <c r="Y9" s="37"/>
      <c r="Z9" s="37"/>
      <c r="AA9" s="37"/>
      <c r="AB9" s="37"/>
      <c r="AC9" s="37"/>
      <c r="AD9" s="37"/>
      <c r="AE9" s="37"/>
    </row>
    <row r="10" spans="2:94" x14ac:dyDescent="0.25">
      <c r="J10" s="75" t="s">
        <v>83</v>
      </c>
      <c r="K10" s="24">
        <v>768.1</v>
      </c>
      <c r="L10" s="24">
        <v>817.58307352566919</v>
      </c>
      <c r="M10" s="24">
        <v>768.1</v>
      </c>
      <c r="N10" s="24">
        <v>815.0406943249651</v>
      </c>
      <c r="O10" s="24">
        <v>768.1</v>
      </c>
      <c r="P10" s="24">
        <v>815.04069432496487</v>
      </c>
      <c r="Q10" s="24">
        <v>768.1</v>
      </c>
      <c r="R10" s="24">
        <v>815.04069432496522</v>
      </c>
      <c r="S10" s="24"/>
      <c r="T10" s="24"/>
      <c r="U10" s="24"/>
      <c r="V10" s="24"/>
      <c r="W10" s="24"/>
      <c r="X10" s="24"/>
      <c r="Y10" s="37"/>
      <c r="Z10" s="37"/>
      <c r="AA10" s="37"/>
      <c r="AB10" s="37"/>
      <c r="AC10" s="37"/>
      <c r="AD10" s="37"/>
      <c r="AE10" s="37"/>
    </row>
    <row r="11" spans="2:94" x14ac:dyDescent="0.25">
      <c r="J11" s="75" t="s">
        <v>85</v>
      </c>
      <c r="K11" s="24">
        <v>664.1</v>
      </c>
      <c r="L11" s="24">
        <v>662.03949829007104</v>
      </c>
      <c r="M11" s="24">
        <v>664.1</v>
      </c>
      <c r="N11" s="24">
        <v>666.43830598064085</v>
      </c>
      <c r="O11" s="24">
        <v>664.1</v>
      </c>
      <c r="P11" s="24">
        <v>666.43830598064073</v>
      </c>
      <c r="Q11" s="24">
        <v>664.1</v>
      </c>
      <c r="R11" s="24">
        <v>666.43830598064073</v>
      </c>
      <c r="S11" s="24"/>
      <c r="T11" s="24"/>
      <c r="U11" s="24"/>
      <c r="V11" s="24"/>
      <c r="W11" s="24"/>
      <c r="X11" s="24"/>
      <c r="Y11" s="37"/>
      <c r="Z11" s="37"/>
      <c r="AA11" s="37"/>
      <c r="AB11" s="37"/>
      <c r="AC11" s="37"/>
      <c r="AD11" s="37"/>
      <c r="AE11" s="37"/>
    </row>
    <row r="12" spans="2:94" x14ac:dyDescent="0.25">
      <c r="J12" s="75" t="s">
        <v>87</v>
      </c>
      <c r="K12" s="24">
        <v>104</v>
      </c>
      <c r="L12" s="24">
        <v>155.54357523559818</v>
      </c>
      <c r="M12" s="24">
        <v>104</v>
      </c>
      <c r="N12" s="24">
        <v>148.60238834432425</v>
      </c>
      <c r="O12" s="24">
        <v>104</v>
      </c>
      <c r="P12" s="24">
        <v>148.60238834432414</v>
      </c>
      <c r="Q12" s="24">
        <v>104</v>
      </c>
      <c r="R12" s="24">
        <v>148.60238834432448</v>
      </c>
      <c r="S12" s="24"/>
      <c r="T12" s="24"/>
      <c r="U12" s="24"/>
      <c r="V12" s="24"/>
      <c r="W12" s="24"/>
      <c r="X12" s="24"/>
      <c r="Y12" s="37"/>
      <c r="Z12" s="37"/>
      <c r="AA12" s="37"/>
      <c r="AB12" s="37"/>
      <c r="AC12" s="37"/>
      <c r="AD12" s="37"/>
      <c r="AE12" s="37"/>
    </row>
    <row r="13" spans="2:94" x14ac:dyDescent="0.25">
      <c r="J13" s="75" t="s">
        <v>89</v>
      </c>
      <c r="K13" s="24">
        <v>768.1</v>
      </c>
      <c r="L13" s="24">
        <v>817.58307352566919</v>
      </c>
      <c r="M13" s="24">
        <v>768.1</v>
      </c>
      <c r="N13" s="24">
        <v>815.0406943249651</v>
      </c>
      <c r="O13" s="24">
        <v>768.1</v>
      </c>
      <c r="P13" s="24">
        <v>815.04069432496487</v>
      </c>
      <c r="Q13" s="24">
        <v>768.1</v>
      </c>
      <c r="R13" s="24">
        <v>815.04069432496522</v>
      </c>
      <c r="S13" s="24"/>
      <c r="T13" s="24"/>
      <c r="U13" s="24"/>
      <c r="V13" s="24"/>
      <c r="W13" s="24"/>
      <c r="X13" s="24"/>
      <c r="Y13" s="37"/>
      <c r="Z13" s="37"/>
      <c r="AA13" s="37"/>
      <c r="AB13" s="37"/>
      <c r="AC13" s="37"/>
      <c r="AD13" s="37"/>
      <c r="AE13" s="37"/>
    </row>
    <row r="14" spans="2:94" x14ac:dyDescent="0.25">
      <c r="J14" s="75" t="s">
        <v>97</v>
      </c>
      <c r="K14" s="24">
        <v>760</v>
      </c>
      <c r="L14" s="24">
        <v>809.09630595037208</v>
      </c>
      <c r="M14" s="24">
        <v>760</v>
      </c>
      <c r="N14" s="24">
        <v>806.49753788076407</v>
      </c>
      <c r="O14" s="24">
        <v>760</v>
      </c>
      <c r="P14" s="24">
        <v>806.49753788076396</v>
      </c>
      <c r="Q14" s="24">
        <v>760</v>
      </c>
      <c r="R14" s="24">
        <v>806.49753788076418</v>
      </c>
      <c r="S14" s="24"/>
      <c r="T14" s="24"/>
      <c r="U14" s="24"/>
      <c r="V14" s="24"/>
      <c r="W14" s="24"/>
      <c r="X14" s="24"/>
      <c r="Y14" s="37"/>
      <c r="Z14" s="37"/>
      <c r="AA14" s="37"/>
      <c r="AB14" s="37"/>
      <c r="AC14" s="37"/>
      <c r="AD14" s="37"/>
      <c r="AE14" s="37"/>
    </row>
    <row r="15" spans="2:94" x14ac:dyDescent="0.25">
      <c r="J15" s="75" t="s">
        <v>101</v>
      </c>
      <c r="K15" s="24">
        <v>8.1000000000000192</v>
      </c>
      <c r="L15" s="24">
        <v>8.4867675752971348</v>
      </c>
      <c r="M15" s="24">
        <v>8.1000000000000192</v>
      </c>
      <c r="N15" s="24">
        <v>8.5431564442010526</v>
      </c>
      <c r="O15" s="24">
        <v>8.1000000000000192</v>
      </c>
      <c r="P15" s="24">
        <v>8.5431564442010526</v>
      </c>
      <c r="Q15" s="24">
        <v>8.1000000000000192</v>
      </c>
      <c r="R15" s="24">
        <v>8.5431564442010526</v>
      </c>
      <c r="S15" s="24"/>
      <c r="T15" s="24"/>
      <c r="U15" s="24"/>
      <c r="V15" s="24"/>
      <c r="W15" s="24"/>
      <c r="X15" s="24"/>
      <c r="Y15" s="37"/>
      <c r="Z15" s="37"/>
      <c r="AA15" s="37"/>
      <c r="AB15" s="37"/>
      <c r="AC15" s="37"/>
      <c r="AD15" s="37"/>
      <c r="AE15" s="37"/>
    </row>
    <row r="16" spans="2:94" x14ac:dyDescent="0.25">
      <c r="J16" s="75" t="s">
        <v>103</v>
      </c>
      <c r="K16" s="24">
        <v>760</v>
      </c>
      <c r="L16" s="24">
        <v>809.09630595037208</v>
      </c>
      <c r="M16" s="24">
        <v>760</v>
      </c>
      <c r="N16" s="24">
        <v>806.49753788076407</v>
      </c>
      <c r="O16" s="24">
        <v>760</v>
      </c>
      <c r="P16" s="24">
        <v>806.49753788076384</v>
      </c>
      <c r="Q16" s="24">
        <v>760</v>
      </c>
      <c r="R16" s="24">
        <v>806.49753788076418</v>
      </c>
      <c r="S16" s="24"/>
      <c r="T16" s="24"/>
      <c r="U16" s="24"/>
      <c r="V16" s="24"/>
      <c r="W16" s="24"/>
      <c r="X16" s="24"/>
      <c r="Y16" s="37"/>
      <c r="Z16" s="37"/>
      <c r="AA16" s="37"/>
      <c r="AB16" s="37"/>
      <c r="AC16" s="37"/>
      <c r="AD16" s="37"/>
      <c r="AE16" s="37"/>
    </row>
    <row r="17" spans="10:31" x14ac:dyDescent="0.25">
      <c r="J17" s="75" t="s">
        <v>109</v>
      </c>
      <c r="K17" s="24">
        <v>349.48708108066165</v>
      </c>
      <c r="L17" s="24">
        <v>368.04800403880631</v>
      </c>
      <c r="M17" s="24">
        <v>337.1427185657202</v>
      </c>
      <c r="N17" s="24">
        <v>338.92974938294697</v>
      </c>
      <c r="O17" s="24">
        <v>349.48708108066165</v>
      </c>
      <c r="P17" s="24">
        <v>364.20371768740341</v>
      </c>
      <c r="Q17" s="24">
        <v>349.48708108066165</v>
      </c>
      <c r="R17" s="24">
        <v>364.20371768740358</v>
      </c>
      <c r="S17" s="24"/>
      <c r="T17" s="24"/>
      <c r="U17" s="24"/>
      <c r="V17" s="24"/>
      <c r="W17" s="24"/>
      <c r="X17" s="24"/>
      <c r="Y17" s="37"/>
      <c r="Z17" s="37"/>
      <c r="AA17" s="37"/>
      <c r="AB17" s="37"/>
      <c r="AC17" s="37"/>
      <c r="AD17" s="37"/>
      <c r="AE17" s="37"/>
    </row>
  </sheetData>
  <phoneticPr fontId="14" type="noConversion"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B4:CP22"/>
  <sheetViews>
    <sheetView topLeftCell="I4" zoomScale="90" zoomScaleNormal="90" workbookViewId="0">
      <pane xSplit="2" ySplit="4" topLeftCell="K8" activePane="bottomRight" state="frozen"/>
      <selection pane="topRight"/>
      <selection pane="bottomLeft"/>
      <selection pane="bottomRight" activeCell="O19" sqref="O19"/>
    </sheetView>
  </sheetViews>
  <sheetFormatPr defaultColWidth="9" defaultRowHeight="15" x14ac:dyDescent="0.25"/>
  <cols>
    <col min="1" max="1" width="9" style="20"/>
    <col min="2" max="2" width="12" style="20" customWidth="1"/>
    <col min="3" max="8" width="9" style="20"/>
    <col min="9" max="9" width="4" style="20" customWidth="1"/>
    <col min="10" max="10" width="43.25" style="20" customWidth="1"/>
    <col min="11" max="23" width="10.75" style="20" customWidth="1"/>
    <col min="24" max="24" width="15.375" style="20"/>
    <col min="25" max="25" width="9" style="20"/>
    <col min="26" max="26" width="12.625" style="20"/>
    <col min="27" max="16384" width="9" style="20"/>
  </cols>
  <sheetData>
    <row r="4" spans="2:94" x14ac:dyDescent="0.25">
      <c r="Z4" s="34"/>
    </row>
    <row r="5" spans="2:94" x14ac:dyDescent="0.25">
      <c r="L5" s="22">
        <f>L9/L8</f>
        <v>0.70524152328118372</v>
      </c>
      <c r="X5" s="36"/>
    </row>
    <row r="6" spans="2:94" s="23" customFormat="1" ht="12.75" customHeight="1" x14ac:dyDescent="0.25">
      <c r="B6" s="31" t="s">
        <v>73</v>
      </c>
      <c r="K6" s="73" t="s">
        <v>73</v>
      </c>
      <c r="L6" s="71" t="s">
        <v>73</v>
      </c>
      <c r="M6" s="71" t="s">
        <v>315</v>
      </c>
      <c r="N6" s="71" t="s">
        <v>315</v>
      </c>
      <c r="O6" s="71" t="s">
        <v>316</v>
      </c>
      <c r="P6" s="71" t="s">
        <v>316</v>
      </c>
      <c r="Q6" s="71" t="s">
        <v>317</v>
      </c>
      <c r="R6" s="71" t="s">
        <v>317</v>
      </c>
      <c r="S6" s="71"/>
      <c r="T6" s="71"/>
      <c r="U6" s="71"/>
      <c r="V6" s="71"/>
      <c r="W6" s="73"/>
      <c r="X6" s="73"/>
      <c r="Y6" s="73"/>
      <c r="Z6" s="73"/>
      <c r="AA6" s="73"/>
      <c r="AB6" s="73"/>
      <c r="AC6" s="73"/>
      <c r="AD6" s="73"/>
      <c r="AE6" s="73"/>
      <c r="AF6" s="73"/>
      <c r="AG6" s="73"/>
      <c r="AH6" s="73"/>
      <c r="AI6" s="73"/>
      <c r="AJ6" s="73"/>
      <c r="AK6" s="73"/>
      <c r="AL6" s="73"/>
      <c r="AM6" s="73"/>
      <c r="AN6" s="73"/>
      <c r="AO6" s="73"/>
      <c r="AP6" s="73"/>
      <c r="AQ6" s="73"/>
      <c r="AR6" s="73"/>
      <c r="AS6" s="73"/>
      <c r="AT6" s="73"/>
      <c r="AU6" s="73"/>
      <c r="AV6" s="73"/>
      <c r="AW6" s="73"/>
      <c r="AX6" s="73"/>
      <c r="AY6" s="73"/>
      <c r="AZ6" s="73"/>
      <c r="BA6" s="73"/>
      <c r="BB6" s="73"/>
      <c r="BC6" s="73"/>
      <c r="BD6" s="73"/>
      <c r="BE6" s="73"/>
      <c r="BF6" s="73"/>
      <c r="BG6" s="73"/>
      <c r="BH6" s="73"/>
      <c r="BI6" s="73"/>
      <c r="BJ6" s="73"/>
      <c r="BK6" s="73"/>
      <c r="BL6" s="73"/>
      <c r="BM6" s="73"/>
      <c r="BN6" s="73"/>
      <c r="BO6" s="73"/>
      <c r="BP6" s="73"/>
      <c r="BQ6" s="73"/>
      <c r="BR6" s="73"/>
      <c r="BS6" s="73"/>
      <c r="BT6" s="73"/>
      <c r="BU6" s="73"/>
      <c r="BV6" s="73"/>
      <c r="BW6" s="73"/>
      <c r="BX6" s="73"/>
      <c r="BY6" s="73"/>
      <c r="BZ6" s="73"/>
      <c r="CA6" s="73"/>
      <c r="CB6" s="73"/>
      <c r="CC6" s="73"/>
      <c r="CD6" s="73"/>
      <c r="CE6" s="73"/>
      <c r="CF6" s="73"/>
      <c r="CG6" s="73"/>
      <c r="CH6" s="73"/>
      <c r="CI6" s="73"/>
      <c r="CJ6" s="73"/>
      <c r="CK6" s="73"/>
      <c r="CL6" s="73"/>
      <c r="CM6" s="73"/>
      <c r="CN6" s="73"/>
      <c r="CO6" s="73"/>
      <c r="CP6" s="73"/>
    </row>
    <row r="7" spans="2:94" s="23" customFormat="1" x14ac:dyDescent="0.25">
      <c r="B7" s="31" t="s">
        <v>74</v>
      </c>
      <c r="C7" s="31"/>
      <c r="D7" s="31"/>
      <c r="E7" s="31"/>
      <c r="F7" s="31"/>
      <c r="G7" s="31"/>
      <c r="H7" s="26"/>
      <c r="K7" s="73" t="s">
        <v>76</v>
      </c>
      <c r="L7" s="71" t="s">
        <v>77</v>
      </c>
      <c r="M7" s="71" t="s">
        <v>76</v>
      </c>
      <c r="N7" s="71" t="s">
        <v>77</v>
      </c>
      <c r="O7" s="71" t="s">
        <v>76</v>
      </c>
      <c r="P7" s="71" t="s">
        <v>77</v>
      </c>
      <c r="Q7" s="71" t="s">
        <v>76</v>
      </c>
      <c r="R7" s="71" t="s">
        <v>77</v>
      </c>
      <c r="S7" s="71"/>
      <c r="T7" s="71"/>
      <c r="U7" s="71"/>
      <c r="V7" s="71"/>
      <c r="W7" s="73"/>
      <c r="X7" s="73"/>
      <c r="Y7" s="73"/>
      <c r="Z7" s="73"/>
      <c r="AA7" s="73"/>
      <c r="AB7" s="73"/>
      <c r="AC7" s="73"/>
      <c r="AD7" s="73"/>
      <c r="AE7" s="73"/>
      <c r="AF7" s="73"/>
      <c r="AG7" s="73"/>
      <c r="AH7" s="73"/>
      <c r="AI7" s="73"/>
      <c r="AJ7" s="73"/>
      <c r="AK7" s="73"/>
      <c r="AL7" s="73"/>
      <c r="AM7" s="73"/>
      <c r="AN7" s="73"/>
      <c r="AO7" s="73"/>
      <c r="AP7" s="73"/>
      <c r="AQ7" s="73"/>
      <c r="AR7" s="73"/>
      <c r="AS7" s="73"/>
      <c r="AT7" s="73"/>
      <c r="AU7" s="73"/>
      <c r="AV7" s="73"/>
      <c r="AW7" s="73"/>
      <c r="AX7" s="73"/>
      <c r="AY7" s="73"/>
      <c r="AZ7" s="73"/>
      <c r="BA7" s="73"/>
      <c r="BB7" s="73"/>
      <c r="BC7" s="73"/>
      <c r="BD7" s="73"/>
      <c r="BE7" s="73"/>
      <c r="BF7" s="73"/>
      <c r="BG7" s="73"/>
      <c r="BH7" s="73"/>
      <c r="BI7" s="73"/>
      <c r="BJ7" s="73"/>
      <c r="BK7" s="73"/>
      <c r="BL7" s="73"/>
      <c r="BM7" s="73"/>
      <c r="BN7" s="73"/>
      <c r="BO7" s="73"/>
      <c r="BP7" s="73"/>
      <c r="BQ7" s="73"/>
      <c r="BR7" s="73"/>
      <c r="BS7" s="73"/>
      <c r="BT7" s="73"/>
      <c r="BU7" s="73"/>
      <c r="BV7" s="73"/>
      <c r="BW7" s="73"/>
      <c r="BX7" s="73"/>
      <c r="BY7" s="73"/>
      <c r="BZ7" s="73"/>
      <c r="CA7" s="73"/>
      <c r="CB7" s="73"/>
      <c r="CC7" s="73"/>
      <c r="CD7" s="73"/>
      <c r="CE7" s="73"/>
      <c r="CF7" s="73"/>
      <c r="CG7" s="73"/>
      <c r="CH7" s="73"/>
      <c r="CI7" s="73"/>
      <c r="CJ7" s="73"/>
      <c r="CK7" s="73"/>
      <c r="CL7" s="73"/>
      <c r="CM7" s="73"/>
      <c r="CN7" s="73"/>
      <c r="CO7" s="73"/>
      <c r="CP7" s="73"/>
    </row>
    <row r="8" spans="2:94" x14ac:dyDescent="0.25">
      <c r="I8" s="20">
        <v>1</v>
      </c>
      <c r="J8" s="75" t="s">
        <v>83</v>
      </c>
      <c r="K8" s="27">
        <v>1562</v>
      </c>
      <c r="L8" s="27">
        <v>1607.8327555108319</v>
      </c>
      <c r="M8" s="27">
        <v>1562</v>
      </c>
      <c r="N8" s="27">
        <v>1604.1497105238229</v>
      </c>
      <c r="O8" s="27">
        <v>1562</v>
      </c>
      <c r="P8" s="27">
        <v>1604.1497105238232</v>
      </c>
      <c r="Q8" s="27">
        <v>1562</v>
      </c>
      <c r="R8" s="27">
        <v>1604.1497105238232</v>
      </c>
      <c r="S8" s="27"/>
      <c r="T8" s="27"/>
      <c r="U8" s="27"/>
      <c r="V8" s="27"/>
      <c r="W8" s="27"/>
      <c r="X8" s="27"/>
    </row>
    <row r="9" spans="2:94" x14ac:dyDescent="0.25">
      <c r="I9" s="20">
        <v>2</v>
      </c>
      <c r="J9" s="75" t="s">
        <v>85</v>
      </c>
      <c r="K9" s="27">
        <v>1116</v>
      </c>
      <c r="L9" s="27">
        <v>1133.9104216778421</v>
      </c>
      <c r="M9" s="27">
        <v>1116</v>
      </c>
      <c r="N9" s="27">
        <v>1138.923313575566</v>
      </c>
      <c r="O9" s="27">
        <v>1116</v>
      </c>
      <c r="P9" s="27">
        <v>1138.9233135755662</v>
      </c>
      <c r="Q9" s="27">
        <v>1116</v>
      </c>
      <c r="R9" s="27">
        <v>1138.9233135755667</v>
      </c>
      <c r="S9" s="27"/>
      <c r="T9" s="27"/>
      <c r="U9" s="27"/>
      <c r="V9" s="27"/>
      <c r="W9" s="27"/>
      <c r="X9" s="27"/>
    </row>
    <row r="10" spans="2:94" x14ac:dyDescent="0.25">
      <c r="I10" s="20">
        <v>3</v>
      </c>
      <c r="J10" s="75" t="s">
        <v>87</v>
      </c>
      <c r="K10" s="27">
        <v>446</v>
      </c>
      <c r="L10" s="27">
        <v>473.92233383298981</v>
      </c>
      <c r="M10" s="27">
        <v>446</v>
      </c>
      <c r="N10" s="27">
        <v>465.22639694825693</v>
      </c>
      <c r="O10" s="27">
        <v>446</v>
      </c>
      <c r="P10" s="27">
        <v>465.22639694825693</v>
      </c>
      <c r="Q10" s="27">
        <v>446</v>
      </c>
      <c r="R10" s="27">
        <v>465.22639694825648</v>
      </c>
      <c r="S10" s="27"/>
      <c r="T10" s="27"/>
      <c r="U10" s="27"/>
      <c r="V10" s="27"/>
      <c r="W10" s="27"/>
      <c r="X10" s="27"/>
    </row>
    <row r="11" spans="2:94" x14ac:dyDescent="0.25">
      <c r="I11" s="20">
        <v>4</v>
      </c>
      <c r="J11" s="75" t="s">
        <v>89</v>
      </c>
      <c r="K11" s="27">
        <v>1562</v>
      </c>
      <c r="L11" s="27">
        <v>1607.8327555108319</v>
      </c>
      <c r="M11" s="27">
        <v>1562</v>
      </c>
      <c r="N11" s="27">
        <v>1604.1497105238229</v>
      </c>
      <c r="O11" s="27">
        <v>1562</v>
      </c>
      <c r="P11" s="27">
        <v>1604.1497105238232</v>
      </c>
      <c r="Q11" s="27">
        <v>1562</v>
      </c>
      <c r="R11" s="27">
        <v>1604.1497105238232</v>
      </c>
      <c r="S11" s="27"/>
      <c r="T11" s="27"/>
      <c r="U11" s="27"/>
      <c r="V11" s="27"/>
      <c r="W11" s="27"/>
      <c r="X11" s="27"/>
    </row>
    <row r="12" spans="2:94" x14ac:dyDescent="0.25">
      <c r="I12" s="20">
        <v>5</v>
      </c>
      <c r="J12" s="75" t="s">
        <v>91</v>
      </c>
      <c r="K12" s="27">
        <v>5.0544882517492473</v>
      </c>
      <c r="L12" s="27">
        <v>5.1321926822365542</v>
      </c>
      <c r="M12" s="27">
        <v>5.0544882517492473</v>
      </c>
      <c r="N12" s="27">
        <v>5.1272418255892394</v>
      </c>
      <c r="O12" s="27">
        <v>5.0544882517492473</v>
      </c>
      <c r="P12" s="27">
        <v>5.1272418255892402</v>
      </c>
      <c r="Q12" s="27">
        <v>5.0544882517492473</v>
      </c>
      <c r="R12" s="27">
        <v>5.127241825589242</v>
      </c>
      <c r="S12" s="27"/>
      <c r="T12" s="27"/>
      <c r="U12" s="27"/>
      <c r="V12" s="27"/>
      <c r="W12" s="27"/>
      <c r="X12" s="27"/>
    </row>
    <row r="13" spans="2:94" x14ac:dyDescent="0.25">
      <c r="I13" s="20">
        <v>6</v>
      </c>
      <c r="J13" s="75" t="s">
        <v>97</v>
      </c>
      <c r="K13" s="27">
        <v>867.9</v>
      </c>
      <c r="L13" s="27">
        <v>910.14592074394272</v>
      </c>
      <c r="M13" s="27">
        <v>867.9</v>
      </c>
      <c r="N13" s="27">
        <v>907.22258746443242</v>
      </c>
      <c r="O13" s="27">
        <v>867.9</v>
      </c>
      <c r="P13" s="27">
        <v>907.22258746443254</v>
      </c>
      <c r="Q13" s="27">
        <v>867.9</v>
      </c>
      <c r="R13" s="27">
        <v>907.22258746443265</v>
      </c>
      <c r="S13" s="27"/>
      <c r="T13" s="27"/>
      <c r="U13" s="27"/>
      <c r="V13" s="27"/>
      <c r="W13" s="27"/>
      <c r="X13" s="27"/>
    </row>
    <row r="14" spans="2:94" x14ac:dyDescent="0.25">
      <c r="I14" s="20">
        <v>7</v>
      </c>
      <c r="J14" s="75" t="s">
        <v>101</v>
      </c>
      <c r="K14" s="27">
        <v>-16</v>
      </c>
      <c r="L14" s="27">
        <v>-16.094212436717758</v>
      </c>
      <c r="M14" s="27">
        <v>-16</v>
      </c>
      <c r="N14" s="27">
        <v>-16.165363160427383</v>
      </c>
      <c r="O14" s="27">
        <v>-16</v>
      </c>
      <c r="P14" s="27">
        <v>-16.16536316042739</v>
      </c>
      <c r="Q14" s="27">
        <v>-16</v>
      </c>
      <c r="R14" s="27">
        <v>-16.165363160427393</v>
      </c>
      <c r="S14" s="27"/>
      <c r="T14" s="27"/>
      <c r="U14" s="27"/>
      <c r="V14" s="27"/>
      <c r="W14" s="27"/>
      <c r="X14" s="27"/>
    </row>
    <row r="15" spans="2:94" x14ac:dyDescent="0.25">
      <c r="I15" s="20">
        <v>8</v>
      </c>
      <c r="J15" s="75" t="s">
        <v>103</v>
      </c>
      <c r="K15" s="27">
        <v>1578</v>
      </c>
      <c r="L15" s="27">
        <v>1623.9269679475497</v>
      </c>
      <c r="M15" s="27">
        <v>1578</v>
      </c>
      <c r="N15" s="27">
        <v>1620.3150736842504</v>
      </c>
      <c r="O15" s="27">
        <v>1578</v>
      </c>
      <c r="P15" s="27">
        <v>1620.3150736842506</v>
      </c>
      <c r="Q15" s="27">
        <v>1578</v>
      </c>
      <c r="R15" s="27">
        <v>1620.3150736842506</v>
      </c>
      <c r="S15" s="27"/>
      <c r="T15" s="27"/>
      <c r="U15" s="27"/>
      <c r="V15" s="27"/>
      <c r="W15" s="27"/>
      <c r="X15" s="27"/>
    </row>
    <row r="16" spans="2:94" x14ac:dyDescent="0.25">
      <c r="I16" s="20">
        <v>9</v>
      </c>
      <c r="J16" s="75" t="s">
        <v>105</v>
      </c>
      <c r="K16" s="27">
        <v>56.253005515305922</v>
      </c>
      <c r="L16" s="27">
        <v>57.117802808138372</v>
      </c>
      <c r="M16" s="27">
        <v>56.253005515305922</v>
      </c>
      <c r="N16" s="27">
        <v>57.06270315167157</v>
      </c>
      <c r="O16" s="27">
        <v>56.253005515305922</v>
      </c>
      <c r="P16" s="27">
        <v>57.062703151671577</v>
      </c>
      <c r="Q16" s="27">
        <v>56.253005515305922</v>
      </c>
      <c r="R16" s="27">
        <v>57.062703151671606</v>
      </c>
      <c r="S16" s="27"/>
      <c r="T16" s="27"/>
      <c r="U16" s="27"/>
      <c r="V16" s="27"/>
      <c r="W16" s="27"/>
      <c r="X16" s="27"/>
    </row>
    <row r="17" spans="9:24" x14ac:dyDescent="0.25">
      <c r="I17" s="20">
        <v>10</v>
      </c>
      <c r="J17" s="75" t="s">
        <v>107</v>
      </c>
      <c r="K17" s="27">
        <v>710.1</v>
      </c>
      <c r="L17" s="27">
        <v>713.78104720360682</v>
      </c>
      <c r="M17" s="27">
        <v>710.1</v>
      </c>
      <c r="N17" s="27">
        <v>713.09248621981794</v>
      </c>
      <c r="O17" s="27">
        <v>710.1</v>
      </c>
      <c r="P17" s="27">
        <v>713.09248621981806</v>
      </c>
      <c r="Q17" s="27">
        <v>710.1</v>
      </c>
      <c r="R17" s="27">
        <v>713.09248621981828</v>
      </c>
      <c r="S17" s="27"/>
      <c r="T17" s="27"/>
      <c r="U17" s="27"/>
      <c r="V17" s="27"/>
      <c r="W17" s="27"/>
      <c r="X17" s="27"/>
    </row>
    <row r="18" spans="9:24" x14ac:dyDescent="0.25">
      <c r="I18" s="20">
        <v>11</v>
      </c>
    </row>
    <row r="19" spans="9:24" x14ac:dyDescent="0.25">
      <c r="I19" s="20">
        <v>12</v>
      </c>
    </row>
    <row r="20" spans="9:24" x14ac:dyDescent="0.25">
      <c r="I20" s="20">
        <v>13</v>
      </c>
    </row>
    <row r="21" spans="9:24" x14ac:dyDescent="0.25">
      <c r="I21" s="20">
        <v>14</v>
      </c>
    </row>
    <row r="22" spans="9:24" x14ac:dyDescent="0.25">
      <c r="I22" s="20">
        <v>15</v>
      </c>
    </row>
  </sheetData>
  <phoneticPr fontId="14" type="noConversion"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B6:CP21"/>
  <sheetViews>
    <sheetView topLeftCell="I1" workbookViewId="0">
      <pane xSplit="2" ySplit="7" topLeftCell="K8" activePane="bottomRight" state="frozen"/>
      <selection pane="topRight"/>
      <selection pane="bottomLeft"/>
      <selection pane="bottomRight" activeCell="N49" sqref="N48:N49"/>
    </sheetView>
  </sheetViews>
  <sheetFormatPr defaultColWidth="9" defaultRowHeight="15" x14ac:dyDescent="0.25"/>
  <cols>
    <col min="1" max="9" width="9" style="20"/>
    <col min="10" max="10" width="42.875" style="20" customWidth="1"/>
    <col min="11" max="24" width="14.125" style="20"/>
    <col min="25" max="16384" width="9" style="20"/>
  </cols>
  <sheetData>
    <row r="6" spans="2:94" s="23" customFormat="1" ht="12.75" customHeight="1" x14ac:dyDescent="0.25">
      <c r="B6" s="31" t="s">
        <v>73</v>
      </c>
      <c r="K6" s="73" t="s">
        <v>73</v>
      </c>
      <c r="L6" s="71" t="s">
        <v>73</v>
      </c>
      <c r="M6" s="71" t="s">
        <v>315</v>
      </c>
      <c r="N6" s="71" t="s">
        <v>315</v>
      </c>
      <c r="O6" s="71" t="s">
        <v>316</v>
      </c>
      <c r="P6" s="71" t="s">
        <v>316</v>
      </c>
      <c r="Q6" s="71" t="s">
        <v>317</v>
      </c>
      <c r="R6" s="71" t="s">
        <v>317</v>
      </c>
      <c r="S6" s="71"/>
      <c r="T6" s="71"/>
      <c r="U6" s="71"/>
      <c r="V6" s="71"/>
      <c r="W6" s="73"/>
      <c r="X6" s="73"/>
      <c r="Y6" s="73"/>
      <c r="Z6" s="73"/>
      <c r="AA6" s="73"/>
      <c r="AB6" s="73"/>
      <c r="AC6" s="73"/>
      <c r="AD6" s="73"/>
      <c r="AE6" s="73"/>
      <c r="AF6" s="73"/>
      <c r="AG6" s="73"/>
      <c r="AH6" s="73"/>
      <c r="AI6" s="73"/>
      <c r="AJ6" s="73"/>
      <c r="AK6" s="73"/>
      <c r="AL6" s="73"/>
      <c r="AM6" s="73"/>
      <c r="AN6" s="73"/>
      <c r="AO6" s="73"/>
      <c r="AP6" s="73"/>
      <c r="AQ6" s="73"/>
      <c r="AR6" s="73"/>
      <c r="AS6" s="73"/>
      <c r="AT6" s="73"/>
      <c r="AU6" s="73"/>
      <c r="AV6" s="73"/>
      <c r="AW6" s="73"/>
      <c r="AX6" s="73"/>
      <c r="AY6" s="73"/>
      <c r="AZ6" s="73"/>
      <c r="BA6" s="73"/>
      <c r="BB6" s="73"/>
      <c r="BC6" s="73"/>
      <c r="BD6" s="73"/>
      <c r="BE6" s="73"/>
      <c r="BF6" s="73"/>
      <c r="BG6" s="73"/>
      <c r="BH6" s="73"/>
      <c r="BI6" s="73"/>
      <c r="BJ6" s="73"/>
      <c r="BK6" s="73"/>
      <c r="BL6" s="73"/>
      <c r="BM6" s="73"/>
      <c r="BN6" s="73"/>
      <c r="BO6" s="73"/>
      <c r="BP6" s="73"/>
      <c r="BQ6" s="73"/>
      <c r="BR6" s="73"/>
      <c r="BS6" s="73"/>
      <c r="BT6" s="73"/>
      <c r="BU6" s="73"/>
      <c r="BV6" s="73"/>
      <c r="BW6" s="73"/>
      <c r="BX6" s="73"/>
      <c r="BY6" s="73"/>
      <c r="BZ6" s="73"/>
      <c r="CA6" s="73"/>
      <c r="CB6" s="73"/>
      <c r="CC6" s="73"/>
      <c r="CD6" s="73"/>
      <c r="CE6" s="73"/>
      <c r="CF6" s="73"/>
      <c r="CG6" s="73"/>
      <c r="CH6" s="73"/>
      <c r="CI6" s="73"/>
      <c r="CJ6" s="73"/>
      <c r="CK6" s="73"/>
      <c r="CL6" s="73"/>
      <c r="CM6" s="73"/>
      <c r="CN6" s="73"/>
      <c r="CO6" s="73"/>
      <c r="CP6" s="73"/>
    </row>
    <row r="7" spans="2:94" s="23" customFormat="1" x14ac:dyDescent="0.25">
      <c r="B7" s="31" t="s">
        <v>74</v>
      </c>
      <c r="C7" s="31"/>
      <c r="D7" s="31"/>
      <c r="E7" s="31"/>
      <c r="F7" s="31"/>
      <c r="G7" s="31"/>
      <c r="H7" s="26"/>
      <c r="K7" s="73" t="s">
        <v>76</v>
      </c>
      <c r="L7" s="71" t="s">
        <v>77</v>
      </c>
      <c r="M7" s="71" t="s">
        <v>76</v>
      </c>
      <c r="N7" s="71" t="s">
        <v>77</v>
      </c>
      <c r="O7" s="71" t="s">
        <v>76</v>
      </c>
      <c r="P7" s="71" t="s">
        <v>77</v>
      </c>
      <c r="Q7" s="71" t="s">
        <v>76</v>
      </c>
      <c r="R7" s="71" t="s">
        <v>77</v>
      </c>
      <c r="S7" s="71"/>
      <c r="T7" s="71"/>
      <c r="U7" s="71"/>
      <c r="V7" s="71"/>
      <c r="W7" s="73"/>
      <c r="X7" s="73"/>
      <c r="Y7" s="73"/>
      <c r="Z7" s="73"/>
      <c r="AA7" s="73"/>
      <c r="AB7" s="73"/>
      <c r="AC7" s="73"/>
      <c r="AD7" s="73"/>
      <c r="AE7" s="73"/>
      <c r="AF7" s="73"/>
      <c r="AG7" s="73"/>
      <c r="AH7" s="73"/>
      <c r="AI7" s="73"/>
      <c r="AJ7" s="73"/>
      <c r="AK7" s="73"/>
      <c r="AL7" s="73"/>
      <c r="AM7" s="73"/>
      <c r="AN7" s="73"/>
      <c r="AO7" s="73"/>
      <c r="AP7" s="73"/>
      <c r="AQ7" s="73"/>
      <c r="AR7" s="73"/>
      <c r="AS7" s="73"/>
      <c r="AT7" s="73"/>
      <c r="AU7" s="73"/>
      <c r="AV7" s="73"/>
      <c r="AW7" s="73"/>
      <c r="AX7" s="73"/>
      <c r="AY7" s="73"/>
      <c r="AZ7" s="73"/>
      <c r="BA7" s="73"/>
      <c r="BB7" s="73"/>
      <c r="BC7" s="73"/>
      <c r="BD7" s="73"/>
      <c r="BE7" s="73"/>
      <c r="BF7" s="73"/>
      <c r="BG7" s="73"/>
      <c r="BH7" s="73"/>
      <c r="BI7" s="73"/>
      <c r="BJ7" s="73"/>
      <c r="BK7" s="73"/>
      <c r="BL7" s="73"/>
      <c r="BM7" s="73"/>
      <c r="BN7" s="73"/>
      <c r="BO7" s="73"/>
      <c r="BP7" s="73"/>
      <c r="BQ7" s="73"/>
      <c r="BR7" s="73"/>
      <c r="BS7" s="73"/>
      <c r="BT7" s="73"/>
      <c r="BU7" s="73"/>
      <c r="BV7" s="73"/>
      <c r="BW7" s="73"/>
      <c r="BX7" s="73"/>
      <c r="BY7" s="73"/>
      <c r="BZ7" s="73"/>
      <c r="CA7" s="73"/>
      <c r="CB7" s="73"/>
      <c r="CC7" s="73"/>
      <c r="CD7" s="73"/>
      <c r="CE7" s="73"/>
      <c r="CF7" s="73"/>
      <c r="CG7" s="73"/>
      <c r="CH7" s="73"/>
      <c r="CI7" s="73"/>
      <c r="CJ7" s="73"/>
      <c r="CK7" s="73"/>
      <c r="CL7" s="73"/>
      <c r="CM7" s="73"/>
      <c r="CN7" s="73"/>
      <c r="CO7" s="73"/>
      <c r="CP7" s="73"/>
    </row>
    <row r="8" spans="2:94" x14ac:dyDescent="0.25">
      <c r="J8" s="75" t="s">
        <v>79</v>
      </c>
      <c r="K8" s="24">
        <v>2339.1494997000004</v>
      </c>
      <c r="L8" s="24">
        <v>2340.4620569683152</v>
      </c>
      <c r="M8" s="24">
        <v>2339.1494997000004</v>
      </c>
      <c r="N8" s="24">
        <v>2340.5501231898452</v>
      </c>
      <c r="O8" s="24">
        <v>2339.1494997000004</v>
      </c>
      <c r="P8" s="24">
        <v>2340.5501231898456</v>
      </c>
      <c r="Q8" s="24">
        <v>2339.1494997000004</v>
      </c>
      <c r="R8" s="24">
        <v>2340.5501231898456</v>
      </c>
      <c r="S8" s="24"/>
      <c r="T8" s="24"/>
      <c r="U8" s="24"/>
      <c r="V8" s="24"/>
      <c r="W8" s="24"/>
      <c r="X8" s="24"/>
    </row>
    <row r="9" spans="2:94" x14ac:dyDescent="0.25">
      <c r="J9" s="75" t="s">
        <v>81</v>
      </c>
      <c r="K9" s="24">
        <v>36851.040940758721</v>
      </c>
      <c r="L9" s="24">
        <v>37276.768324558798</v>
      </c>
      <c r="M9" s="24">
        <v>36851.040940758721</v>
      </c>
      <c r="N9" s="24">
        <v>37698.87220783309</v>
      </c>
      <c r="O9" s="24">
        <v>36851.040940758721</v>
      </c>
      <c r="P9" s="24">
        <v>37698.872207833083</v>
      </c>
      <c r="Q9" s="24">
        <v>36851.040940758721</v>
      </c>
      <c r="R9" s="24">
        <v>37698.872207833083</v>
      </c>
      <c r="S9" s="24"/>
      <c r="T9" s="24"/>
      <c r="U9" s="24"/>
      <c r="V9" s="24"/>
      <c r="W9" s="24"/>
      <c r="X9" s="24"/>
    </row>
    <row r="10" spans="2:94" x14ac:dyDescent="0.25">
      <c r="J10" s="75" t="s">
        <v>83</v>
      </c>
      <c r="K10" s="24">
        <v>86200.093980000005</v>
      </c>
      <c r="L10" s="24">
        <v>87244.861870028195</v>
      </c>
      <c r="M10" s="24">
        <v>86200.093980000005</v>
      </c>
      <c r="N10" s="24">
        <v>88236.099990161994</v>
      </c>
      <c r="O10" s="24">
        <v>86200.093980000005</v>
      </c>
      <c r="P10" s="24">
        <v>88236.099990161965</v>
      </c>
      <c r="Q10" s="24">
        <v>86200.093980000005</v>
      </c>
      <c r="R10" s="24">
        <v>88236.09999016198</v>
      </c>
      <c r="S10" s="24"/>
      <c r="T10" s="24"/>
      <c r="U10" s="24"/>
      <c r="V10" s="24"/>
      <c r="W10" s="24"/>
      <c r="X10" s="24"/>
    </row>
    <row r="11" spans="2:94" x14ac:dyDescent="0.25">
      <c r="J11" s="75" t="s">
        <v>85</v>
      </c>
      <c r="K11" s="24">
        <v>86200.093980000005</v>
      </c>
      <c r="L11" s="24">
        <v>87244.861870028195</v>
      </c>
      <c r="M11" s="24">
        <v>86200.093980000005</v>
      </c>
      <c r="N11" s="24">
        <v>88236.099990161994</v>
      </c>
      <c r="O11" s="24">
        <v>86200.093980000005</v>
      </c>
      <c r="P11" s="24">
        <v>88236.099990161965</v>
      </c>
      <c r="Q11" s="24">
        <v>86200.093980000005</v>
      </c>
      <c r="R11" s="24">
        <v>88236.09999016198</v>
      </c>
      <c r="S11" s="24"/>
      <c r="T11" s="24"/>
      <c r="U11" s="24"/>
      <c r="V11" s="24"/>
      <c r="W11" s="24"/>
      <c r="X11" s="24"/>
    </row>
    <row r="12" spans="2:94" x14ac:dyDescent="0.25">
      <c r="J12" s="75" t="s">
        <v>89</v>
      </c>
      <c r="K12" s="24">
        <v>86200.093980000034</v>
      </c>
      <c r="L12" s="24">
        <v>87244.861870028195</v>
      </c>
      <c r="M12" s="24">
        <v>86200.093980000034</v>
      </c>
      <c r="N12" s="24">
        <v>88236.099990161994</v>
      </c>
      <c r="O12" s="24">
        <v>86200.093980000034</v>
      </c>
      <c r="P12" s="24">
        <v>88236.099990161965</v>
      </c>
      <c r="Q12" s="24">
        <v>86200.093980000034</v>
      </c>
      <c r="R12" s="24">
        <v>88236.09999016198</v>
      </c>
      <c r="S12" s="24"/>
      <c r="T12" s="24"/>
      <c r="U12" s="24"/>
      <c r="V12" s="24"/>
      <c r="W12" s="24"/>
      <c r="X12" s="24"/>
    </row>
    <row r="13" spans="2:94" x14ac:dyDescent="0.25">
      <c r="J13" s="75" t="s">
        <v>91</v>
      </c>
      <c r="K13" s="24">
        <v>133.57775200668095</v>
      </c>
      <c r="L13" s="24">
        <v>135.84231084078249</v>
      </c>
      <c r="M13" s="24">
        <v>133.57775200668095</v>
      </c>
      <c r="N13" s="24">
        <v>135.96775009633953</v>
      </c>
      <c r="O13" s="24">
        <v>133.57775200668095</v>
      </c>
      <c r="P13" s="24">
        <v>135.96775009633953</v>
      </c>
      <c r="Q13" s="24">
        <v>133.57775200668095</v>
      </c>
      <c r="R13" s="24">
        <v>135.96775009633953</v>
      </c>
      <c r="S13" s="24"/>
      <c r="T13" s="24"/>
      <c r="U13" s="24"/>
      <c r="V13" s="24"/>
      <c r="W13" s="24"/>
      <c r="X13" s="24"/>
    </row>
    <row r="14" spans="2:94" x14ac:dyDescent="0.25">
      <c r="J14" s="75" t="s">
        <v>97</v>
      </c>
      <c r="K14" s="24">
        <v>23077.463039999999</v>
      </c>
      <c r="L14" s="24">
        <v>23718.126571530927</v>
      </c>
      <c r="M14" s="24">
        <v>23077.463039999999</v>
      </c>
      <c r="N14" s="24">
        <v>23641.945393157337</v>
      </c>
      <c r="O14" s="24">
        <v>23077.463039999999</v>
      </c>
      <c r="P14" s="24">
        <v>23641.945393157333</v>
      </c>
      <c r="Q14" s="24">
        <v>23077.463039999999</v>
      </c>
      <c r="R14" s="24">
        <v>23641.945393157337</v>
      </c>
      <c r="S14" s="24"/>
      <c r="T14" s="24"/>
      <c r="U14" s="24"/>
      <c r="V14" s="24"/>
      <c r="W14" s="24"/>
      <c r="X14" s="24"/>
    </row>
    <row r="15" spans="2:94" x14ac:dyDescent="0.25">
      <c r="J15" s="75" t="s">
        <v>99</v>
      </c>
      <c r="K15" s="24">
        <v>21550.023495000001</v>
      </c>
      <c r="L15" s="24">
        <v>21811.215467507049</v>
      </c>
      <c r="M15" s="24">
        <v>21550.023495000001</v>
      </c>
      <c r="N15" s="24">
        <v>22059.024997540499</v>
      </c>
      <c r="O15" s="24">
        <v>21550.023495000001</v>
      </c>
      <c r="P15" s="24">
        <v>22059.024997540488</v>
      </c>
      <c r="Q15" s="24">
        <v>21550.023495000001</v>
      </c>
      <c r="R15" s="24">
        <v>22059.024997540491</v>
      </c>
      <c r="S15" s="24"/>
      <c r="T15" s="24"/>
      <c r="U15" s="24"/>
      <c r="V15" s="24"/>
      <c r="W15" s="24"/>
      <c r="X15" s="24"/>
    </row>
    <row r="16" spans="2:94" x14ac:dyDescent="0.25">
      <c r="J16" s="75" t="s">
        <v>122</v>
      </c>
      <c r="K16" s="24">
        <v>21283.739425151602</v>
      </c>
      <c r="L16" s="24">
        <v>21541.703964451113</v>
      </c>
      <c r="M16" s="24">
        <v>21283.739425151602</v>
      </c>
      <c r="N16" s="24">
        <v>21786.451422175462</v>
      </c>
      <c r="O16" s="24">
        <v>21283.739425151602</v>
      </c>
      <c r="P16" s="24">
        <v>21786.451422175451</v>
      </c>
      <c r="Q16" s="24">
        <v>21283.739425151602</v>
      </c>
      <c r="R16" s="24">
        <v>21786.451422175454</v>
      </c>
      <c r="S16" s="24"/>
      <c r="T16" s="24"/>
      <c r="U16" s="24"/>
      <c r="V16" s="24"/>
      <c r="W16" s="24"/>
      <c r="X16" s="24"/>
    </row>
    <row r="17" spans="10:24" x14ac:dyDescent="0.25">
      <c r="J17" s="75" t="s">
        <v>236</v>
      </c>
      <c r="K17" s="24">
        <v>1522.66321818182</v>
      </c>
      <c r="L17" s="24">
        <v>1280.98138234418</v>
      </c>
      <c r="M17" s="24">
        <v>1522.66321818182</v>
      </c>
      <c r="N17" s="24">
        <v>1838.3977067998735</v>
      </c>
      <c r="O17" s="24">
        <v>1522.66321818182</v>
      </c>
      <c r="P17" s="24">
        <v>1838.3977067998869</v>
      </c>
      <c r="Q17" s="24">
        <v>1522.66321818182</v>
      </c>
      <c r="R17" s="24">
        <v>1838.3977067999072</v>
      </c>
      <c r="S17" s="24"/>
      <c r="T17" s="24"/>
      <c r="U17" s="24"/>
      <c r="V17" s="24"/>
      <c r="W17" s="24"/>
      <c r="X17" s="24"/>
    </row>
    <row r="18" spans="10:24" x14ac:dyDescent="0.25">
      <c r="J18" s="75" t="s">
        <v>103</v>
      </c>
      <c r="K18" s="24">
        <v>84677.430761818221</v>
      </c>
      <c r="L18" s="24">
        <v>85963.880487684015</v>
      </c>
      <c r="M18" s="24">
        <v>84677.430761818221</v>
      </c>
      <c r="N18" s="24">
        <v>86397.702283362116</v>
      </c>
      <c r="O18" s="24">
        <v>84677.430761818221</v>
      </c>
      <c r="P18" s="24">
        <v>86397.702283362072</v>
      </c>
      <c r="Q18" s="24">
        <v>84677.430761818221</v>
      </c>
      <c r="R18" s="24">
        <v>86397.702283362072</v>
      </c>
      <c r="S18" s="24"/>
      <c r="T18" s="24"/>
      <c r="U18" s="24"/>
      <c r="V18" s="24"/>
      <c r="W18" s="24"/>
      <c r="X18" s="24"/>
    </row>
    <row r="19" spans="10:24" x14ac:dyDescent="0.25">
      <c r="J19" s="75" t="s">
        <v>105</v>
      </c>
      <c r="K19" s="24">
        <v>79.279310732074791</v>
      </c>
      <c r="L19" s="24">
        <v>80.623341910790984</v>
      </c>
      <c r="M19" s="24">
        <v>79.279310732074791</v>
      </c>
      <c r="N19" s="24">
        <v>80.69779096813707</v>
      </c>
      <c r="O19" s="24">
        <v>79.279310732074791</v>
      </c>
      <c r="P19" s="24">
        <v>80.69779096813707</v>
      </c>
      <c r="Q19" s="24">
        <v>79.279310732074791</v>
      </c>
      <c r="R19" s="24">
        <v>80.69779096813707</v>
      </c>
      <c r="S19" s="24"/>
      <c r="T19" s="24"/>
      <c r="U19" s="24"/>
      <c r="V19" s="24"/>
      <c r="W19" s="24"/>
      <c r="X19" s="24"/>
    </row>
    <row r="20" spans="10:24" x14ac:dyDescent="0.25">
      <c r="J20" s="75" t="s">
        <v>107</v>
      </c>
      <c r="K20" s="24">
        <v>18766.204801666601</v>
      </c>
      <c r="L20" s="24">
        <v>18892.834484194922</v>
      </c>
      <c r="M20" s="24">
        <v>18766.204801666601</v>
      </c>
      <c r="N20" s="24">
        <v>18910.280470488819</v>
      </c>
      <c r="O20" s="24">
        <v>18766.204801666601</v>
      </c>
      <c r="P20" s="24">
        <v>18910.280470488819</v>
      </c>
      <c r="Q20" s="24">
        <v>18766.204801666601</v>
      </c>
      <c r="R20" s="24">
        <v>18910.280470488819</v>
      </c>
      <c r="S20" s="24"/>
      <c r="T20" s="24"/>
      <c r="U20" s="24"/>
      <c r="V20" s="24"/>
      <c r="W20" s="24"/>
      <c r="X20" s="24"/>
    </row>
    <row r="21" spans="10:24" x14ac:dyDescent="0.25">
      <c r="J21" s="75" t="s">
        <v>109</v>
      </c>
      <c r="K21" s="24">
        <v>3578.5125059762736</v>
      </c>
      <c r="L21" s="24">
        <v>3491.8137091572598</v>
      </c>
      <c r="M21" s="24">
        <v>3452.1145415610322</v>
      </c>
      <c r="N21" s="24">
        <v>3229.0904295612522</v>
      </c>
      <c r="O21" s="24">
        <v>3578.5125059762736</v>
      </c>
      <c r="P21" s="24">
        <v>3469.8834827456808</v>
      </c>
      <c r="Q21" s="24">
        <v>3578.5125059762736</v>
      </c>
      <c r="R21" s="24">
        <v>3469.8834827456808</v>
      </c>
      <c r="S21" s="24"/>
      <c r="T21" s="24"/>
      <c r="U21" s="24"/>
      <c r="V21" s="24"/>
      <c r="W21" s="24"/>
      <c r="X21" s="24"/>
    </row>
  </sheetData>
  <phoneticPr fontId="14" type="noConversion"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B6:CP23"/>
  <sheetViews>
    <sheetView topLeftCell="I1" workbookViewId="0">
      <pane xSplit="2" ySplit="7" topLeftCell="K8" activePane="bottomRight" state="frozen"/>
      <selection pane="topRight"/>
      <selection pane="bottomLeft"/>
      <selection pane="bottomRight" activeCell="O30" sqref="O30"/>
    </sheetView>
  </sheetViews>
  <sheetFormatPr defaultColWidth="9" defaultRowHeight="15" x14ac:dyDescent="0.25"/>
  <cols>
    <col min="1" max="1" width="9" style="20"/>
    <col min="2" max="2" width="10.375" style="20" customWidth="1"/>
    <col min="3" max="9" width="9" style="20"/>
    <col min="10" max="10" width="38.25" style="20" customWidth="1"/>
    <col min="11" max="12" width="12.625" style="20" customWidth="1"/>
    <col min="13" max="24" width="13.75" style="20" customWidth="1"/>
    <col min="25" max="16384" width="9" style="20"/>
  </cols>
  <sheetData>
    <row r="6" spans="2:94" ht="12.75" customHeight="1" x14ac:dyDescent="0.25">
      <c r="B6" s="25" t="s">
        <v>73</v>
      </c>
      <c r="K6" s="73" t="s">
        <v>73</v>
      </c>
      <c r="L6" s="71" t="s">
        <v>73</v>
      </c>
      <c r="M6" s="71" t="s">
        <v>315</v>
      </c>
      <c r="N6" s="71" t="s">
        <v>315</v>
      </c>
      <c r="O6" s="71" t="s">
        <v>316</v>
      </c>
      <c r="P6" s="71" t="s">
        <v>316</v>
      </c>
      <c r="Q6" s="71" t="s">
        <v>317</v>
      </c>
      <c r="R6" s="71" t="s">
        <v>317</v>
      </c>
      <c r="S6" s="71"/>
      <c r="T6" s="71"/>
      <c r="U6" s="71"/>
      <c r="V6" s="71"/>
      <c r="W6" s="73"/>
      <c r="X6" s="73"/>
      <c r="Y6" s="75"/>
      <c r="Z6" s="75"/>
      <c r="AA6" s="75"/>
      <c r="AB6" s="75"/>
      <c r="AC6" s="75"/>
      <c r="AD6" s="75"/>
      <c r="AE6" s="75"/>
      <c r="AF6" s="75"/>
      <c r="AG6" s="75"/>
      <c r="AH6" s="75"/>
      <c r="AI6" s="75"/>
      <c r="AJ6" s="75"/>
      <c r="AK6" s="75"/>
      <c r="AL6" s="75"/>
      <c r="AM6" s="75"/>
      <c r="AN6" s="75"/>
      <c r="AO6" s="75"/>
      <c r="AP6" s="75"/>
      <c r="AQ6" s="75"/>
      <c r="AR6" s="75"/>
      <c r="AS6" s="75"/>
      <c r="AT6" s="75"/>
      <c r="AU6" s="75"/>
      <c r="AV6" s="75"/>
      <c r="AW6" s="75"/>
      <c r="AX6" s="75"/>
      <c r="AY6" s="75"/>
      <c r="AZ6" s="75"/>
      <c r="BA6" s="75"/>
      <c r="BB6" s="75"/>
      <c r="BC6" s="75"/>
      <c r="BD6" s="75"/>
      <c r="BE6" s="75"/>
      <c r="BF6" s="75"/>
      <c r="BG6" s="75"/>
      <c r="BH6" s="75"/>
      <c r="BI6" s="75"/>
      <c r="BJ6" s="75"/>
      <c r="BK6" s="75"/>
      <c r="BL6" s="75"/>
      <c r="BM6" s="75"/>
      <c r="BN6" s="75"/>
      <c r="BO6" s="75"/>
      <c r="BP6" s="75"/>
      <c r="BQ6" s="75"/>
      <c r="BR6" s="75"/>
      <c r="BS6" s="75"/>
      <c r="BT6" s="75"/>
      <c r="BU6" s="75"/>
      <c r="BV6" s="75"/>
      <c r="BW6" s="75"/>
      <c r="BX6" s="75"/>
      <c r="BY6" s="75"/>
      <c r="BZ6" s="75"/>
      <c r="CA6" s="75"/>
      <c r="CB6" s="75"/>
      <c r="CC6" s="75"/>
      <c r="CD6" s="75"/>
      <c r="CE6" s="75"/>
      <c r="CF6" s="75"/>
      <c r="CG6" s="75"/>
      <c r="CH6" s="75"/>
      <c r="CI6" s="75"/>
      <c r="CJ6" s="75"/>
      <c r="CK6" s="75"/>
      <c r="CL6" s="75"/>
      <c r="CM6" s="75"/>
      <c r="CN6" s="75"/>
      <c r="CO6" s="75"/>
      <c r="CP6" s="75"/>
    </row>
    <row r="7" spans="2:94" x14ac:dyDescent="0.25">
      <c r="B7" s="25" t="s">
        <v>74</v>
      </c>
      <c r="C7" s="25"/>
      <c r="D7" s="25"/>
      <c r="E7" s="25"/>
      <c r="F7" s="25"/>
      <c r="G7" s="25"/>
      <c r="H7" s="27"/>
      <c r="K7" s="73" t="s">
        <v>76</v>
      </c>
      <c r="L7" s="71" t="s">
        <v>77</v>
      </c>
      <c r="M7" s="71" t="s">
        <v>76</v>
      </c>
      <c r="N7" s="71" t="s">
        <v>77</v>
      </c>
      <c r="O7" s="71" t="s">
        <v>76</v>
      </c>
      <c r="P7" s="71" t="s">
        <v>77</v>
      </c>
      <c r="Q7" s="71" t="s">
        <v>76</v>
      </c>
      <c r="R7" s="71" t="s">
        <v>77</v>
      </c>
      <c r="S7" s="71"/>
      <c r="T7" s="71"/>
      <c r="U7" s="71"/>
      <c r="V7" s="71"/>
      <c r="W7" s="73"/>
      <c r="X7" s="73"/>
      <c r="Y7" s="75"/>
      <c r="Z7" s="75"/>
      <c r="AA7" s="75"/>
      <c r="AB7" s="75"/>
      <c r="AC7" s="75"/>
      <c r="AD7" s="75"/>
      <c r="AE7" s="75"/>
      <c r="AF7" s="75"/>
      <c r="AG7" s="75"/>
      <c r="AH7" s="75"/>
      <c r="AI7" s="75"/>
      <c r="AJ7" s="75"/>
      <c r="AK7" s="75"/>
      <c r="AL7" s="75"/>
      <c r="AM7" s="75"/>
      <c r="AN7" s="75"/>
      <c r="AO7" s="75"/>
      <c r="AP7" s="75"/>
      <c r="AQ7" s="75"/>
      <c r="AR7" s="75"/>
      <c r="AS7" s="75"/>
      <c r="AT7" s="75"/>
      <c r="AU7" s="75"/>
      <c r="AV7" s="75"/>
      <c r="AW7" s="75"/>
      <c r="AX7" s="75"/>
      <c r="AY7" s="75"/>
      <c r="AZ7" s="75"/>
      <c r="BA7" s="75"/>
      <c r="BB7" s="75"/>
      <c r="BC7" s="75"/>
      <c r="BD7" s="75"/>
      <c r="BE7" s="75"/>
      <c r="BF7" s="75"/>
      <c r="BG7" s="75"/>
      <c r="BH7" s="75"/>
      <c r="BI7" s="75"/>
      <c r="BJ7" s="75"/>
      <c r="BK7" s="75"/>
      <c r="BL7" s="75"/>
      <c r="BM7" s="75"/>
      <c r="BN7" s="75"/>
      <c r="BO7" s="75"/>
      <c r="BP7" s="75"/>
      <c r="BQ7" s="75"/>
      <c r="BR7" s="75"/>
      <c r="BS7" s="75"/>
      <c r="BT7" s="75"/>
      <c r="BU7" s="75"/>
      <c r="BV7" s="75"/>
      <c r="BW7" s="75"/>
      <c r="BX7" s="75"/>
      <c r="BY7" s="75"/>
      <c r="BZ7" s="75"/>
      <c r="CA7" s="75"/>
      <c r="CB7" s="75"/>
      <c r="CC7" s="75"/>
      <c r="CD7" s="75"/>
      <c r="CE7" s="75"/>
      <c r="CF7" s="75"/>
      <c r="CG7" s="75"/>
      <c r="CH7" s="75"/>
      <c r="CI7" s="75"/>
      <c r="CJ7" s="75"/>
      <c r="CK7" s="75"/>
      <c r="CL7" s="75"/>
      <c r="CM7" s="75"/>
      <c r="CN7" s="75"/>
      <c r="CO7" s="75"/>
      <c r="CP7" s="75"/>
    </row>
    <row r="8" spans="2:94" x14ac:dyDescent="0.25">
      <c r="J8" s="75" t="s">
        <v>79</v>
      </c>
      <c r="K8" s="27">
        <v>69</v>
      </c>
      <c r="L8" s="27">
        <v>69.228561249126017</v>
      </c>
      <c r="M8" s="27">
        <v>69</v>
      </c>
      <c r="N8" s="27">
        <v>69.283961823472822</v>
      </c>
      <c r="O8" s="27">
        <v>69</v>
      </c>
      <c r="P8" s="27">
        <v>69.353262411894917</v>
      </c>
      <c r="Q8" s="27">
        <v>69</v>
      </c>
      <c r="R8" s="27">
        <v>69.235484382170696</v>
      </c>
      <c r="S8" s="27"/>
      <c r="T8" s="27"/>
      <c r="U8" s="27"/>
      <c r="V8" s="27"/>
      <c r="W8" s="27"/>
      <c r="X8" s="27"/>
    </row>
    <row r="9" spans="2:94" x14ac:dyDescent="0.25">
      <c r="J9" s="75" t="s">
        <v>81</v>
      </c>
      <c r="K9" s="27">
        <v>4637.68115942029</v>
      </c>
      <c r="L9" s="27">
        <v>4631.889050677185</v>
      </c>
      <c r="M9" s="27">
        <v>4637.68115942029</v>
      </c>
      <c r="N9" s="27">
        <v>4710.3748349310499</v>
      </c>
      <c r="O9" s="27">
        <v>4637.68115942029</v>
      </c>
      <c r="P9" s="27">
        <v>4766.9394112450454</v>
      </c>
      <c r="Q9" s="27">
        <v>4637.68115942029</v>
      </c>
      <c r="R9" s="27">
        <v>4667.3733680863852</v>
      </c>
      <c r="S9" s="27"/>
      <c r="T9" s="27"/>
      <c r="U9" s="27"/>
      <c r="V9" s="27"/>
      <c r="W9" s="27"/>
      <c r="X9" s="27"/>
    </row>
    <row r="10" spans="2:94" x14ac:dyDescent="0.25">
      <c r="J10" s="75" t="s">
        <v>83</v>
      </c>
      <c r="K10" s="27">
        <v>774.13295199999993</v>
      </c>
      <c r="L10" s="27">
        <v>776.71927675409313</v>
      </c>
      <c r="M10" s="27">
        <v>774.13295199999993</v>
      </c>
      <c r="N10" s="27">
        <v>774.82639675311975</v>
      </c>
      <c r="O10" s="27">
        <v>774.13295199999993</v>
      </c>
      <c r="P10" s="27">
        <v>775.49155729566655</v>
      </c>
      <c r="Q10" s="27">
        <v>774.13295199999993</v>
      </c>
      <c r="R10" s="27">
        <v>774.32481041429583</v>
      </c>
      <c r="S10" s="27"/>
      <c r="T10" s="27"/>
      <c r="U10" s="27"/>
      <c r="V10" s="27"/>
      <c r="W10" s="27"/>
      <c r="X10" s="27"/>
    </row>
    <row r="11" spans="2:94" x14ac:dyDescent="0.25">
      <c r="J11" s="75" t="s">
        <v>85</v>
      </c>
      <c r="K11" s="27">
        <v>320</v>
      </c>
      <c r="L11" s="27">
        <v>320.6590148439617</v>
      </c>
      <c r="M11" s="27">
        <v>320</v>
      </c>
      <c r="N11" s="27">
        <v>326.35343023761004</v>
      </c>
      <c r="O11" s="27">
        <v>320</v>
      </c>
      <c r="P11" s="27">
        <v>330.60279988968136</v>
      </c>
      <c r="Q11" s="27">
        <v>320</v>
      </c>
      <c r="R11" s="27">
        <v>323.14785593190436</v>
      </c>
      <c r="S11" s="27"/>
      <c r="T11" s="27"/>
      <c r="U11" s="27"/>
      <c r="V11" s="27"/>
      <c r="W11" s="27"/>
      <c r="X11" s="27"/>
    </row>
    <row r="12" spans="2:94" x14ac:dyDescent="0.25">
      <c r="J12" s="75" t="s">
        <v>87</v>
      </c>
      <c r="K12" s="27">
        <v>454.13295199999999</v>
      </c>
      <c r="L12" s="27">
        <v>456.06026191013143</v>
      </c>
      <c r="M12" s="27">
        <v>454.13295199999999</v>
      </c>
      <c r="N12" s="27">
        <v>448.47296651550971</v>
      </c>
      <c r="O12" s="27">
        <v>454.13295199999999</v>
      </c>
      <c r="P12" s="27">
        <v>444.88875740598519</v>
      </c>
      <c r="Q12" s="27">
        <v>454.13295199999999</v>
      </c>
      <c r="R12" s="27">
        <v>451.17695448239147</v>
      </c>
      <c r="S12" s="27"/>
      <c r="T12" s="27"/>
      <c r="U12" s="27"/>
      <c r="V12" s="27"/>
      <c r="W12" s="27"/>
      <c r="X12" s="27"/>
    </row>
    <row r="13" spans="2:94" x14ac:dyDescent="0.25">
      <c r="J13" s="75" t="s">
        <v>89</v>
      </c>
      <c r="K13" s="27">
        <v>774.13295199999993</v>
      </c>
      <c r="L13" s="27">
        <v>776.71927675409313</v>
      </c>
      <c r="M13" s="27">
        <v>774.13295199999993</v>
      </c>
      <c r="N13" s="27">
        <v>774.82639675311975</v>
      </c>
      <c r="O13" s="27">
        <v>774.13295199999993</v>
      </c>
      <c r="P13" s="27">
        <v>775.49155729566655</v>
      </c>
      <c r="Q13" s="27">
        <v>774.13295199999993</v>
      </c>
      <c r="R13" s="27">
        <v>774.32481041429583</v>
      </c>
      <c r="S13" s="27"/>
      <c r="T13" s="27"/>
      <c r="U13" s="27"/>
      <c r="V13" s="27"/>
      <c r="W13" s="27"/>
      <c r="X13" s="27"/>
    </row>
    <row r="14" spans="2:94" x14ac:dyDescent="0.25">
      <c r="J14" s="75" t="s">
        <v>91</v>
      </c>
      <c r="K14" s="27">
        <v>2.8471980012670031</v>
      </c>
      <c r="L14" s="27">
        <v>2.8779291888503309</v>
      </c>
      <c r="M14" s="27">
        <v>2.8471980012670031</v>
      </c>
      <c r="N14" s="27">
        <v>2.8614039034642933</v>
      </c>
      <c r="O14" s="27">
        <v>2.8471980012670031</v>
      </c>
      <c r="P14" s="27">
        <v>2.8614039034642946</v>
      </c>
      <c r="Q14" s="27">
        <v>2.8471980012670031</v>
      </c>
      <c r="R14" s="27">
        <v>2.8614039034642937</v>
      </c>
      <c r="S14" s="27"/>
      <c r="T14" s="27"/>
      <c r="U14" s="27"/>
      <c r="V14" s="27"/>
      <c r="W14" s="27"/>
      <c r="X14" s="27"/>
    </row>
    <row r="15" spans="2:94" x14ac:dyDescent="0.25">
      <c r="J15" s="75" t="s">
        <v>93</v>
      </c>
      <c r="K15" s="27">
        <v>3.4</v>
      </c>
      <c r="L15" s="27">
        <v>3.4112624383627308</v>
      </c>
      <c r="M15" s="27">
        <v>3.4</v>
      </c>
      <c r="N15" s="27">
        <v>3.4139923217363415</v>
      </c>
      <c r="O15" s="27">
        <v>3.4</v>
      </c>
      <c r="P15" s="27">
        <v>3.4174071333397493</v>
      </c>
      <c r="Q15" s="27">
        <v>3.4</v>
      </c>
      <c r="R15" s="27">
        <v>3.411603578251889</v>
      </c>
      <c r="S15" s="27"/>
      <c r="T15" s="27"/>
      <c r="U15" s="27"/>
      <c r="V15" s="27"/>
      <c r="W15" s="27"/>
      <c r="X15" s="27"/>
    </row>
    <row r="16" spans="2:94" x14ac:dyDescent="0.25">
      <c r="J16" s="75" t="s">
        <v>95</v>
      </c>
      <c r="K16" s="27">
        <v>320</v>
      </c>
      <c r="L16" s="27">
        <v>322.18723611421507</v>
      </c>
      <c r="M16" s="27">
        <v>320</v>
      </c>
      <c r="N16" s="27">
        <v>321.70614102851584</v>
      </c>
      <c r="O16" s="27">
        <v>320</v>
      </c>
      <c r="P16" s="27">
        <v>321.70614102851584</v>
      </c>
      <c r="Q16" s="27">
        <v>320</v>
      </c>
      <c r="R16" s="27">
        <v>321.70614102851596</v>
      </c>
      <c r="S16" s="27"/>
      <c r="T16" s="27"/>
      <c r="U16" s="27"/>
      <c r="V16" s="27"/>
      <c r="W16" s="27"/>
      <c r="X16" s="27"/>
    </row>
    <row r="17" spans="10:24" x14ac:dyDescent="0.25">
      <c r="J17" s="75" t="s">
        <v>97</v>
      </c>
      <c r="K17" s="27">
        <v>0.9</v>
      </c>
      <c r="L17" s="27">
        <v>0.92522502958487085</v>
      </c>
      <c r="M17" s="27">
        <v>0.9</v>
      </c>
      <c r="N17" s="27">
        <v>0.92225326312591638</v>
      </c>
      <c r="O17" s="27">
        <v>0.9</v>
      </c>
      <c r="P17" s="27">
        <v>0.92225326312591627</v>
      </c>
      <c r="Q17" s="27">
        <v>0.9</v>
      </c>
      <c r="R17" s="27">
        <v>0.92225326312591649</v>
      </c>
      <c r="S17" s="27"/>
      <c r="T17" s="27"/>
      <c r="U17" s="27"/>
      <c r="V17" s="27"/>
      <c r="W17" s="27"/>
      <c r="X17" s="27"/>
    </row>
    <row r="18" spans="10:24" x14ac:dyDescent="0.25">
      <c r="J18" s="75" t="s">
        <v>99</v>
      </c>
      <c r="K18" s="27">
        <v>45</v>
      </c>
      <c r="L18" s="27">
        <v>45.092673962432116</v>
      </c>
      <c r="M18" s="27">
        <v>45</v>
      </c>
      <c r="N18" s="27">
        <v>45.893451127163914</v>
      </c>
      <c r="O18" s="27">
        <v>45</v>
      </c>
      <c r="P18" s="27">
        <v>46.491018734486431</v>
      </c>
      <c r="Q18" s="27">
        <v>45</v>
      </c>
      <c r="R18" s="27">
        <v>45.442667240424043</v>
      </c>
      <c r="S18" s="27"/>
      <c r="T18" s="27"/>
      <c r="U18" s="27"/>
      <c r="V18" s="27"/>
      <c r="W18" s="27"/>
      <c r="X18" s="27"/>
    </row>
    <row r="19" spans="10:24" x14ac:dyDescent="0.25">
      <c r="J19" s="75" t="s">
        <v>122</v>
      </c>
      <c r="K19" s="27">
        <v>1.8353650000000099</v>
      </c>
      <c r="L19" s="27">
        <v>1.8391447899346591</v>
      </c>
      <c r="M19" s="27">
        <v>1.8353650000000099</v>
      </c>
      <c r="N19" s="27">
        <v>1.87180519840017</v>
      </c>
      <c r="O19" s="27">
        <v>1.8353650000000099</v>
      </c>
      <c r="P19" s="27">
        <v>1.8961775244360255</v>
      </c>
      <c r="Q19" s="27">
        <v>1.8353650000000099</v>
      </c>
      <c r="R19" s="27">
        <v>1.8534195768826962</v>
      </c>
      <c r="S19" s="27"/>
      <c r="T19" s="27"/>
      <c r="U19" s="27"/>
      <c r="V19" s="27"/>
      <c r="W19" s="27"/>
      <c r="X19" s="27"/>
    </row>
    <row r="20" spans="10:24" x14ac:dyDescent="0.25">
      <c r="J20" s="75" t="s">
        <v>101</v>
      </c>
      <c r="K20" s="27">
        <v>2.99758699999995</v>
      </c>
      <c r="L20" s="27">
        <v>3.0037602947782829</v>
      </c>
      <c r="M20" s="27">
        <v>2.99758699999995</v>
      </c>
      <c r="N20" s="27">
        <v>3.0571024996426575</v>
      </c>
      <c r="O20" s="27">
        <v>2.99758699999995</v>
      </c>
      <c r="P20" s="27">
        <v>3.0969082972277922</v>
      </c>
      <c r="Q20" s="27">
        <v>2.99758699999995</v>
      </c>
      <c r="R20" s="27">
        <v>3.0270744125604163</v>
      </c>
      <c r="S20" s="27"/>
      <c r="T20" s="27"/>
      <c r="U20" s="27"/>
      <c r="V20" s="27"/>
      <c r="W20" s="27"/>
      <c r="X20" s="27"/>
    </row>
    <row r="21" spans="10:24" x14ac:dyDescent="0.25">
      <c r="J21" s="75" t="s">
        <v>103</v>
      </c>
      <c r="K21" s="27">
        <v>771.13536499999998</v>
      </c>
      <c r="L21" s="27">
        <v>773.71551645931481</v>
      </c>
      <c r="M21" s="27">
        <v>771.13536499999998</v>
      </c>
      <c r="N21" s="27">
        <v>771.76929425347714</v>
      </c>
      <c r="O21" s="27">
        <v>771.13536499999998</v>
      </c>
      <c r="P21" s="27">
        <v>772.39464899843881</v>
      </c>
      <c r="Q21" s="27">
        <v>771.13536499999998</v>
      </c>
      <c r="R21" s="27">
        <v>771.29773600173542</v>
      </c>
      <c r="S21" s="27"/>
      <c r="T21" s="27"/>
      <c r="U21" s="27"/>
      <c r="V21" s="27"/>
      <c r="W21" s="27"/>
      <c r="X21" s="27"/>
    </row>
    <row r="22" spans="10:24" x14ac:dyDescent="0.25">
      <c r="J22" s="75" t="s">
        <v>105</v>
      </c>
      <c r="K22" s="27">
        <v>20.391513770626297</v>
      </c>
      <c r="L22" s="27">
        <v>20.611609259072925</v>
      </c>
      <c r="M22" s="27">
        <v>20.391513770626297</v>
      </c>
      <c r="N22" s="27">
        <v>20.49325585184134</v>
      </c>
      <c r="O22" s="27">
        <v>20.391513770626297</v>
      </c>
      <c r="P22" s="27">
        <v>20.493255851841351</v>
      </c>
      <c r="Q22" s="27">
        <v>20.391513770626297</v>
      </c>
      <c r="R22" s="27">
        <v>20.493255851841347</v>
      </c>
      <c r="S22" s="27"/>
      <c r="T22" s="27"/>
      <c r="U22" s="27"/>
      <c r="V22" s="27"/>
      <c r="W22" s="27"/>
      <c r="X22" s="27"/>
    </row>
    <row r="23" spans="10:24" x14ac:dyDescent="0.25">
      <c r="J23" s="75" t="s">
        <v>107</v>
      </c>
      <c r="K23" s="20">
        <v>400</v>
      </c>
      <c r="L23" s="20">
        <v>400.2599741247854</v>
      </c>
      <c r="M23" s="20">
        <v>400</v>
      </c>
      <c r="N23" s="20">
        <v>397.961651314535</v>
      </c>
      <c r="O23" s="20">
        <v>400</v>
      </c>
      <c r="P23" s="20">
        <v>397.96165131453517</v>
      </c>
      <c r="Q23" s="20">
        <v>400</v>
      </c>
      <c r="R23" s="20">
        <v>397.96165131453506</v>
      </c>
    </row>
  </sheetData>
  <phoneticPr fontId="14" type="noConversion"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B6:CP22"/>
  <sheetViews>
    <sheetView topLeftCell="H1" workbookViewId="0">
      <pane xSplit="3" ySplit="7" topLeftCell="K8" activePane="bottomRight" state="frozen"/>
      <selection pane="topRight"/>
      <selection pane="bottomLeft"/>
      <selection pane="bottomRight" activeCell="H11" sqref="A11:XFD11"/>
    </sheetView>
  </sheetViews>
  <sheetFormatPr defaultColWidth="9" defaultRowHeight="15" x14ac:dyDescent="0.25"/>
  <cols>
    <col min="1" max="1" width="9" style="20"/>
    <col min="2" max="2" width="10.375" style="20" customWidth="1"/>
    <col min="3" max="9" width="9" style="20"/>
    <col min="10" max="10" width="38.25" style="20" customWidth="1"/>
    <col min="11" max="11" width="13.75" style="20" customWidth="1"/>
    <col min="12" max="21" width="12.625" style="20" customWidth="1"/>
    <col min="22" max="22" width="13.75" style="20" customWidth="1"/>
    <col min="23" max="23" width="12.625" style="20" customWidth="1"/>
    <col min="24" max="24" width="13.75" style="20" customWidth="1"/>
    <col min="25" max="16384" width="9" style="20"/>
  </cols>
  <sheetData>
    <row r="6" spans="2:94" ht="12.75" customHeight="1" x14ac:dyDescent="0.25">
      <c r="B6" s="25" t="s">
        <v>73</v>
      </c>
      <c r="K6" s="73" t="s">
        <v>73</v>
      </c>
      <c r="L6" s="71" t="s">
        <v>73</v>
      </c>
      <c r="M6" s="71" t="s">
        <v>315</v>
      </c>
      <c r="N6" s="71" t="s">
        <v>315</v>
      </c>
      <c r="O6" s="71" t="s">
        <v>316</v>
      </c>
      <c r="P6" s="71" t="s">
        <v>316</v>
      </c>
      <c r="Q6" s="71" t="s">
        <v>317</v>
      </c>
      <c r="R6" s="71" t="s">
        <v>317</v>
      </c>
      <c r="S6" s="71"/>
      <c r="T6" s="71"/>
      <c r="U6" s="71"/>
      <c r="V6" s="71"/>
      <c r="W6" s="73"/>
      <c r="X6" s="73"/>
      <c r="Y6" s="75"/>
      <c r="Z6" s="75"/>
      <c r="AA6" s="75"/>
      <c r="AB6" s="75"/>
      <c r="AC6" s="75"/>
      <c r="AD6" s="75"/>
      <c r="AE6" s="75"/>
      <c r="AF6" s="75"/>
      <c r="AG6" s="75"/>
      <c r="AH6" s="75"/>
      <c r="AI6" s="75"/>
      <c r="AJ6" s="75"/>
      <c r="AK6" s="75"/>
      <c r="AL6" s="75"/>
      <c r="AM6" s="75"/>
      <c r="AN6" s="75"/>
      <c r="AO6" s="75"/>
      <c r="AP6" s="75"/>
      <c r="AQ6" s="75"/>
      <c r="AR6" s="75"/>
      <c r="AS6" s="75"/>
      <c r="AT6" s="75"/>
      <c r="AU6" s="75"/>
      <c r="AV6" s="75"/>
      <c r="AW6" s="75"/>
      <c r="AX6" s="75"/>
      <c r="AY6" s="75"/>
      <c r="AZ6" s="75"/>
      <c r="BA6" s="75"/>
      <c r="BB6" s="75"/>
      <c r="BC6" s="75"/>
      <c r="BD6" s="75"/>
      <c r="BE6" s="75"/>
      <c r="BF6" s="75"/>
      <c r="BG6" s="75"/>
      <c r="BH6" s="75"/>
      <c r="BI6" s="75"/>
      <c r="BJ6" s="75"/>
      <c r="BK6" s="75"/>
      <c r="BL6" s="75"/>
      <c r="BM6" s="75"/>
      <c r="BN6" s="75"/>
      <c r="BO6" s="75"/>
      <c r="BP6" s="75"/>
      <c r="BQ6" s="75"/>
      <c r="BR6" s="75"/>
      <c r="BS6" s="75"/>
      <c r="BT6" s="75"/>
      <c r="BU6" s="75"/>
      <c r="BV6" s="75"/>
      <c r="BW6" s="75"/>
      <c r="BX6" s="75"/>
      <c r="BY6" s="75"/>
      <c r="BZ6" s="75"/>
      <c r="CA6" s="75"/>
      <c r="CB6" s="75"/>
      <c r="CC6" s="75"/>
      <c r="CD6" s="75"/>
      <c r="CE6" s="75"/>
      <c r="CF6" s="75"/>
      <c r="CG6" s="75"/>
      <c r="CH6" s="75"/>
      <c r="CI6" s="75"/>
      <c r="CJ6" s="75"/>
      <c r="CK6" s="75"/>
      <c r="CL6" s="75"/>
      <c r="CM6" s="75"/>
      <c r="CN6" s="75"/>
      <c r="CO6" s="75"/>
      <c r="CP6" s="75"/>
    </row>
    <row r="7" spans="2:94" x14ac:dyDescent="0.25">
      <c r="B7" s="25" t="s">
        <v>74</v>
      </c>
      <c r="C7" s="25"/>
      <c r="D7" s="25"/>
      <c r="E7" s="25"/>
      <c r="F7" s="25"/>
      <c r="G7" s="25"/>
      <c r="H7" s="27"/>
      <c r="K7" s="73" t="s">
        <v>76</v>
      </c>
      <c r="L7" s="71" t="s">
        <v>77</v>
      </c>
      <c r="M7" s="71" t="s">
        <v>76</v>
      </c>
      <c r="N7" s="71" t="s">
        <v>77</v>
      </c>
      <c r="O7" s="71" t="s">
        <v>76</v>
      </c>
      <c r="P7" s="71" t="s">
        <v>77</v>
      </c>
      <c r="Q7" s="71" t="s">
        <v>76</v>
      </c>
      <c r="R7" s="71" t="s">
        <v>77</v>
      </c>
      <c r="S7" s="71"/>
      <c r="T7" s="71"/>
      <c r="U7" s="71"/>
      <c r="V7" s="71"/>
      <c r="W7" s="73"/>
      <c r="X7" s="73"/>
      <c r="Y7" s="75"/>
      <c r="Z7" s="75"/>
      <c r="AA7" s="75"/>
      <c r="AB7" s="75"/>
      <c r="AC7" s="75"/>
      <c r="AD7" s="75"/>
      <c r="AE7" s="75"/>
      <c r="AF7" s="75"/>
      <c r="AG7" s="75"/>
      <c r="AH7" s="75"/>
      <c r="AI7" s="75"/>
      <c r="AJ7" s="75"/>
      <c r="AK7" s="75"/>
      <c r="AL7" s="75"/>
      <c r="AM7" s="75"/>
      <c r="AN7" s="75"/>
      <c r="AO7" s="75"/>
      <c r="AP7" s="75"/>
      <c r="AQ7" s="75"/>
      <c r="AR7" s="75"/>
      <c r="AS7" s="75"/>
      <c r="AT7" s="75"/>
      <c r="AU7" s="75"/>
      <c r="AV7" s="75"/>
      <c r="AW7" s="75"/>
      <c r="AX7" s="75"/>
      <c r="AY7" s="75"/>
      <c r="AZ7" s="75"/>
      <c r="BA7" s="75"/>
      <c r="BB7" s="75"/>
      <c r="BC7" s="75"/>
      <c r="BD7" s="75"/>
      <c r="BE7" s="75"/>
      <c r="BF7" s="75"/>
      <c r="BG7" s="75"/>
      <c r="BH7" s="75"/>
      <c r="BI7" s="75"/>
      <c r="BJ7" s="75"/>
      <c r="BK7" s="75"/>
      <c r="BL7" s="75"/>
      <c r="BM7" s="75"/>
      <c r="BN7" s="75"/>
      <c r="BO7" s="75"/>
      <c r="BP7" s="75"/>
      <c r="BQ7" s="75"/>
      <c r="BR7" s="75"/>
      <c r="BS7" s="75"/>
      <c r="BT7" s="75"/>
      <c r="BU7" s="75"/>
      <c r="BV7" s="75"/>
      <c r="BW7" s="75"/>
      <c r="BX7" s="75"/>
      <c r="BY7" s="75"/>
      <c r="BZ7" s="75"/>
      <c r="CA7" s="75"/>
      <c r="CB7" s="75"/>
      <c r="CC7" s="75"/>
      <c r="CD7" s="75"/>
      <c r="CE7" s="75"/>
      <c r="CF7" s="75"/>
      <c r="CG7" s="75"/>
      <c r="CH7" s="75"/>
      <c r="CI7" s="75"/>
      <c r="CJ7" s="75"/>
      <c r="CK7" s="75"/>
      <c r="CL7" s="75"/>
      <c r="CM7" s="75"/>
      <c r="CN7" s="75"/>
      <c r="CO7" s="75"/>
      <c r="CP7" s="75"/>
    </row>
    <row r="8" spans="2:94" x14ac:dyDescent="0.25">
      <c r="J8" s="75" t="s">
        <v>79</v>
      </c>
      <c r="K8" s="35">
        <v>1028.1670000000001</v>
      </c>
      <c r="L8" s="35">
        <v>1025.316307492694</v>
      </c>
      <c r="M8" s="35">
        <v>1028.1670000000001</v>
      </c>
      <c r="N8" s="35">
        <v>1026.3298934715169</v>
      </c>
      <c r="O8" s="35">
        <v>1028.1670000000001</v>
      </c>
      <c r="P8" s="35">
        <v>1027.3564696611691</v>
      </c>
      <c r="Q8" s="35">
        <v>1028.1670000000001</v>
      </c>
      <c r="R8" s="35">
        <v>1025.6117785448023</v>
      </c>
      <c r="S8" s="35"/>
      <c r="T8" s="35"/>
      <c r="U8" s="35"/>
      <c r="V8" s="35"/>
      <c r="W8" s="35"/>
      <c r="X8" s="35"/>
    </row>
    <row r="9" spans="2:94" x14ac:dyDescent="0.25">
      <c r="J9" s="75" t="s">
        <v>81</v>
      </c>
      <c r="K9" s="35">
        <v>2892.720735055686</v>
      </c>
      <c r="L9" s="35">
        <v>2929.0609918427035</v>
      </c>
      <c r="M9" s="35">
        <v>2892.720735055686</v>
      </c>
      <c r="N9" s="35">
        <v>2959.5736140227991</v>
      </c>
      <c r="O9" s="35">
        <v>2892.720735055686</v>
      </c>
      <c r="P9" s="35">
        <v>2995.0959054308755</v>
      </c>
      <c r="Q9" s="35">
        <v>2892.720735055686</v>
      </c>
      <c r="R9" s="35">
        <v>2932.5687789000181</v>
      </c>
      <c r="S9" s="35"/>
      <c r="T9" s="35"/>
      <c r="U9" s="35"/>
      <c r="V9" s="35"/>
      <c r="W9" s="35"/>
      <c r="X9" s="35"/>
    </row>
    <row r="10" spans="2:94" x14ac:dyDescent="0.25">
      <c r="J10" s="75" t="s">
        <v>83</v>
      </c>
      <c r="K10" s="35">
        <v>4865.9770479999997</v>
      </c>
      <c r="L10" s="35">
        <v>4911.7970377154415</v>
      </c>
      <c r="M10" s="35">
        <v>4865.9770479999997</v>
      </c>
      <c r="N10" s="35">
        <v>4902.4676510876297</v>
      </c>
      <c r="O10" s="35">
        <v>4865.9770479999997</v>
      </c>
      <c r="P10" s="35">
        <v>4901.7803317857579</v>
      </c>
      <c r="Q10" s="35">
        <v>4865.9770479999997</v>
      </c>
      <c r="R10" s="35">
        <v>4902.9904683096538</v>
      </c>
      <c r="S10" s="35"/>
      <c r="T10" s="35"/>
      <c r="U10" s="35"/>
      <c r="V10" s="35"/>
      <c r="W10" s="35"/>
      <c r="X10" s="35"/>
    </row>
    <row r="11" spans="2:94" x14ac:dyDescent="0.25">
      <c r="J11" s="75" t="s">
        <v>85</v>
      </c>
      <c r="K11" s="35">
        <v>2974.2</v>
      </c>
      <c r="L11" s="35">
        <v>3003.2140005770493</v>
      </c>
      <c r="M11" s="35">
        <v>2974.2</v>
      </c>
      <c r="N11" s="35">
        <v>3037.498872001132</v>
      </c>
      <c r="O11" s="35">
        <v>2974.2</v>
      </c>
      <c r="P11" s="35">
        <v>3077.0311557000873</v>
      </c>
      <c r="Q11" s="35">
        <v>2974.2</v>
      </c>
      <c r="R11" s="35">
        <v>3007.6770810326066</v>
      </c>
      <c r="S11" s="35"/>
      <c r="T11" s="35"/>
      <c r="U11" s="35"/>
      <c r="V11" s="35"/>
      <c r="W11" s="35"/>
      <c r="X11" s="35"/>
    </row>
    <row r="12" spans="2:94" x14ac:dyDescent="0.25">
      <c r="J12" s="75" t="s">
        <v>87</v>
      </c>
      <c r="K12" s="35">
        <v>1891.7770480000001</v>
      </c>
      <c r="L12" s="35">
        <v>1908.5830371383922</v>
      </c>
      <c r="M12" s="35">
        <v>1891.7770480000001</v>
      </c>
      <c r="N12" s="35">
        <v>1864.9687790864978</v>
      </c>
      <c r="O12" s="35">
        <v>1891.7770480000001</v>
      </c>
      <c r="P12" s="35">
        <v>1824.7491760856708</v>
      </c>
      <c r="Q12" s="35">
        <v>1891.7770480000001</v>
      </c>
      <c r="R12" s="35">
        <v>1895.3133872770475</v>
      </c>
      <c r="S12" s="35"/>
      <c r="T12" s="35"/>
      <c r="U12" s="35"/>
      <c r="V12" s="35"/>
      <c r="W12" s="35"/>
      <c r="X12" s="35"/>
    </row>
    <row r="13" spans="2:94" x14ac:dyDescent="0.25">
      <c r="J13" s="75" t="s">
        <v>89</v>
      </c>
      <c r="K13" s="35">
        <v>4865.9770479999997</v>
      </c>
      <c r="L13" s="35">
        <v>4911.7970377154415</v>
      </c>
      <c r="M13" s="35">
        <v>4865.9770479999997</v>
      </c>
      <c r="N13" s="35">
        <v>4902.4676510876297</v>
      </c>
      <c r="O13" s="35">
        <v>4865.9770479999997</v>
      </c>
      <c r="P13" s="35">
        <v>4901.7803317857579</v>
      </c>
      <c r="Q13" s="35">
        <v>4865.9770479999997</v>
      </c>
      <c r="R13" s="35">
        <v>4902.9904683096538</v>
      </c>
      <c r="S13" s="35"/>
      <c r="T13" s="35"/>
      <c r="U13" s="35"/>
      <c r="V13" s="35"/>
      <c r="W13" s="35"/>
      <c r="X13" s="35"/>
    </row>
    <row r="14" spans="2:94" x14ac:dyDescent="0.25">
      <c r="J14" s="75" t="s">
        <v>91</v>
      </c>
      <c r="K14" s="35">
        <v>0.88422499130998855</v>
      </c>
      <c r="L14" s="35">
        <v>0.87487616021632053</v>
      </c>
      <c r="M14" s="35">
        <v>0.88422499130998855</v>
      </c>
      <c r="N14" s="35">
        <v>0.8737229466228692</v>
      </c>
      <c r="O14" s="35">
        <v>0.88422499130998855</v>
      </c>
      <c r="P14" s="35">
        <v>0.87372294662286998</v>
      </c>
      <c r="Q14" s="35">
        <v>0.88422499130998855</v>
      </c>
      <c r="R14" s="35">
        <v>0.8737229466228702</v>
      </c>
      <c r="S14" s="35"/>
      <c r="T14" s="35"/>
      <c r="U14" s="35"/>
      <c r="V14" s="35"/>
      <c r="W14" s="35"/>
      <c r="X14" s="35"/>
    </row>
    <row r="15" spans="2:94" x14ac:dyDescent="0.25">
      <c r="J15" s="75" t="s">
        <v>93</v>
      </c>
      <c r="K15" s="35">
        <v>79.027332431086805</v>
      </c>
      <c r="L15" s="35">
        <v>78.808221504132632</v>
      </c>
      <c r="M15" s="35">
        <v>79.027332431086805</v>
      </c>
      <c r="N15" s="35">
        <v>78.886128105001873</v>
      </c>
      <c r="O15" s="35">
        <v>79.027332431086805</v>
      </c>
      <c r="P15" s="35">
        <v>78.965033164010265</v>
      </c>
      <c r="Q15" s="35">
        <v>79.027332431086805</v>
      </c>
      <c r="R15" s="35">
        <v>78.830932103732422</v>
      </c>
      <c r="S15" s="35"/>
      <c r="T15" s="35"/>
      <c r="U15" s="35"/>
      <c r="V15" s="35"/>
      <c r="W15" s="35"/>
      <c r="X15" s="35"/>
    </row>
    <row r="16" spans="2:94" x14ac:dyDescent="0.25">
      <c r="J16" s="75" t="s">
        <v>95</v>
      </c>
      <c r="K16" s="35">
        <v>3893.173096513</v>
      </c>
      <c r="L16" s="35">
        <v>3919.7833739992252</v>
      </c>
      <c r="M16" s="35">
        <v>3893.173096513</v>
      </c>
      <c r="N16" s="35">
        <v>3913.9302913601127</v>
      </c>
      <c r="O16" s="35">
        <v>3893.173096513</v>
      </c>
      <c r="P16" s="35">
        <v>3913.9302913601091</v>
      </c>
      <c r="Q16" s="35">
        <v>3893.173096513</v>
      </c>
      <c r="R16" s="35">
        <v>3913.9302913601105</v>
      </c>
      <c r="S16" s="35"/>
      <c r="T16" s="35"/>
      <c r="U16" s="35"/>
      <c r="V16" s="35"/>
      <c r="W16" s="35"/>
      <c r="X16" s="35"/>
    </row>
    <row r="17" spans="10:24" x14ac:dyDescent="0.25">
      <c r="J17" s="75" t="s">
        <v>97</v>
      </c>
      <c r="K17" s="35">
        <v>827.19940378063097</v>
      </c>
      <c r="L17" s="35">
        <v>849.73742670702097</v>
      </c>
      <c r="M17" s="35">
        <v>827.19940378063097</v>
      </c>
      <c r="N17" s="35">
        <v>847.00812183214191</v>
      </c>
      <c r="O17" s="35">
        <v>827.19940378063097</v>
      </c>
      <c r="P17" s="35">
        <v>847.0081218321418</v>
      </c>
      <c r="Q17" s="35">
        <v>827.19940378063097</v>
      </c>
      <c r="R17" s="35">
        <v>847.00812183214202</v>
      </c>
      <c r="S17" s="35"/>
      <c r="T17" s="35"/>
      <c r="U17" s="35"/>
      <c r="V17" s="35"/>
      <c r="W17" s="35"/>
      <c r="X17" s="35"/>
    </row>
    <row r="18" spans="10:24" x14ac:dyDescent="0.25">
      <c r="J18" s="75" t="s">
        <v>99</v>
      </c>
      <c r="K18" s="35">
        <v>79.027332431086805</v>
      </c>
      <c r="L18" s="35">
        <v>79.798262115962814</v>
      </c>
      <c r="M18" s="35">
        <v>79.027332431086805</v>
      </c>
      <c r="N18" s="35">
        <v>80.709243869505968</v>
      </c>
      <c r="O18" s="35">
        <v>79.027332431086805</v>
      </c>
      <c r="P18" s="35">
        <v>81.759654375066233</v>
      </c>
      <c r="Q18" s="35">
        <v>79.027332431086805</v>
      </c>
      <c r="R18" s="35">
        <v>79.916850423012761</v>
      </c>
      <c r="S18" s="35"/>
      <c r="T18" s="35"/>
      <c r="U18" s="35"/>
      <c r="V18" s="35"/>
      <c r="W18" s="35"/>
      <c r="X18" s="35"/>
    </row>
    <row r="19" spans="10:24" x14ac:dyDescent="0.25">
      <c r="J19" s="75" t="s">
        <v>101</v>
      </c>
      <c r="K19" s="35">
        <v>-136.67400195995299</v>
      </c>
      <c r="L19" s="35">
        <v>-138.00728807781115</v>
      </c>
      <c r="M19" s="35">
        <v>-136.67400195995299</v>
      </c>
      <c r="N19" s="35">
        <v>-139.58278756816546</v>
      </c>
      <c r="O19" s="35">
        <v>-136.67400195995299</v>
      </c>
      <c r="P19" s="35">
        <v>-141.39942243460089</v>
      </c>
      <c r="Q19" s="35">
        <v>-136.67400195995299</v>
      </c>
      <c r="R19" s="35">
        <v>-138.21238089837811</v>
      </c>
      <c r="S19" s="35"/>
      <c r="T19" s="35"/>
      <c r="U19" s="35"/>
      <c r="V19" s="35"/>
      <c r="W19" s="35"/>
      <c r="X19" s="35"/>
    </row>
    <row r="20" spans="10:24" x14ac:dyDescent="0.25">
      <c r="J20" s="75" t="s">
        <v>103</v>
      </c>
      <c r="K20" s="35">
        <v>5002.6510499599526</v>
      </c>
      <c r="L20" s="35">
        <v>5049.8043257932532</v>
      </c>
      <c r="M20" s="35">
        <v>5002.6510499599526</v>
      </c>
      <c r="N20" s="35">
        <v>5042.050438655795</v>
      </c>
      <c r="O20" s="35">
        <v>5002.6510499599526</v>
      </c>
      <c r="P20" s="35">
        <v>5043.1797542203585</v>
      </c>
      <c r="Q20" s="35">
        <v>5002.6510499599526</v>
      </c>
      <c r="R20" s="35">
        <v>5041.2028492080317</v>
      </c>
      <c r="S20" s="35"/>
      <c r="T20" s="35"/>
      <c r="U20" s="35"/>
      <c r="V20" s="35"/>
      <c r="W20" s="35"/>
      <c r="X20" s="35"/>
    </row>
    <row r="21" spans="10:24" x14ac:dyDescent="0.25">
      <c r="J21" s="75" t="s">
        <v>105</v>
      </c>
      <c r="K21" s="35">
        <v>6.2638157606858211</v>
      </c>
      <c r="L21" s="35">
        <v>6.1975890015192983</v>
      </c>
      <c r="M21" s="35">
        <v>6.2638157606858211</v>
      </c>
      <c r="N21" s="35">
        <v>6.1894196808677799</v>
      </c>
      <c r="O21" s="35">
        <v>6.2638157606858211</v>
      </c>
      <c r="P21" s="35">
        <v>6.1894196808677835</v>
      </c>
      <c r="Q21" s="35">
        <v>6.2638157606858211</v>
      </c>
      <c r="R21" s="35">
        <v>6.1894196808677853</v>
      </c>
      <c r="S21" s="35"/>
      <c r="T21" s="35"/>
      <c r="U21" s="35"/>
      <c r="V21" s="35"/>
      <c r="W21" s="35"/>
      <c r="X21" s="35"/>
    </row>
    <row r="22" spans="10:24" x14ac:dyDescent="0.25">
      <c r="J22" s="75" t="s">
        <v>107</v>
      </c>
      <c r="K22" s="35">
        <v>124.22388480414899</v>
      </c>
      <c r="L22" s="35">
        <v>121.67704146691128</v>
      </c>
      <c r="M22" s="35">
        <v>124.22388480414899</v>
      </c>
      <c r="N22" s="35">
        <v>121.51665348903349</v>
      </c>
      <c r="O22" s="35">
        <v>124.22388480414899</v>
      </c>
      <c r="P22" s="35">
        <v>121.51665348903359</v>
      </c>
      <c r="Q22" s="35">
        <v>124.22388480414899</v>
      </c>
      <c r="R22" s="35">
        <v>121.51665348903362</v>
      </c>
      <c r="S22" s="35"/>
      <c r="T22" s="35"/>
      <c r="U22" s="35"/>
      <c r="V22" s="35"/>
      <c r="W22" s="35"/>
      <c r="X22" s="35"/>
    </row>
  </sheetData>
  <phoneticPr fontId="14" type="noConversion"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B4:CP20"/>
  <sheetViews>
    <sheetView topLeftCell="G1" workbookViewId="0">
      <pane xSplit="4" ySplit="7" topLeftCell="K8" activePane="bottomRight" state="frozen"/>
      <selection pane="topRight"/>
      <selection pane="bottomLeft"/>
      <selection pane="bottomRight" activeCell="L5" sqref="L5"/>
    </sheetView>
  </sheetViews>
  <sheetFormatPr defaultColWidth="9" defaultRowHeight="15" x14ac:dyDescent="0.25"/>
  <cols>
    <col min="1" max="9" width="9" style="20"/>
    <col min="10" max="10" width="47.625" style="20" customWidth="1"/>
    <col min="11" max="24" width="14.125" style="20"/>
    <col min="25" max="16384" width="9" style="20"/>
  </cols>
  <sheetData>
    <row r="4" spans="2:94" x14ac:dyDescent="0.25">
      <c r="AC4" s="30"/>
      <c r="AD4" s="30"/>
      <c r="AE4" s="30"/>
      <c r="AF4" s="30"/>
      <c r="AG4" s="30"/>
      <c r="AH4" s="30"/>
      <c r="AI4" s="30"/>
      <c r="AJ4" s="30"/>
      <c r="AK4" s="30"/>
      <c r="AL4" s="30"/>
      <c r="AM4" s="30"/>
      <c r="AN4" s="30"/>
      <c r="AO4" s="30"/>
      <c r="AP4" s="30"/>
      <c r="AQ4" s="30"/>
      <c r="AR4" s="30"/>
      <c r="AS4" s="30"/>
      <c r="AT4" s="30"/>
    </row>
    <row r="5" spans="2:94" x14ac:dyDescent="0.25">
      <c r="K5" s="30"/>
      <c r="L5" s="22">
        <f>L11/L10</f>
        <v>0.98742488189919431</v>
      </c>
      <c r="M5" s="34"/>
      <c r="N5" s="34"/>
      <c r="O5" s="34"/>
      <c r="P5" s="34"/>
      <c r="Q5" s="34"/>
      <c r="R5" s="34"/>
      <c r="S5" s="34"/>
      <c r="T5" s="34"/>
      <c r="U5" s="34"/>
      <c r="V5" s="34"/>
      <c r="W5" s="34"/>
      <c r="X5" s="34"/>
      <c r="Y5" s="34"/>
    </row>
    <row r="6" spans="2:94" s="23" customFormat="1" ht="12.75" customHeight="1" x14ac:dyDescent="0.25">
      <c r="B6" s="31" t="s">
        <v>73</v>
      </c>
      <c r="K6" s="73" t="s">
        <v>73</v>
      </c>
      <c r="L6" s="71" t="s">
        <v>73</v>
      </c>
      <c r="M6" s="71" t="s">
        <v>315</v>
      </c>
      <c r="N6" s="71" t="s">
        <v>315</v>
      </c>
      <c r="O6" s="71" t="s">
        <v>316</v>
      </c>
      <c r="P6" s="71" t="s">
        <v>316</v>
      </c>
      <c r="Q6" s="71" t="s">
        <v>317</v>
      </c>
      <c r="R6" s="71" t="s">
        <v>317</v>
      </c>
      <c r="S6" s="71"/>
      <c r="T6" s="71"/>
      <c r="U6" s="71"/>
      <c r="V6" s="71"/>
      <c r="W6" s="73"/>
      <c r="X6" s="73"/>
      <c r="Y6" s="73"/>
      <c r="Z6" s="73"/>
      <c r="AA6" s="73"/>
      <c r="AB6" s="73"/>
      <c r="AC6" s="73"/>
      <c r="AD6" s="73"/>
      <c r="AE6" s="73"/>
      <c r="AF6" s="73"/>
      <c r="AG6" s="73"/>
      <c r="AH6" s="73"/>
      <c r="AI6" s="73"/>
      <c r="AJ6" s="73"/>
      <c r="AK6" s="73"/>
      <c r="AL6" s="73"/>
      <c r="AM6" s="73"/>
      <c r="AN6" s="73"/>
      <c r="AO6" s="73"/>
      <c r="AP6" s="73"/>
      <c r="AQ6" s="73"/>
      <c r="AR6" s="73"/>
      <c r="AS6" s="73"/>
      <c r="AT6" s="73"/>
      <c r="AU6" s="73"/>
      <c r="AV6" s="73"/>
      <c r="AW6" s="73"/>
      <c r="AX6" s="73"/>
      <c r="AY6" s="73"/>
      <c r="AZ6" s="73"/>
      <c r="BA6" s="73"/>
      <c r="BB6" s="73"/>
      <c r="BC6" s="73"/>
      <c r="BD6" s="73"/>
      <c r="BE6" s="73"/>
      <c r="BF6" s="73"/>
      <c r="BG6" s="73"/>
      <c r="BH6" s="73"/>
      <c r="BI6" s="73"/>
      <c r="BJ6" s="73"/>
      <c r="BK6" s="73"/>
      <c r="BL6" s="73"/>
      <c r="BM6" s="73"/>
      <c r="BN6" s="73"/>
      <c r="BO6" s="73"/>
      <c r="BP6" s="73"/>
      <c r="BQ6" s="73"/>
      <c r="BR6" s="73"/>
      <c r="BS6" s="73"/>
      <c r="BT6" s="73"/>
      <c r="BU6" s="73"/>
      <c r="BV6" s="73"/>
      <c r="BW6" s="73"/>
      <c r="BX6" s="73"/>
      <c r="BY6" s="73"/>
      <c r="BZ6" s="73"/>
      <c r="CA6" s="73"/>
      <c r="CB6" s="73"/>
      <c r="CC6" s="73"/>
      <c r="CD6" s="73"/>
      <c r="CE6" s="73"/>
      <c r="CF6" s="73"/>
      <c r="CG6" s="73"/>
      <c r="CH6" s="73"/>
      <c r="CI6" s="73"/>
      <c r="CJ6" s="73"/>
      <c r="CK6" s="73"/>
      <c r="CL6" s="73"/>
      <c r="CM6" s="73"/>
      <c r="CN6" s="73"/>
      <c r="CO6" s="73"/>
      <c r="CP6" s="73"/>
    </row>
    <row r="7" spans="2:94" s="23" customFormat="1" x14ac:dyDescent="0.25">
      <c r="B7" s="31" t="s">
        <v>74</v>
      </c>
      <c r="C7" s="31"/>
      <c r="D7" s="31"/>
      <c r="E7" s="31"/>
      <c r="F7" s="31"/>
      <c r="G7" s="31"/>
      <c r="H7" s="26"/>
      <c r="K7" s="73" t="s">
        <v>76</v>
      </c>
      <c r="L7" s="71" t="s">
        <v>77</v>
      </c>
      <c r="M7" s="71" t="s">
        <v>76</v>
      </c>
      <c r="N7" s="71" t="s">
        <v>77</v>
      </c>
      <c r="O7" s="71" t="s">
        <v>76</v>
      </c>
      <c r="P7" s="71" t="s">
        <v>77</v>
      </c>
      <c r="Q7" s="71" t="s">
        <v>76</v>
      </c>
      <c r="R7" s="71" t="s">
        <v>77</v>
      </c>
      <c r="S7" s="71"/>
      <c r="T7" s="71"/>
      <c r="U7" s="71"/>
      <c r="V7" s="71"/>
      <c r="W7" s="73"/>
      <c r="X7" s="73"/>
      <c r="Y7" s="73"/>
      <c r="Z7" s="73"/>
      <c r="AA7" s="73"/>
      <c r="AB7" s="73"/>
      <c r="AC7" s="73"/>
      <c r="AD7" s="73"/>
      <c r="AE7" s="73"/>
      <c r="AF7" s="73"/>
      <c r="AG7" s="73"/>
      <c r="AH7" s="73"/>
      <c r="AI7" s="73"/>
      <c r="AJ7" s="73"/>
      <c r="AK7" s="73"/>
      <c r="AL7" s="73"/>
      <c r="AM7" s="73"/>
      <c r="AN7" s="73"/>
      <c r="AO7" s="73"/>
      <c r="AP7" s="73"/>
      <c r="AQ7" s="73"/>
      <c r="AR7" s="73"/>
      <c r="AS7" s="73"/>
      <c r="AT7" s="73"/>
      <c r="AU7" s="73"/>
      <c r="AV7" s="73"/>
      <c r="AW7" s="73"/>
      <c r="AX7" s="73"/>
      <c r="AY7" s="73"/>
      <c r="AZ7" s="73"/>
      <c r="BA7" s="73"/>
      <c r="BB7" s="73"/>
      <c r="BC7" s="73"/>
      <c r="BD7" s="73"/>
      <c r="BE7" s="73"/>
      <c r="BF7" s="73"/>
      <c r="BG7" s="73"/>
      <c r="BH7" s="73"/>
      <c r="BI7" s="73"/>
      <c r="BJ7" s="73"/>
      <c r="BK7" s="73"/>
      <c r="BL7" s="73"/>
      <c r="BM7" s="73"/>
      <c r="BN7" s="73"/>
      <c r="BO7" s="73"/>
      <c r="BP7" s="73"/>
      <c r="BQ7" s="73"/>
      <c r="BR7" s="73"/>
      <c r="BS7" s="73"/>
      <c r="BT7" s="73"/>
      <c r="BU7" s="73"/>
      <c r="BV7" s="73"/>
      <c r="BW7" s="73"/>
      <c r="BX7" s="73"/>
      <c r="BY7" s="73"/>
      <c r="BZ7" s="73"/>
      <c r="CA7" s="73"/>
      <c r="CB7" s="73"/>
      <c r="CC7" s="73"/>
      <c r="CD7" s="73"/>
      <c r="CE7" s="73"/>
      <c r="CF7" s="73"/>
      <c r="CG7" s="73"/>
      <c r="CH7" s="73"/>
      <c r="CI7" s="73"/>
      <c r="CJ7" s="73"/>
      <c r="CK7" s="73"/>
      <c r="CL7" s="73"/>
      <c r="CM7" s="73"/>
      <c r="CN7" s="73"/>
      <c r="CO7" s="73"/>
      <c r="CP7" s="73"/>
    </row>
    <row r="8" spans="2:94" x14ac:dyDescent="0.25">
      <c r="J8" s="75" t="s">
        <v>79</v>
      </c>
      <c r="K8" s="24">
        <v>1066.6670000000001</v>
      </c>
      <c r="L8" s="24">
        <v>1064.2137994794284</v>
      </c>
      <c r="M8" s="24">
        <v>1066.6670000000001</v>
      </c>
      <c r="N8" s="24">
        <v>1064.4140341750567</v>
      </c>
      <c r="O8" s="24">
        <v>1066.6670000000001</v>
      </c>
      <c r="P8" s="24">
        <v>1064.414034175056</v>
      </c>
      <c r="Q8" s="24">
        <v>1066.6670000000001</v>
      </c>
      <c r="R8" s="24">
        <v>1064.414034175056</v>
      </c>
      <c r="S8" s="24"/>
      <c r="T8" s="24"/>
      <c r="U8" s="24"/>
      <c r="V8" s="24"/>
      <c r="W8" s="24"/>
      <c r="X8" s="24"/>
    </row>
    <row r="9" spans="2:94" x14ac:dyDescent="0.25">
      <c r="J9" s="75" t="s">
        <v>81</v>
      </c>
      <c r="K9" s="24">
        <v>29999.990625002927</v>
      </c>
      <c r="L9" s="24">
        <v>30162.962072029899</v>
      </c>
      <c r="M9" s="24">
        <v>29999.990625002927</v>
      </c>
      <c r="N9" s="24">
        <v>30308.870121062413</v>
      </c>
      <c r="O9" s="24">
        <v>29999.990625002927</v>
      </c>
      <c r="P9" s="24">
        <v>30308.87012106242</v>
      </c>
      <c r="Q9" s="24">
        <v>29999.990625002927</v>
      </c>
      <c r="R9" s="24">
        <v>30308.87012106242</v>
      </c>
      <c r="S9" s="24"/>
      <c r="T9" s="24"/>
      <c r="U9" s="24"/>
      <c r="V9" s="24"/>
      <c r="W9" s="24"/>
      <c r="X9" s="24"/>
    </row>
    <row r="10" spans="2:94" x14ac:dyDescent="0.25">
      <c r="J10" s="75" t="s">
        <v>83</v>
      </c>
      <c r="K10" s="24">
        <v>32330.81</v>
      </c>
      <c r="L10" s="24">
        <v>32508.640463352112</v>
      </c>
      <c r="M10" s="24">
        <v>32330.81</v>
      </c>
      <c r="N10" s="24">
        <v>32689.4716343043</v>
      </c>
      <c r="O10" s="24">
        <v>32330.81</v>
      </c>
      <c r="P10" s="24">
        <v>32689.4716343043</v>
      </c>
      <c r="Q10" s="24">
        <v>32330.81</v>
      </c>
      <c r="R10" s="24">
        <v>32689.471634304307</v>
      </c>
      <c r="S10" s="24"/>
      <c r="T10" s="24"/>
      <c r="U10" s="24"/>
      <c r="V10" s="24"/>
      <c r="W10" s="24"/>
      <c r="X10" s="24"/>
    </row>
    <row r="11" spans="2:94" x14ac:dyDescent="0.25">
      <c r="J11" s="75" t="s">
        <v>85</v>
      </c>
      <c r="K11" s="24">
        <v>32000</v>
      </c>
      <c r="L11" s="24">
        <v>32099.840470228828</v>
      </c>
      <c r="M11" s="24">
        <v>32000</v>
      </c>
      <c r="N11" s="24">
        <v>32261.186716847886</v>
      </c>
      <c r="O11" s="24">
        <v>32000</v>
      </c>
      <c r="P11" s="24">
        <v>32261.186716847875</v>
      </c>
      <c r="Q11" s="24">
        <v>32000</v>
      </c>
      <c r="R11" s="24">
        <v>32261.186716847868</v>
      </c>
      <c r="S11" s="24"/>
      <c r="T11" s="24"/>
      <c r="U11" s="24"/>
      <c r="V11" s="24"/>
      <c r="W11" s="24"/>
      <c r="X11" s="24"/>
    </row>
    <row r="12" spans="2:94" x14ac:dyDescent="0.25">
      <c r="J12" s="75" t="s">
        <v>87</v>
      </c>
      <c r="K12" s="24">
        <v>330.81000000000006</v>
      </c>
      <c r="L12" s="24">
        <v>408.79999312328516</v>
      </c>
      <c r="M12" s="24">
        <v>330.81000000000006</v>
      </c>
      <c r="N12" s="24">
        <v>428.28491745641389</v>
      </c>
      <c r="O12" s="24">
        <v>330.81000000000006</v>
      </c>
      <c r="P12" s="24">
        <v>428.28491745642663</v>
      </c>
      <c r="Q12" s="24">
        <v>330.81000000000006</v>
      </c>
      <c r="R12" s="24">
        <v>428.28491745643976</v>
      </c>
      <c r="S12" s="24"/>
      <c r="T12" s="24"/>
      <c r="U12" s="24"/>
      <c r="V12" s="24"/>
      <c r="W12" s="24"/>
      <c r="X12" s="24"/>
    </row>
    <row r="13" spans="2:94" x14ac:dyDescent="0.25">
      <c r="J13" s="75" t="s">
        <v>89</v>
      </c>
      <c r="K13" s="24">
        <v>32330.809999999998</v>
      </c>
      <c r="L13" s="24">
        <v>32508.640463352112</v>
      </c>
      <c r="M13" s="24">
        <v>32330.809999999998</v>
      </c>
      <c r="N13" s="24">
        <v>32689.4716343043</v>
      </c>
      <c r="O13" s="24">
        <v>32330.809999999998</v>
      </c>
      <c r="P13" s="24">
        <v>32689.4716343043</v>
      </c>
      <c r="Q13" s="24">
        <v>32330.809999999998</v>
      </c>
      <c r="R13" s="24">
        <v>32689.471634304307</v>
      </c>
      <c r="S13" s="24"/>
      <c r="T13" s="24"/>
      <c r="U13" s="24"/>
      <c r="V13" s="24"/>
      <c r="W13" s="24"/>
      <c r="X13" s="24"/>
    </row>
    <row r="14" spans="2:94" x14ac:dyDescent="0.25">
      <c r="J14" s="75" t="s">
        <v>91</v>
      </c>
      <c r="K14" s="24">
        <v>134.30574635736605</v>
      </c>
      <c r="L14" s="24">
        <v>136.26214411819842</v>
      </c>
      <c r="M14" s="24">
        <v>134.30574635736605</v>
      </c>
      <c r="N14" s="24">
        <v>137.62579931456935</v>
      </c>
      <c r="O14" s="24">
        <v>134.30574635736605</v>
      </c>
      <c r="P14" s="24">
        <v>137.62579931456932</v>
      </c>
      <c r="Q14" s="24">
        <v>134.30574635736605</v>
      </c>
      <c r="R14" s="24">
        <v>137.62579931456935</v>
      </c>
      <c r="S14" s="24"/>
      <c r="T14" s="24"/>
      <c r="U14" s="24"/>
      <c r="V14" s="24"/>
      <c r="W14" s="24"/>
      <c r="X14" s="24"/>
    </row>
    <row r="15" spans="2:94" x14ac:dyDescent="0.25">
      <c r="J15" s="75" t="s">
        <v>97</v>
      </c>
      <c r="K15" s="24">
        <v>9260.9</v>
      </c>
      <c r="L15" s="24">
        <v>9342.8773962555842</v>
      </c>
      <c r="M15" s="24">
        <v>9260.9</v>
      </c>
      <c r="N15" s="24">
        <v>9312.8686429377267</v>
      </c>
      <c r="O15" s="24">
        <v>9260.9</v>
      </c>
      <c r="P15" s="24">
        <v>9312.8686429377303</v>
      </c>
      <c r="Q15" s="24">
        <v>9260.9</v>
      </c>
      <c r="R15" s="24">
        <v>9312.8686429377303</v>
      </c>
      <c r="S15" s="24"/>
      <c r="T15" s="24"/>
      <c r="U15" s="24"/>
      <c r="V15" s="24"/>
      <c r="W15" s="24"/>
      <c r="X15" s="24"/>
    </row>
    <row r="16" spans="2:94" x14ac:dyDescent="0.25">
      <c r="J16" s="75" t="s">
        <v>99</v>
      </c>
      <c r="K16" s="24">
        <v>4201.43</v>
      </c>
      <c r="L16" s="24">
        <v>4214.5385233385468</v>
      </c>
      <c r="M16" s="24">
        <v>4201.43</v>
      </c>
      <c r="N16" s="24">
        <v>4235.7224283676951</v>
      </c>
      <c r="O16" s="24">
        <v>4201.43</v>
      </c>
      <c r="P16" s="24">
        <v>4235.7224283676933</v>
      </c>
      <c r="Q16" s="24">
        <v>4201.43</v>
      </c>
      <c r="R16" s="24">
        <v>4235.7224283676924</v>
      </c>
      <c r="S16" s="24"/>
      <c r="T16" s="24"/>
      <c r="U16" s="24"/>
      <c r="V16" s="24"/>
      <c r="W16" s="24"/>
      <c r="X16" s="24"/>
    </row>
    <row r="17" spans="10:24" x14ac:dyDescent="0.25">
      <c r="J17" s="75" t="s">
        <v>103</v>
      </c>
      <c r="K17" s="24">
        <v>32330.809999999998</v>
      </c>
      <c r="L17" s="24">
        <v>32508.640463352112</v>
      </c>
      <c r="M17" s="24">
        <v>32330.809999999998</v>
      </c>
      <c r="N17" s="24">
        <v>32689.4716343043</v>
      </c>
      <c r="O17" s="24">
        <v>32330.809999999998</v>
      </c>
      <c r="P17" s="24">
        <v>32689.4716343043</v>
      </c>
      <c r="Q17" s="24">
        <v>32330.809999999998</v>
      </c>
      <c r="R17" s="24">
        <v>32689.471634304307</v>
      </c>
      <c r="S17" s="24"/>
      <c r="T17" s="24"/>
      <c r="U17" s="24"/>
      <c r="V17" s="24"/>
      <c r="W17" s="24"/>
      <c r="X17" s="24"/>
    </row>
    <row r="18" spans="10:24" x14ac:dyDescent="0.25">
      <c r="J18" s="75" t="s">
        <v>105</v>
      </c>
      <c r="K18" s="24">
        <v>111.63935190362974</v>
      </c>
      <c r="L18" s="24">
        <v>113.26557404236</v>
      </c>
      <c r="M18" s="24">
        <v>111.63935190362974</v>
      </c>
      <c r="N18" s="24">
        <v>114.39908907408315</v>
      </c>
      <c r="O18" s="24">
        <v>111.63935190362974</v>
      </c>
      <c r="P18" s="24">
        <v>114.39908907408312</v>
      </c>
      <c r="Q18" s="24">
        <v>111.63935190362974</v>
      </c>
      <c r="R18" s="24">
        <v>114.39908907408315</v>
      </c>
      <c r="S18" s="24"/>
      <c r="T18" s="24"/>
      <c r="U18" s="24"/>
      <c r="V18" s="24"/>
      <c r="W18" s="24"/>
      <c r="X18" s="24"/>
    </row>
    <row r="19" spans="10:24" x14ac:dyDescent="0.25">
      <c r="J19" s="75" t="s">
        <v>107</v>
      </c>
      <c r="K19" s="24">
        <v>18868.48</v>
      </c>
      <c r="L19" s="24">
        <v>18951.224543757977</v>
      </c>
      <c r="M19" s="24">
        <v>18868.48</v>
      </c>
      <c r="N19" s="24">
        <v>19140.880562998878</v>
      </c>
      <c r="O19" s="24">
        <v>18868.48</v>
      </c>
      <c r="P19" s="24">
        <v>19140.880562998875</v>
      </c>
      <c r="Q19" s="24">
        <v>18868.48</v>
      </c>
      <c r="R19" s="24">
        <v>19140.880562998882</v>
      </c>
      <c r="S19" s="24"/>
      <c r="T19" s="24"/>
      <c r="U19" s="24"/>
      <c r="V19" s="24"/>
      <c r="W19" s="24"/>
      <c r="X19" s="24"/>
    </row>
    <row r="20" spans="10:24" x14ac:dyDescent="0.25">
      <c r="J20" s="75" t="s">
        <v>109</v>
      </c>
      <c r="K20" s="24">
        <v>1668.7353058915514</v>
      </c>
      <c r="L20" s="24">
        <v>1623.0437512889591</v>
      </c>
      <c r="M20" s="24">
        <v>1609.7932886538595</v>
      </c>
      <c r="N20" s="24">
        <v>1511.5976307633214</v>
      </c>
      <c r="O20" s="24">
        <v>1668.7353058915514</v>
      </c>
      <c r="P20" s="24">
        <v>1624.317363033975</v>
      </c>
      <c r="Q20" s="24">
        <v>1668.7353058915514</v>
      </c>
      <c r="R20" s="24">
        <v>1624.3173630339754</v>
      </c>
      <c r="S20" s="24"/>
      <c r="T20" s="24"/>
      <c r="U20" s="24"/>
      <c r="V20" s="24"/>
      <c r="W20" s="24"/>
      <c r="X20" s="24"/>
    </row>
  </sheetData>
  <phoneticPr fontId="14" type="noConversion"/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B3:CP17"/>
  <sheetViews>
    <sheetView topLeftCell="J1" zoomScale="85" zoomScaleNormal="85" workbookViewId="0">
      <pane xSplit="1" ySplit="7" topLeftCell="K8" activePane="bottomRight" state="frozen"/>
      <selection pane="topRight"/>
      <selection pane="bottomLeft"/>
      <selection pane="bottomRight" activeCell="L5" sqref="L5"/>
    </sheetView>
  </sheetViews>
  <sheetFormatPr defaultColWidth="9" defaultRowHeight="15" x14ac:dyDescent="0.25"/>
  <cols>
    <col min="1" max="9" width="9" style="20"/>
    <col min="10" max="10" width="36.875" style="20" customWidth="1"/>
    <col min="11" max="24" width="14.125" style="20"/>
    <col min="25" max="16384" width="9" style="20"/>
  </cols>
  <sheetData>
    <row r="3" spans="2:94" x14ac:dyDescent="0.25">
      <c r="M3" s="24">
        <f>M9+182-M13</f>
        <v>869.73</v>
      </c>
    </row>
    <row r="4" spans="2:94" x14ac:dyDescent="0.25">
      <c r="M4" s="20">
        <f>M3/L15-1</f>
        <v>36.444756176402969</v>
      </c>
      <c r="N4" s="33"/>
      <c r="O4" s="33"/>
      <c r="P4" s="33"/>
      <c r="Q4" s="33"/>
      <c r="R4" s="33"/>
      <c r="S4" s="33"/>
      <c r="T4" s="33"/>
      <c r="U4" s="33"/>
      <c r="V4" s="33"/>
      <c r="W4" s="33"/>
      <c r="X4" s="33"/>
      <c r="Y4" s="33"/>
      <c r="Z4" s="33"/>
      <c r="AA4" s="33"/>
    </row>
    <row r="5" spans="2:94" x14ac:dyDescent="0.25">
      <c r="L5" s="22">
        <f>L9/L8</f>
        <v>0.72438807274991823</v>
      </c>
    </row>
    <row r="6" spans="2:94" s="23" customFormat="1" ht="12.75" customHeight="1" x14ac:dyDescent="0.25">
      <c r="B6" s="31" t="s">
        <v>73</v>
      </c>
      <c r="K6" s="73" t="s">
        <v>73</v>
      </c>
      <c r="L6" s="71" t="s">
        <v>73</v>
      </c>
      <c r="M6" s="71" t="s">
        <v>315</v>
      </c>
      <c r="N6" s="71" t="s">
        <v>315</v>
      </c>
      <c r="O6" s="71" t="s">
        <v>316</v>
      </c>
      <c r="P6" s="71" t="s">
        <v>316</v>
      </c>
      <c r="Q6" s="71" t="s">
        <v>317</v>
      </c>
      <c r="R6" s="71" t="s">
        <v>317</v>
      </c>
      <c r="S6" s="71"/>
      <c r="T6" s="71"/>
      <c r="U6" s="71"/>
      <c r="V6" s="71"/>
      <c r="W6" s="73"/>
      <c r="X6" s="73"/>
      <c r="Y6" s="73"/>
      <c r="Z6" s="73"/>
      <c r="AA6" s="73"/>
      <c r="AB6" s="73"/>
      <c r="AC6" s="73"/>
      <c r="AD6" s="73"/>
      <c r="AE6" s="73"/>
      <c r="AF6" s="73"/>
      <c r="AG6" s="73"/>
      <c r="AH6" s="73"/>
      <c r="AI6" s="73"/>
      <c r="AJ6" s="73"/>
      <c r="AK6" s="73"/>
      <c r="AL6" s="73"/>
      <c r="AM6" s="73"/>
      <c r="AN6" s="73"/>
      <c r="AO6" s="73"/>
      <c r="AP6" s="73"/>
      <c r="AQ6" s="73"/>
      <c r="AR6" s="73"/>
      <c r="AS6" s="73"/>
      <c r="AT6" s="73"/>
      <c r="AU6" s="73"/>
      <c r="AV6" s="73"/>
      <c r="AW6" s="73"/>
      <c r="AX6" s="73"/>
      <c r="AY6" s="73"/>
      <c r="AZ6" s="73"/>
      <c r="BA6" s="73"/>
      <c r="BB6" s="73"/>
      <c r="BC6" s="73"/>
      <c r="BD6" s="73"/>
      <c r="BE6" s="73"/>
      <c r="BF6" s="73"/>
      <c r="BG6" s="73"/>
      <c r="BH6" s="73"/>
      <c r="BI6" s="73"/>
      <c r="BJ6" s="73"/>
      <c r="BK6" s="73"/>
      <c r="BL6" s="73"/>
      <c r="BM6" s="73"/>
      <c r="BN6" s="73"/>
      <c r="BO6" s="73"/>
      <c r="BP6" s="73"/>
      <c r="BQ6" s="73"/>
      <c r="BR6" s="73"/>
      <c r="BS6" s="73"/>
      <c r="BT6" s="73"/>
      <c r="BU6" s="73"/>
      <c r="BV6" s="73"/>
      <c r="BW6" s="73"/>
      <c r="BX6" s="73"/>
      <c r="BY6" s="73"/>
      <c r="BZ6" s="73"/>
      <c r="CA6" s="73"/>
      <c r="CB6" s="73"/>
      <c r="CC6" s="73"/>
      <c r="CD6" s="73"/>
      <c r="CE6" s="73"/>
      <c r="CF6" s="73"/>
      <c r="CG6" s="73"/>
      <c r="CH6" s="73"/>
      <c r="CI6" s="73"/>
      <c r="CJ6" s="73"/>
      <c r="CK6" s="73"/>
      <c r="CL6" s="73"/>
      <c r="CM6" s="73"/>
      <c r="CN6" s="73"/>
      <c r="CO6" s="73"/>
      <c r="CP6" s="73"/>
    </row>
    <row r="7" spans="2:94" s="23" customFormat="1" x14ac:dyDescent="0.25">
      <c r="B7" s="31" t="s">
        <v>74</v>
      </c>
      <c r="C7" s="31"/>
      <c r="D7" s="31"/>
      <c r="E7" s="31"/>
      <c r="F7" s="31"/>
      <c r="G7" s="31"/>
      <c r="H7" s="26"/>
      <c r="K7" s="73" t="s">
        <v>76</v>
      </c>
      <c r="L7" s="71" t="s">
        <v>77</v>
      </c>
      <c r="M7" s="71" t="s">
        <v>76</v>
      </c>
      <c r="N7" s="71" t="s">
        <v>77</v>
      </c>
      <c r="O7" s="71" t="s">
        <v>76</v>
      </c>
      <c r="P7" s="71" t="s">
        <v>77</v>
      </c>
      <c r="Q7" s="71" t="s">
        <v>76</v>
      </c>
      <c r="R7" s="71" t="s">
        <v>77</v>
      </c>
      <c r="S7" s="71"/>
      <c r="T7" s="71"/>
      <c r="U7" s="71"/>
      <c r="V7" s="71"/>
      <c r="W7" s="73"/>
      <c r="X7" s="73"/>
      <c r="Y7" s="73"/>
      <c r="Z7" s="73"/>
      <c r="AA7" s="73"/>
      <c r="AB7" s="73"/>
      <c r="AC7" s="73"/>
      <c r="AD7" s="73"/>
      <c r="AE7" s="73"/>
      <c r="AF7" s="73"/>
      <c r="AG7" s="73"/>
      <c r="AH7" s="73"/>
      <c r="AI7" s="73"/>
      <c r="AJ7" s="73"/>
      <c r="AK7" s="73"/>
      <c r="AL7" s="73"/>
      <c r="AM7" s="73"/>
      <c r="AN7" s="73"/>
      <c r="AO7" s="73"/>
      <c r="AP7" s="73"/>
      <c r="AQ7" s="73"/>
      <c r="AR7" s="73"/>
      <c r="AS7" s="73"/>
      <c r="AT7" s="73"/>
      <c r="AU7" s="73"/>
      <c r="AV7" s="73"/>
      <c r="AW7" s="73"/>
      <c r="AX7" s="73"/>
      <c r="AY7" s="73"/>
      <c r="AZ7" s="73"/>
      <c r="BA7" s="73"/>
      <c r="BB7" s="73"/>
      <c r="BC7" s="73"/>
      <c r="BD7" s="73"/>
      <c r="BE7" s="73"/>
      <c r="BF7" s="73"/>
      <c r="BG7" s="73"/>
      <c r="BH7" s="73"/>
      <c r="BI7" s="73"/>
      <c r="BJ7" s="73"/>
      <c r="BK7" s="73"/>
      <c r="BL7" s="73"/>
      <c r="BM7" s="73"/>
      <c r="BN7" s="73"/>
      <c r="BO7" s="73"/>
      <c r="BP7" s="73"/>
      <c r="BQ7" s="73"/>
      <c r="BR7" s="73"/>
      <c r="BS7" s="73"/>
      <c r="BT7" s="73"/>
      <c r="BU7" s="73"/>
      <c r="BV7" s="73"/>
      <c r="BW7" s="73"/>
      <c r="BX7" s="73"/>
      <c r="BY7" s="73"/>
      <c r="BZ7" s="73"/>
      <c r="CA7" s="73"/>
      <c r="CB7" s="73"/>
      <c r="CC7" s="73"/>
      <c r="CD7" s="73"/>
      <c r="CE7" s="73"/>
      <c r="CF7" s="73"/>
      <c r="CG7" s="73"/>
      <c r="CH7" s="73"/>
      <c r="CI7" s="73"/>
      <c r="CJ7" s="73"/>
      <c r="CK7" s="73"/>
      <c r="CL7" s="73"/>
      <c r="CM7" s="73"/>
      <c r="CN7" s="73"/>
      <c r="CO7" s="73"/>
      <c r="CP7" s="73"/>
    </row>
    <row r="8" spans="2:94" x14ac:dyDescent="0.25">
      <c r="J8" s="75" t="s">
        <v>83</v>
      </c>
      <c r="K8" s="24">
        <v>1080.8800000000001</v>
      </c>
      <c r="L8" s="24">
        <v>1050.4859007578575</v>
      </c>
      <c r="M8" s="24">
        <v>1080.8800000000001</v>
      </c>
      <c r="N8" s="24">
        <v>1121.5202613829731</v>
      </c>
      <c r="O8" s="24">
        <v>1080.8800000000001</v>
      </c>
      <c r="P8" s="24">
        <v>1121.5202613829717</v>
      </c>
      <c r="Q8" s="24">
        <v>1080.8800000000001</v>
      </c>
      <c r="R8" s="24">
        <v>1121.5202613829711</v>
      </c>
      <c r="S8" s="24"/>
      <c r="T8" s="24"/>
      <c r="U8" s="24"/>
      <c r="V8" s="24"/>
      <c r="W8" s="24"/>
      <c r="X8" s="24"/>
    </row>
    <row r="9" spans="2:94" x14ac:dyDescent="0.25">
      <c r="J9" s="75" t="s">
        <v>85</v>
      </c>
      <c r="K9" s="24">
        <v>801</v>
      </c>
      <c r="L9" s="24">
        <v>760.95945710094622</v>
      </c>
      <c r="M9" s="24">
        <v>801</v>
      </c>
      <c r="N9" s="24">
        <v>759.79459287188615</v>
      </c>
      <c r="O9" s="24">
        <v>801</v>
      </c>
      <c r="P9" s="24">
        <v>759.79459287188615</v>
      </c>
      <c r="Q9" s="24">
        <v>801</v>
      </c>
      <c r="R9" s="24">
        <v>759.79459287188627</v>
      </c>
      <c r="S9" s="24"/>
      <c r="T9" s="24"/>
      <c r="U9" s="24"/>
      <c r="V9" s="24"/>
      <c r="W9" s="24"/>
      <c r="X9" s="24"/>
    </row>
    <row r="10" spans="2:94" x14ac:dyDescent="0.25">
      <c r="J10" s="75" t="s">
        <v>87</v>
      </c>
      <c r="K10" s="24">
        <v>279.88</v>
      </c>
      <c r="L10" s="24">
        <v>289.52644365691128</v>
      </c>
      <c r="M10" s="24">
        <v>279.88</v>
      </c>
      <c r="N10" s="24">
        <v>361.72566851108695</v>
      </c>
      <c r="O10" s="24">
        <v>279.88</v>
      </c>
      <c r="P10" s="24">
        <v>361.72566851108559</v>
      </c>
      <c r="Q10" s="24">
        <v>279.88</v>
      </c>
      <c r="R10" s="24">
        <v>361.72566851108479</v>
      </c>
      <c r="S10" s="24"/>
      <c r="T10" s="24"/>
      <c r="U10" s="24"/>
      <c r="V10" s="24"/>
      <c r="W10" s="24"/>
      <c r="X10" s="24"/>
    </row>
    <row r="11" spans="2:94" x14ac:dyDescent="0.25">
      <c r="J11" s="75" t="s">
        <v>89</v>
      </c>
      <c r="K11" s="24">
        <v>1080.8800000000001</v>
      </c>
      <c r="L11" s="24">
        <v>1050.4859007578575</v>
      </c>
      <c r="M11" s="24">
        <v>1080.8800000000001</v>
      </c>
      <c r="N11" s="24">
        <v>1121.5202613829731</v>
      </c>
      <c r="O11" s="24">
        <v>1080.8800000000001</v>
      </c>
      <c r="P11" s="24">
        <v>1121.5202613829717</v>
      </c>
      <c r="Q11" s="24">
        <v>1080.8800000000001</v>
      </c>
      <c r="R11" s="24">
        <v>1121.5202613829711</v>
      </c>
      <c r="S11" s="24"/>
      <c r="T11" s="24"/>
      <c r="U11" s="24"/>
      <c r="V11" s="24"/>
      <c r="W11" s="24"/>
      <c r="X11" s="24"/>
    </row>
    <row r="12" spans="2:94" x14ac:dyDescent="0.25">
      <c r="J12" s="75" t="s">
        <v>91</v>
      </c>
      <c r="K12" s="24">
        <v>6.8874431450149123</v>
      </c>
      <c r="L12" s="24">
        <v>6.7794345567103447</v>
      </c>
      <c r="M12" s="24">
        <v>6.8874431450149123</v>
      </c>
      <c r="N12" s="24">
        <v>7.2913666458440547</v>
      </c>
      <c r="O12" s="24">
        <v>6.8874431450149123</v>
      </c>
      <c r="P12" s="24">
        <v>7.291366645844052</v>
      </c>
      <c r="Q12" s="24">
        <v>6.8874431450149123</v>
      </c>
      <c r="R12" s="24">
        <v>7.2913666458440467</v>
      </c>
      <c r="S12" s="24"/>
      <c r="T12" s="24"/>
      <c r="U12" s="24"/>
      <c r="V12" s="24"/>
      <c r="W12" s="24"/>
      <c r="X12" s="24"/>
    </row>
    <row r="13" spans="2:94" x14ac:dyDescent="0.25">
      <c r="J13" s="75" t="s">
        <v>122</v>
      </c>
      <c r="K13" s="24">
        <v>113.27</v>
      </c>
      <c r="L13" s="24">
        <v>107.60783733561068</v>
      </c>
      <c r="M13" s="24">
        <v>113.27</v>
      </c>
      <c r="N13" s="24">
        <v>107.44311302696445</v>
      </c>
      <c r="O13" s="24">
        <v>113.27</v>
      </c>
      <c r="P13" s="24">
        <v>107.44311302696444</v>
      </c>
      <c r="Q13" s="24">
        <v>113.27</v>
      </c>
      <c r="R13" s="24">
        <v>107.44311302696447</v>
      </c>
      <c r="S13" s="24"/>
      <c r="T13" s="24"/>
      <c r="U13" s="24"/>
      <c r="V13" s="24"/>
      <c r="W13" s="24"/>
      <c r="X13" s="24"/>
    </row>
    <row r="14" spans="2:94" x14ac:dyDescent="0.25">
      <c r="J14" s="75" t="s">
        <v>103</v>
      </c>
      <c r="K14" s="24">
        <v>1080.8800000000001</v>
      </c>
      <c r="L14" s="24">
        <v>1050.4859007578575</v>
      </c>
      <c r="M14" s="24">
        <v>1080.8800000000001</v>
      </c>
      <c r="N14" s="24">
        <v>1121.5202613829731</v>
      </c>
      <c r="O14" s="24">
        <v>1080.8800000000001</v>
      </c>
      <c r="P14" s="24">
        <v>1121.5202613829717</v>
      </c>
      <c r="Q14" s="24">
        <v>1080.8800000000001</v>
      </c>
      <c r="R14" s="24">
        <v>1121.5202613829711</v>
      </c>
      <c r="S14" s="24"/>
      <c r="T14" s="24"/>
      <c r="U14" s="24"/>
      <c r="V14" s="24"/>
      <c r="W14" s="24"/>
      <c r="X14" s="24"/>
    </row>
    <row r="15" spans="2:94" x14ac:dyDescent="0.25">
      <c r="J15" s="75" t="s">
        <v>105</v>
      </c>
      <c r="K15" s="24">
        <v>23.597065483136848</v>
      </c>
      <c r="L15" s="24">
        <v>23.227017313257033</v>
      </c>
      <c r="M15" s="24">
        <v>23.597065483136848</v>
      </c>
      <c r="N15" s="24">
        <v>24.980947585472887</v>
      </c>
      <c r="O15" s="24">
        <v>23.597065483136848</v>
      </c>
      <c r="P15" s="24">
        <v>24.98094758547288</v>
      </c>
      <c r="Q15" s="24">
        <v>23.597065483136848</v>
      </c>
      <c r="R15" s="24">
        <v>24.980947585472855</v>
      </c>
      <c r="S15" s="24"/>
      <c r="T15" s="24"/>
      <c r="U15" s="24"/>
      <c r="V15" s="24"/>
      <c r="W15" s="24"/>
      <c r="X15" s="24"/>
    </row>
    <row r="16" spans="2:94" x14ac:dyDescent="0.25">
      <c r="J16" s="75" t="s">
        <v>107</v>
      </c>
      <c r="K16" s="24">
        <v>967.61</v>
      </c>
      <c r="L16" s="24">
        <v>942.87806342224701</v>
      </c>
      <c r="M16" s="24">
        <v>967.61</v>
      </c>
      <c r="N16" s="24">
        <v>1014.0771483560086</v>
      </c>
      <c r="O16" s="24">
        <v>967.61</v>
      </c>
      <c r="P16" s="24">
        <v>1014.0771483560083</v>
      </c>
      <c r="Q16" s="24">
        <v>967.61</v>
      </c>
      <c r="R16" s="24">
        <v>1014.0771483560075</v>
      </c>
      <c r="S16" s="24"/>
      <c r="T16" s="24"/>
      <c r="U16" s="24"/>
      <c r="V16" s="24"/>
      <c r="W16" s="24"/>
      <c r="X16" s="24"/>
    </row>
    <row r="17" spans="10:24" x14ac:dyDescent="0.25">
      <c r="J17" s="75" t="s">
        <v>109</v>
      </c>
      <c r="K17" s="24">
        <v>12605.23187620828</v>
      </c>
      <c r="L17" s="24">
        <v>11971.855402636036</v>
      </c>
      <c r="M17" s="24">
        <v>12605.23187620828</v>
      </c>
      <c r="N17" s="24">
        <v>13066.682095542859</v>
      </c>
      <c r="O17" s="24">
        <v>11982.279110392465</v>
      </c>
      <c r="P17" s="24">
        <v>11807.080122065427</v>
      </c>
      <c r="Q17" s="24">
        <v>12605.23187620828</v>
      </c>
      <c r="R17" s="24">
        <v>13066.682095542828</v>
      </c>
      <c r="S17" s="24"/>
      <c r="T17" s="24"/>
      <c r="U17" s="24"/>
      <c r="V17" s="24"/>
      <c r="W17" s="24"/>
      <c r="X17" s="24"/>
    </row>
  </sheetData>
  <phoneticPr fontId="14" type="noConversion"/>
  <pageMargins left="0.7" right="0.7" top="0.75" bottom="0.75" header="0.3" footer="0.3"/>
  <pageSetup paperSize="9" orientation="portrait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B6:V7"/>
  <sheetViews>
    <sheetView workbookViewId="0">
      <selection activeCell="AD60" sqref="AD60"/>
    </sheetView>
  </sheetViews>
  <sheetFormatPr defaultColWidth="9" defaultRowHeight="13.5" x14ac:dyDescent="0.15"/>
  <sheetData>
    <row r="6" spans="2:22" ht="12.75" customHeight="1" x14ac:dyDescent="0.15">
      <c r="B6" s="32" t="s">
        <v>73</v>
      </c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</row>
    <row r="7" spans="2:22" x14ac:dyDescent="0.15">
      <c r="B7" s="32" t="s">
        <v>74</v>
      </c>
      <c r="C7" s="32"/>
      <c r="D7" s="32"/>
      <c r="E7" s="32"/>
      <c r="F7" s="32"/>
      <c r="G7" s="32"/>
      <c r="H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</row>
  </sheetData>
  <phoneticPr fontId="14" type="noConversion"/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B6:V7"/>
  <sheetViews>
    <sheetView workbookViewId="0">
      <selection activeCell="CU20" sqref="CU20"/>
    </sheetView>
  </sheetViews>
  <sheetFormatPr defaultColWidth="9" defaultRowHeight="13.5" x14ac:dyDescent="0.15"/>
  <sheetData>
    <row r="6" spans="2:22" ht="12.75" customHeight="1" x14ac:dyDescent="0.15">
      <c r="B6" s="32" t="s">
        <v>73</v>
      </c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</row>
    <row r="7" spans="2:22" x14ac:dyDescent="0.15">
      <c r="B7" s="32" t="s">
        <v>74</v>
      </c>
      <c r="C7" s="32"/>
      <c r="D7" s="32"/>
      <c r="E7" s="32"/>
      <c r="F7" s="32"/>
      <c r="G7" s="32"/>
      <c r="H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</row>
  </sheetData>
  <phoneticPr fontId="14" type="noConversion"/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B6:V7"/>
  <sheetViews>
    <sheetView workbookViewId="0">
      <selection activeCell="CU20" sqref="CU20"/>
    </sheetView>
  </sheetViews>
  <sheetFormatPr defaultColWidth="9" defaultRowHeight="13.5" x14ac:dyDescent="0.15"/>
  <sheetData>
    <row r="6" spans="2:22" ht="12.75" customHeight="1" x14ac:dyDescent="0.15">
      <c r="B6" s="32" t="s">
        <v>73</v>
      </c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</row>
    <row r="7" spans="2:22" x14ac:dyDescent="0.15">
      <c r="B7" s="32" t="s">
        <v>74</v>
      </c>
      <c r="C7" s="32"/>
      <c r="D7" s="32"/>
      <c r="E7" s="32"/>
      <c r="F7" s="32"/>
      <c r="G7" s="32"/>
      <c r="H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</row>
  </sheetData>
  <phoneticPr fontId="14" type="noConversion"/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B5:CP19"/>
  <sheetViews>
    <sheetView topLeftCell="F1" zoomScale="85" zoomScaleNormal="85" workbookViewId="0">
      <pane xSplit="5" ySplit="7" topLeftCell="K8" activePane="bottomRight" state="frozen"/>
      <selection pane="topRight"/>
      <selection pane="bottomLeft"/>
      <selection pane="bottomRight" activeCell="M9" sqref="M9"/>
    </sheetView>
  </sheetViews>
  <sheetFormatPr defaultColWidth="9" defaultRowHeight="15" x14ac:dyDescent="0.25"/>
  <cols>
    <col min="1" max="9" width="9" style="20"/>
    <col min="10" max="10" width="30.375" style="20" customWidth="1"/>
    <col min="11" max="24" width="14.125" style="20"/>
    <col min="25" max="16384" width="9" style="20"/>
  </cols>
  <sheetData>
    <row r="5" spans="2:94" x14ac:dyDescent="0.25">
      <c r="L5" s="22">
        <f>L9/L8</f>
        <v>0.98385648338499754</v>
      </c>
      <c r="M5" s="27">
        <f>M9-L9</f>
        <v>202.01930262234237</v>
      </c>
    </row>
    <row r="6" spans="2:94" s="23" customFormat="1" ht="12.75" customHeight="1" x14ac:dyDescent="0.25">
      <c r="B6" s="31" t="s">
        <v>73</v>
      </c>
      <c r="K6" s="73" t="s">
        <v>73</v>
      </c>
      <c r="L6" s="71" t="s">
        <v>73</v>
      </c>
      <c r="M6" s="71" t="s">
        <v>315</v>
      </c>
      <c r="N6" s="71" t="s">
        <v>315</v>
      </c>
      <c r="O6" s="71" t="s">
        <v>316</v>
      </c>
      <c r="P6" s="71" t="s">
        <v>316</v>
      </c>
      <c r="Q6" s="71" t="s">
        <v>317</v>
      </c>
      <c r="R6" s="71" t="s">
        <v>317</v>
      </c>
      <c r="S6" s="71"/>
      <c r="T6" s="71"/>
      <c r="U6" s="71"/>
      <c r="V6" s="71"/>
      <c r="W6" s="73"/>
      <c r="X6" s="73"/>
      <c r="Y6" s="73"/>
      <c r="Z6" s="73"/>
      <c r="AA6" s="73"/>
      <c r="AB6" s="73"/>
      <c r="AC6" s="73"/>
      <c r="AD6" s="73"/>
      <c r="AE6" s="73"/>
      <c r="AF6" s="73"/>
      <c r="AG6" s="73"/>
      <c r="AH6" s="73"/>
      <c r="AI6" s="73"/>
      <c r="AJ6" s="73"/>
      <c r="AK6" s="73"/>
      <c r="AL6" s="73"/>
      <c r="AM6" s="73"/>
      <c r="AN6" s="73"/>
      <c r="AO6" s="73"/>
      <c r="AP6" s="73"/>
      <c r="AQ6" s="73"/>
      <c r="AR6" s="73"/>
      <c r="AS6" s="73"/>
      <c r="AT6" s="73"/>
      <c r="AU6" s="73"/>
      <c r="AV6" s="73"/>
      <c r="AW6" s="73"/>
      <c r="AX6" s="73"/>
      <c r="AY6" s="73"/>
      <c r="AZ6" s="73"/>
      <c r="BA6" s="73"/>
      <c r="BB6" s="73"/>
      <c r="BC6" s="73"/>
      <c r="BD6" s="73"/>
      <c r="BE6" s="73"/>
      <c r="BF6" s="73"/>
      <c r="BG6" s="73"/>
      <c r="BH6" s="73"/>
      <c r="BI6" s="73"/>
      <c r="BJ6" s="73"/>
      <c r="BK6" s="73"/>
      <c r="BL6" s="73"/>
      <c r="BM6" s="73"/>
      <c r="BN6" s="73"/>
      <c r="BO6" s="73"/>
      <c r="BP6" s="73"/>
      <c r="BQ6" s="73"/>
      <c r="BR6" s="73"/>
      <c r="BS6" s="73"/>
      <c r="BT6" s="73"/>
      <c r="BU6" s="73"/>
      <c r="BV6" s="73"/>
      <c r="BW6" s="73"/>
      <c r="BX6" s="73"/>
      <c r="BY6" s="73"/>
      <c r="BZ6" s="73"/>
      <c r="CA6" s="73"/>
      <c r="CB6" s="73"/>
      <c r="CC6" s="73"/>
      <c r="CD6" s="73"/>
      <c r="CE6" s="73"/>
      <c r="CF6" s="73"/>
      <c r="CG6" s="73"/>
      <c r="CH6" s="73"/>
      <c r="CI6" s="73"/>
      <c r="CJ6" s="73"/>
      <c r="CK6" s="73"/>
      <c r="CL6" s="73"/>
      <c r="CM6" s="73"/>
      <c r="CN6" s="73"/>
      <c r="CO6" s="73"/>
      <c r="CP6" s="73"/>
    </row>
    <row r="7" spans="2:94" s="23" customFormat="1" x14ac:dyDescent="0.25">
      <c r="B7" s="31" t="s">
        <v>74</v>
      </c>
      <c r="C7" s="31"/>
      <c r="D7" s="31"/>
      <c r="E7" s="31"/>
      <c r="F7" s="31"/>
      <c r="G7" s="31"/>
      <c r="H7" s="26"/>
      <c r="K7" s="73" t="s">
        <v>76</v>
      </c>
      <c r="L7" s="71" t="s">
        <v>77</v>
      </c>
      <c r="M7" s="71" t="s">
        <v>76</v>
      </c>
      <c r="N7" s="71" t="s">
        <v>77</v>
      </c>
      <c r="O7" s="71" t="s">
        <v>76</v>
      </c>
      <c r="P7" s="71" t="s">
        <v>77</v>
      </c>
      <c r="Q7" s="71" t="s">
        <v>76</v>
      </c>
      <c r="R7" s="71" t="s">
        <v>77</v>
      </c>
      <c r="S7" s="71"/>
      <c r="T7" s="71"/>
      <c r="U7" s="71"/>
      <c r="V7" s="71"/>
      <c r="W7" s="73"/>
      <c r="X7" s="73"/>
      <c r="Y7" s="73"/>
      <c r="Z7" s="73"/>
      <c r="AA7" s="73"/>
      <c r="AB7" s="73"/>
      <c r="AC7" s="73"/>
      <c r="AD7" s="73"/>
      <c r="AE7" s="73"/>
      <c r="AF7" s="73"/>
      <c r="AG7" s="73"/>
      <c r="AH7" s="73"/>
      <c r="AI7" s="73"/>
      <c r="AJ7" s="73"/>
      <c r="AK7" s="73"/>
      <c r="AL7" s="73"/>
      <c r="AM7" s="73"/>
      <c r="AN7" s="73"/>
      <c r="AO7" s="73"/>
      <c r="AP7" s="73"/>
      <c r="AQ7" s="73"/>
      <c r="AR7" s="73"/>
      <c r="AS7" s="73"/>
      <c r="AT7" s="73"/>
      <c r="AU7" s="73"/>
      <c r="AV7" s="73"/>
      <c r="AW7" s="73"/>
      <c r="AX7" s="73"/>
      <c r="AY7" s="73"/>
      <c r="AZ7" s="73"/>
      <c r="BA7" s="73"/>
      <c r="BB7" s="73"/>
      <c r="BC7" s="73"/>
      <c r="BD7" s="73"/>
      <c r="BE7" s="73"/>
      <c r="BF7" s="73"/>
      <c r="BG7" s="73"/>
      <c r="BH7" s="73"/>
      <c r="BI7" s="73"/>
      <c r="BJ7" s="73"/>
      <c r="BK7" s="73"/>
      <c r="BL7" s="73"/>
      <c r="BM7" s="73"/>
      <c r="BN7" s="73"/>
      <c r="BO7" s="73"/>
      <c r="BP7" s="73"/>
      <c r="BQ7" s="73"/>
      <c r="BR7" s="73"/>
      <c r="BS7" s="73"/>
      <c r="BT7" s="73"/>
      <c r="BU7" s="73"/>
      <c r="BV7" s="73"/>
      <c r="BW7" s="73"/>
      <c r="BX7" s="73"/>
      <c r="BY7" s="73"/>
      <c r="BZ7" s="73"/>
      <c r="CA7" s="73"/>
      <c r="CB7" s="73"/>
      <c r="CC7" s="73"/>
      <c r="CD7" s="73"/>
      <c r="CE7" s="73"/>
      <c r="CF7" s="73"/>
      <c r="CG7" s="73"/>
      <c r="CH7" s="73"/>
      <c r="CI7" s="73"/>
      <c r="CJ7" s="73"/>
      <c r="CK7" s="73"/>
      <c r="CL7" s="73"/>
      <c r="CM7" s="73"/>
      <c r="CN7" s="73"/>
      <c r="CO7" s="73"/>
      <c r="CP7" s="73"/>
    </row>
    <row r="8" spans="2:94" x14ac:dyDescent="0.25">
      <c r="J8" s="75" t="s">
        <v>83</v>
      </c>
      <c r="K8" s="27">
        <v>6031.04</v>
      </c>
      <c r="L8" s="27">
        <v>5830.0989974094464</v>
      </c>
      <c r="M8" s="27">
        <v>6031.04</v>
      </c>
      <c r="N8" s="27">
        <v>6065.3113634779293</v>
      </c>
      <c r="O8" s="27">
        <v>6031.04</v>
      </c>
      <c r="P8" s="27">
        <v>6065.3113634779284</v>
      </c>
      <c r="Q8" s="27">
        <v>6031.04</v>
      </c>
      <c r="R8" s="27">
        <v>6065.3113634779311</v>
      </c>
      <c r="S8" s="27"/>
      <c r="T8" s="27"/>
      <c r="U8" s="27"/>
      <c r="V8" s="27"/>
      <c r="W8" s="27"/>
      <c r="X8" s="27"/>
    </row>
    <row r="9" spans="2:94" x14ac:dyDescent="0.25">
      <c r="J9" s="75" t="s">
        <v>85</v>
      </c>
      <c r="K9" s="27">
        <v>5938</v>
      </c>
      <c r="L9" s="27">
        <v>5735.9806973776576</v>
      </c>
      <c r="M9" s="27">
        <v>5938</v>
      </c>
      <c r="N9" s="27">
        <v>5727.2001524082752</v>
      </c>
      <c r="O9" s="27">
        <v>5938</v>
      </c>
      <c r="P9" s="27">
        <v>5727.2001524082707</v>
      </c>
      <c r="Q9" s="27">
        <v>5938</v>
      </c>
      <c r="R9" s="27">
        <v>5727.2001524082725</v>
      </c>
      <c r="S9" s="27"/>
      <c r="T9" s="27"/>
      <c r="U9" s="27"/>
      <c r="V9" s="27"/>
      <c r="W9" s="27"/>
      <c r="X9" s="27"/>
    </row>
    <row r="10" spans="2:94" x14ac:dyDescent="0.25">
      <c r="J10" s="75" t="s">
        <v>87</v>
      </c>
      <c r="K10" s="27">
        <v>93.039999999999992</v>
      </c>
      <c r="L10" s="27">
        <v>94.118300031788792</v>
      </c>
      <c r="M10" s="27">
        <v>93.039999999999992</v>
      </c>
      <c r="N10" s="27">
        <v>338.11121106965425</v>
      </c>
      <c r="O10" s="27">
        <v>93.039999999999992</v>
      </c>
      <c r="P10" s="27">
        <v>338.11121106965754</v>
      </c>
      <c r="Q10" s="27">
        <v>93.039999999999992</v>
      </c>
      <c r="R10" s="27">
        <v>338.11121106965857</v>
      </c>
      <c r="S10" s="27"/>
      <c r="T10" s="27"/>
      <c r="U10" s="27"/>
      <c r="V10" s="27"/>
      <c r="W10" s="27"/>
      <c r="X10" s="27"/>
    </row>
    <row r="11" spans="2:94" x14ac:dyDescent="0.25">
      <c r="J11" s="75" t="s">
        <v>89</v>
      </c>
      <c r="K11" s="27">
        <v>6031.0399999999945</v>
      </c>
      <c r="L11" s="27">
        <v>5830.0989974094464</v>
      </c>
      <c r="M11" s="27">
        <v>6031.0399999999945</v>
      </c>
      <c r="N11" s="27">
        <v>6065.3113634779293</v>
      </c>
      <c r="O11" s="27">
        <v>6031.0399999999945</v>
      </c>
      <c r="P11" s="27">
        <v>6065.3113634779284</v>
      </c>
      <c r="Q11" s="27">
        <v>6031.0399999999945</v>
      </c>
      <c r="R11" s="27">
        <v>6065.3113634779311</v>
      </c>
      <c r="S11" s="27"/>
      <c r="T11" s="27"/>
      <c r="U11" s="27"/>
      <c r="V11" s="27"/>
      <c r="W11" s="27"/>
      <c r="X11" s="27"/>
    </row>
    <row r="12" spans="2:94" x14ac:dyDescent="0.25">
      <c r="J12" s="75" t="s">
        <v>91</v>
      </c>
      <c r="K12" s="27">
        <v>32.835310949611717</v>
      </c>
      <c r="L12" s="27">
        <v>31.997552997766803</v>
      </c>
      <c r="M12" s="27">
        <v>32.835310949611717</v>
      </c>
      <c r="N12" s="27">
        <v>33.717910165904499</v>
      </c>
      <c r="O12" s="27">
        <v>32.835310949611717</v>
      </c>
      <c r="P12" s="27">
        <v>33.717910165904506</v>
      </c>
      <c r="Q12" s="27">
        <v>32.835310949611717</v>
      </c>
      <c r="R12" s="27">
        <v>33.717910165904527</v>
      </c>
      <c r="S12" s="27"/>
      <c r="T12" s="27"/>
      <c r="U12" s="27"/>
      <c r="V12" s="27"/>
      <c r="W12" s="27"/>
      <c r="X12" s="27"/>
    </row>
    <row r="13" spans="2:94" x14ac:dyDescent="0.25">
      <c r="J13" s="75" t="s">
        <v>97</v>
      </c>
      <c r="K13" s="27">
        <v>1116.6600000000001</v>
      </c>
      <c r="L13" s="27">
        <v>1154.6379763798791</v>
      </c>
      <c r="M13" s="27">
        <v>1116.6600000000001</v>
      </c>
      <c r="N13" s="27">
        <v>1150.9293495045551</v>
      </c>
      <c r="O13" s="27">
        <v>1116.6600000000001</v>
      </c>
      <c r="P13" s="27">
        <v>1150.9293495045551</v>
      </c>
      <c r="Q13" s="27">
        <v>1116.6600000000001</v>
      </c>
      <c r="R13" s="27">
        <v>1150.9293495045551</v>
      </c>
      <c r="S13" s="27"/>
      <c r="T13" s="27"/>
      <c r="U13" s="27"/>
      <c r="V13" s="27"/>
      <c r="W13" s="27"/>
      <c r="X13" s="27"/>
    </row>
    <row r="14" spans="2:94" x14ac:dyDescent="0.25">
      <c r="J14" s="75" t="s">
        <v>99</v>
      </c>
      <c r="K14" s="27">
        <v>301.38</v>
      </c>
      <c r="L14" s="27">
        <v>225.26822804467906</v>
      </c>
      <c r="M14" s="27">
        <v>301.38</v>
      </c>
      <c r="N14" s="27">
        <v>224.92339114391618</v>
      </c>
      <c r="O14" s="27">
        <v>301.38</v>
      </c>
      <c r="P14" s="27">
        <v>224.92339114391604</v>
      </c>
      <c r="Q14" s="27">
        <v>301.38</v>
      </c>
      <c r="R14" s="27">
        <v>224.92339114391615</v>
      </c>
      <c r="S14" s="27"/>
      <c r="T14" s="27"/>
      <c r="U14" s="27"/>
      <c r="V14" s="27"/>
      <c r="W14" s="27"/>
      <c r="X14" s="27"/>
    </row>
    <row r="15" spans="2:94" x14ac:dyDescent="0.25">
      <c r="J15" s="75" t="s">
        <v>103</v>
      </c>
      <c r="K15" s="27">
        <v>6031.0399999999945</v>
      </c>
      <c r="L15" s="27">
        <v>5830.0989974094464</v>
      </c>
      <c r="M15" s="27">
        <v>6031.0399999999945</v>
      </c>
      <c r="N15" s="27">
        <v>6065.3113634779293</v>
      </c>
      <c r="O15" s="27">
        <v>6031.0399999999945</v>
      </c>
      <c r="P15" s="27">
        <v>6065.3113634779284</v>
      </c>
      <c r="Q15" s="27">
        <v>6031.0399999999945</v>
      </c>
      <c r="R15" s="27">
        <v>6065.3113634779311</v>
      </c>
      <c r="S15" s="27"/>
      <c r="T15" s="27"/>
      <c r="U15" s="27"/>
      <c r="V15" s="27"/>
      <c r="W15" s="27"/>
      <c r="X15" s="27"/>
    </row>
    <row r="16" spans="2:94" x14ac:dyDescent="0.25">
      <c r="J16" s="75" t="s">
        <v>105</v>
      </c>
      <c r="K16" s="27">
        <v>327.04460395391601</v>
      </c>
      <c r="L16" s="27">
        <v>318.70040955932626</v>
      </c>
      <c r="M16" s="27">
        <v>327.04460395391601</v>
      </c>
      <c r="N16" s="27">
        <v>335.83542404346736</v>
      </c>
      <c r="O16" s="27">
        <v>327.04460395391601</v>
      </c>
      <c r="P16" s="27">
        <v>335.83542404346736</v>
      </c>
      <c r="Q16" s="27">
        <v>327.04460395391601</v>
      </c>
      <c r="R16" s="27">
        <v>335.83542404346758</v>
      </c>
      <c r="S16" s="27"/>
      <c r="T16" s="27"/>
      <c r="U16" s="27"/>
      <c r="V16" s="27"/>
      <c r="W16" s="27"/>
      <c r="X16" s="27"/>
    </row>
    <row r="17" spans="10:24" x14ac:dyDescent="0.25">
      <c r="J17" s="75" t="s">
        <v>107</v>
      </c>
      <c r="K17" s="27">
        <v>4613</v>
      </c>
      <c r="L17" s="27">
        <v>4450.1927929848889</v>
      </c>
      <c r="M17" s="27">
        <v>4613</v>
      </c>
      <c r="N17" s="27">
        <v>4689.4586228294584</v>
      </c>
      <c r="O17" s="27">
        <v>4613</v>
      </c>
      <c r="P17" s="27">
        <v>4689.4586228294593</v>
      </c>
      <c r="Q17" s="27">
        <v>4613</v>
      </c>
      <c r="R17" s="27">
        <v>4689.458622829462</v>
      </c>
      <c r="S17" s="27"/>
      <c r="T17" s="27"/>
      <c r="U17" s="27"/>
      <c r="V17" s="27"/>
      <c r="W17" s="27"/>
      <c r="X17" s="27"/>
    </row>
    <row r="18" spans="10:24" x14ac:dyDescent="0.25">
      <c r="J18" s="75" t="s">
        <v>109</v>
      </c>
      <c r="K18" s="27">
        <v>5298.4172846588772</v>
      </c>
      <c r="L18" s="27">
        <v>5014.399962769281</v>
      </c>
      <c r="M18" s="27">
        <v>5298.4172846588772</v>
      </c>
      <c r="N18" s="27">
        <v>5222.1342993168073</v>
      </c>
      <c r="O18" s="27">
        <v>5072.6827194236266</v>
      </c>
      <c r="P18" s="27">
        <v>4786.6438793732405</v>
      </c>
      <c r="Q18" s="27">
        <v>5298.4172846588772</v>
      </c>
      <c r="R18" s="27">
        <v>5222.1342993168091</v>
      </c>
      <c r="S18" s="27"/>
      <c r="T18" s="27"/>
      <c r="U18" s="27"/>
      <c r="V18" s="27"/>
      <c r="W18" s="27"/>
      <c r="X18" s="27"/>
    </row>
    <row r="19" spans="10:24" x14ac:dyDescent="0.25">
      <c r="J19" s="75"/>
    </row>
  </sheetData>
  <phoneticPr fontId="14" type="noConversion"/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B1:AB7"/>
  <sheetViews>
    <sheetView workbookViewId="0">
      <selection activeCell="CU20" sqref="CU20"/>
    </sheetView>
  </sheetViews>
  <sheetFormatPr defaultColWidth="9" defaultRowHeight="13.5" x14ac:dyDescent="0.15"/>
  <sheetData>
    <row r="1" spans="2:28" x14ac:dyDescent="0.15">
      <c r="L1" t="e">
        <f>L11/K11*100-100</f>
        <v>#DIV/0!</v>
      </c>
      <c r="M1" t="e">
        <f t="shared" ref="M1:AB1" si="0">M11/L11*100-100</f>
        <v>#DIV/0!</v>
      </c>
      <c r="N1" t="e">
        <f t="shared" si="0"/>
        <v>#DIV/0!</v>
      </c>
      <c r="O1" t="e">
        <f t="shared" si="0"/>
        <v>#DIV/0!</v>
      </c>
      <c r="P1" t="e">
        <f t="shared" si="0"/>
        <v>#DIV/0!</v>
      </c>
      <c r="Q1" t="e">
        <f t="shared" si="0"/>
        <v>#DIV/0!</v>
      </c>
      <c r="R1" t="e">
        <f t="shared" si="0"/>
        <v>#DIV/0!</v>
      </c>
      <c r="S1" t="e">
        <f t="shared" si="0"/>
        <v>#DIV/0!</v>
      </c>
      <c r="T1" t="e">
        <f t="shared" si="0"/>
        <v>#DIV/0!</v>
      </c>
      <c r="U1" t="e">
        <f t="shared" si="0"/>
        <v>#DIV/0!</v>
      </c>
      <c r="V1" t="e">
        <f t="shared" si="0"/>
        <v>#DIV/0!</v>
      </c>
      <c r="W1" t="e">
        <f t="shared" si="0"/>
        <v>#DIV/0!</v>
      </c>
      <c r="X1" t="e">
        <f t="shared" si="0"/>
        <v>#DIV/0!</v>
      </c>
      <c r="Y1" t="e">
        <f t="shared" si="0"/>
        <v>#DIV/0!</v>
      </c>
      <c r="Z1" t="e">
        <f t="shared" si="0"/>
        <v>#DIV/0!</v>
      </c>
      <c r="AA1" t="e">
        <f t="shared" si="0"/>
        <v>#DIV/0!</v>
      </c>
      <c r="AB1" t="e">
        <f t="shared" si="0"/>
        <v>#DIV/0!</v>
      </c>
    </row>
    <row r="6" spans="2:28" ht="12.75" customHeight="1" x14ac:dyDescent="0.15">
      <c r="B6" s="32" t="s">
        <v>73</v>
      </c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</row>
    <row r="7" spans="2:28" x14ac:dyDescent="0.15">
      <c r="B7" s="32" t="s">
        <v>74</v>
      </c>
      <c r="C7" s="32"/>
      <c r="D7" s="32"/>
      <c r="E7" s="32"/>
      <c r="F7" s="32"/>
      <c r="G7" s="32"/>
      <c r="H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</row>
  </sheetData>
  <phoneticPr fontId="14" type="noConversion"/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6:V7"/>
  <sheetViews>
    <sheetView topLeftCell="I1" workbookViewId="0">
      <selection activeCell="CU20" sqref="CU20"/>
    </sheetView>
  </sheetViews>
  <sheetFormatPr defaultColWidth="9" defaultRowHeight="13.5" x14ac:dyDescent="0.15"/>
  <sheetData>
    <row r="6" spans="2:22" ht="12.75" customHeight="1" x14ac:dyDescent="0.15">
      <c r="B6" s="32" t="s">
        <v>73</v>
      </c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</row>
    <row r="7" spans="2:22" x14ac:dyDescent="0.15">
      <c r="B7" s="32" t="s">
        <v>74</v>
      </c>
      <c r="C7" s="32"/>
      <c r="D7" s="32"/>
      <c r="E7" s="32"/>
      <c r="F7" s="32"/>
      <c r="G7" s="32"/>
      <c r="H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</row>
  </sheetData>
  <phoneticPr fontId="14" type="noConversion"/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B6:V7"/>
  <sheetViews>
    <sheetView topLeftCell="I1" workbookViewId="0">
      <selection activeCell="CU20" sqref="CU20"/>
    </sheetView>
  </sheetViews>
  <sheetFormatPr defaultColWidth="9" defaultRowHeight="13.5" x14ac:dyDescent="0.15"/>
  <sheetData>
    <row r="6" spans="2:22" ht="12.75" customHeight="1" x14ac:dyDescent="0.15">
      <c r="B6" s="32" t="s">
        <v>73</v>
      </c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</row>
    <row r="7" spans="2:22" x14ac:dyDescent="0.15">
      <c r="B7" s="32" t="s">
        <v>74</v>
      </c>
      <c r="C7" s="32"/>
      <c r="D7" s="32"/>
      <c r="E7" s="32"/>
      <c r="F7" s="32"/>
      <c r="G7" s="32"/>
      <c r="H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</row>
  </sheetData>
  <phoneticPr fontId="14" type="noConversion"/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B5:CP18"/>
  <sheetViews>
    <sheetView topLeftCell="J1" zoomScale="85" zoomScaleNormal="85" workbookViewId="0">
      <pane xSplit="1" ySplit="7" topLeftCell="K8" activePane="bottomRight" state="frozen"/>
      <selection pane="topRight"/>
      <selection pane="bottomLeft"/>
      <selection pane="bottomRight" activeCell="L5" sqref="L5"/>
    </sheetView>
  </sheetViews>
  <sheetFormatPr defaultColWidth="9" defaultRowHeight="15" x14ac:dyDescent="0.25"/>
  <cols>
    <col min="1" max="9" width="9" style="20"/>
    <col min="10" max="10" width="51.625" style="20" customWidth="1"/>
    <col min="11" max="24" width="14.125" style="20"/>
    <col min="25" max="16384" width="9" style="20"/>
  </cols>
  <sheetData>
    <row r="5" spans="2:94" x14ac:dyDescent="0.25">
      <c r="L5" s="22">
        <f>L9/L8</f>
        <v>0.93997246204030083</v>
      </c>
    </row>
    <row r="6" spans="2:94" s="23" customFormat="1" ht="12.75" customHeight="1" x14ac:dyDescent="0.25">
      <c r="B6" s="31" t="s">
        <v>73</v>
      </c>
      <c r="K6" s="73" t="s">
        <v>73</v>
      </c>
      <c r="L6" s="71" t="s">
        <v>73</v>
      </c>
      <c r="M6" s="71" t="s">
        <v>315</v>
      </c>
      <c r="N6" s="71" t="s">
        <v>315</v>
      </c>
      <c r="O6" s="71" t="s">
        <v>316</v>
      </c>
      <c r="P6" s="71" t="s">
        <v>316</v>
      </c>
      <c r="Q6" s="71" t="s">
        <v>317</v>
      </c>
      <c r="R6" s="71" t="s">
        <v>317</v>
      </c>
      <c r="S6" s="71"/>
      <c r="T6" s="71"/>
      <c r="U6" s="71"/>
      <c r="V6" s="71"/>
      <c r="W6" s="73"/>
      <c r="X6" s="73"/>
      <c r="Y6" s="73"/>
      <c r="Z6" s="73"/>
      <c r="AA6" s="73"/>
      <c r="AB6" s="73"/>
      <c r="AC6" s="73"/>
      <c r="AD6" s="73"/>
      <c r="AE6" s="73"/>
      <c r="AF6" s="73"/>
      <c r="AG6" s="73"/>
      <c r="AH6" s="73"/>
      <c r="AI6" s="73"/>
      <c r="AJ6" s="73"/>
      <c r="AK6" s="73"/>
      <c r="AL6" s="73"/>
      <c r="AM6" s="73"/>
      <c r="AN6" s="73"/>
      <c r="AO6" s="73"/>
      <c r="AP6" s="73"/>
      <c r="AQ6" s="73"/>
      <c r="AR6" s="73"/>
      <c r="AS6" s="73"/>
      <c r="AT6" s="73"/>
      <c r="AU6" s="73"/>
      <c r="AV6" s="73"/>
      <c r="AW6" s="73"/>
      <c r="AX6" s="73"/>
      <c r="AY6" s="73"/>
      <c r="AZ6" s="73"/>
      <c r="BA6" s="73"/>
      <c r="BB6" s="73"/>
      <c r="BC6" s="73"/>
      <c r="BD6" s="73"/>
      <c r="BE6" s="73"/>
      <c r="BF6" s="73"/>
      <c r="BG6" s="73"/>
      <c r="BH6" s="73"/>
      <c r="BI6" s="73"/>
      <c r="BJ6" s="73"/>
      <c r="BK6" s="73"/>
      <c r="BL6" s="73"/>
      <c r="BM6" s="73"/>
      <c r="BN6" s="73"/>
      <c r="BO6" s="73"/>
      <c r="BP6" s="73"/>
      <c r="BQ6" s="73"/>
      <c r="BR6" s="73"/>
      <c r="BS6" s="73"/>
      <c r="BT6" s="73"/>
      <c r="BU6" s="73"/>
      <c r="BV6" s="73"/>
      <c r="BW6" s="73"/>
      <c r="BX6" s="73"/>
      <c r="BY6" s="73"/>
      <c r="BZ6" s="73"/>
      <c r="CA6" s="73"/>
      <c r="CB6" s="73"/>
      <c r="CC6" s="73"/>
      <c r="CD6" s="73"/>
      <c r="CE6" s="73"/>
      <c r="CF6" s="73"/>
      <c r="CG6" s="73"/>
      <c r="CH6" s="73"/>
      <c r="CI6" s="73"/>
      <c r="CJ6" s="73"/>
      <c r="CK6" s="73"/>
      <c r="CL6" s="73"/>
      <c r="CM6" s="73"/>
      <c r="CN6" s="73"/>
      <c r="CO6" s="73"/>
      <c r="CP6" s="73"/>
    </row>
    <row r="7" spans="2:94" s="23" customFormat="1" x14ac:dyDescent="0.25">
      <c r="B7" s="31" t="s">
        <v>74</v>
      </c>
      <c r="C7" s="31"/>
      <c r="D7" s="31"/>
      <c r="E7" s="31"/>
      <c r="F7" s="31"/>
      <c r="G7" s="31"/>
      <c r="H7" s="26"/>
      <c r="K7" s="73" t="s">
        <v>76</v>
      </c>
      <c r="L7" s="71" t="s">
        <v>77</v>
      </c>
      <c r="M7" s="71" t="s">
        <v>76</v>
      </c>
      <c r="N7" s="71" t="s">
        <v>77</v>
      </c>
      <c r="O7" s="71" t="s">
        <v>76</v>
      </c>
      <c r="P7" s="71" t="s">
        <v>77</v>
      </c>
      <c r="Q7" s="71" t="s">
        <v>76</v>
      </c>
      <c r="R7" s="71" t="s">
        <v>77</v>
      </c>
      <c r="S7" s="71"/>
      <c r="T7" s="71"/>
      <c r="U7" s="71"/>
      <c r="V7" s="71"/>
      <c r="W7" s="73"/>
      <c r="X7" s="73"/>
      <c r="Y7" s="73"/>
      <c r="Z7" s="73"/>
      <c r="AA7" s="73"/>
      <c r="AB7" s="73"/>
      <c r="AC7" s="73"/>
      <c r="AD7" s="73"/>
      <c r="AE7" s="73"/>
      <c r="AF7" s="73"/>
      <c r="AG7" s="73"/>
      <c r="AH7" s="73"/>
      <c r="AI7" s="73"/>
      <c r="AJ7" s="73"/>
      <c r="AK7" s="73"/>
      <c r="AL7" s="73"/>
      <c r="AM7" s="73"/>
      <c r="AN7" s="73"/>
      <c r="AO7" s="73"/>
      <c r="AP7" s="73"/>
      <c r="AQ7" s="73"/>
      <c r="AR7" s="73"/>
      <c r="AS7" s="73"/>
      <c r="AT7" s="73"/>
      <c r="AU7" s="73"/>
      <c r="AV7" s="73"/>
      <c r="AW7" s="73"/>
      <c r="AX7" s="73"/>
      <c r="AY7" s="73"/>
      <c r="AZ7" s="73"/>
      <c r="BA7" s="73"/>
      <c r="BB7" s="73"/>
      <c r="BC7" s="73"/>
      <c r="BD7" s="73"/>
      <c r="BE7" s="73"/>
      <c r="BF7" s="73"/>
      <c r="BG7" s="73"/>
      <c r="BH7" s="73"/>
      <c r="BI7" s="73"/>
      <c r="BJ7" s="73"/>
      <c r="BK7" s="73"/>
      <c r="BL7" s="73"/>
      <c r="BM7" s="73"/>
      <c r="BN7" s="73"/>
      <c r="BO7" s="73"/>
      <c r="BP7" s="73"/>
      <c r="BQ7" s="73"/>
      <c r="BR7" s="73"/>
      <c r="BS7" s="73"/>
      <c r="BT7" s="73"/>
      <c r="BU7" s="73"/>
      <c r="BV7" s="73"/>
      <c r="BW7" s="73"/>
      <c r="BX7" s="73"/>
      <c r="BY7" s="73"/>
      <c r="BZ7" s="73"/>
      <c r="CA7" s="73"/>
      <c r="CB7" s="73"/>
      <c r="CC7" s="73"/>
      <c r="CD7" s="73"/>
      <c r="CE7" s="73"/>
      <c r="CF7" s="73"/>
      <c r="CG7" s="73"/>
      <c r="CH7" s="73"/>
      <c r="CI7" s="73"/>
      <c r="CJ7" s="73"/>
      <c r="CK7" s="73"/>
      <c r="CL7" s="73"/>
      <c r="CM7" s="73"/>
      <c r="CN7" s="73"/>
      <c r="CO7" s="73"/>
      <c r="CP7" s="73"/>
    </row>
    <row r="8" spans="2:94" x14ac:dyDescent="0.25">
      <c r="J8" s="75" t="s">
        <v>83</v>
      </c>
      <c r="K8" s="24">
        <v>529.678</v>
      </c>
      <c r="L8" s="24">
        <v>555.71431395573745</v>
      </c>
      <c r="M8" s="24">
        <v>529.678</v>
      </c>
      <c r="N8" s="24">
        <v>557.1031720138111</v>
      </c>
      <c r="O8" s="24">
        <v>529.678</v>
      </c>
      <c r="P8" s="24">
        <v>557.10317201381019</v>
      </c>
      <c r="Q8" s="24">
        <v>529.678</v>
      </c>
      <c r="R8" s="24">
        <v>557.10317201381054</v>
      </c>
      <c r="S8" s="24"/>
      <c r="T8" s="24"/>
      <c r="U8" s="24"/>
      <c r="V8" s="24"/>
      <c r="W8" s="24"/>
      <c r="X8" s="24"/>
    </row>
    <row r="9" spans="2:94" x14ac:dyDescent="0.25">
      <c r="J9" s="75" t="s">
        <v>85</v>
      </c>
      <c r="K9" s="24">
        <v>496</v>
      </c>
      <c r="L9" s="24">
        <v>522.35615188001123</v>
      </c>
      <c r="M9" s="24">
        <v>496</v>
      </c>
      <c r="N9" s="24">
        <v>522.07532180517649</v>
      </c>
      <c r="O9" s="24">
        <v>496</v>
      </c>
      <c r="P9" s="24">
        <v>522.07532180517615</v>
      </c>
      <c r="Q9" s="24">
        <v>496</v>
      </c>
      <c r="R9" s="24">
        <v>522.07532180517603</v>
      </c>
      <c r="S9" s="24"/>
      <c r="T9" s="24"/>
      <c r="U9" s="24"/>
      <c r="V9" s="24"/>
      <c r="W9" s="24"/>
      <c r="X9" s="24"/>
    </row>
    <row r="10" spans="2:94" x14ac:dyDescent="0.25">
      <c r="J10" s="75" t="s">
        <v>87</v>
      </c>
      <c r="K10" s="24">
        <v>33.677999999999997</v>
      </c>
      <c r="L10" s="24">
        <v>33.358162075726227</v>
      </c>
      <c r="M10" s="24">
        <v>33.677999999999997</v>
      </c>
      <c r="N10" s="24">
        <v>35.027850208634653</v>
      </c>
      <c r="O10" s="24">
        <v>33.677999999999997</v>
      </c>
      <c r="P10" s="24">
        <v>35.027850208634078</v>
      </c>
      <c r="Q10" s="24">
        <v>33.677999999999997</v>
      </c>
      <c r="R10" s="24">
        <v>35.027850208634469</v>
      </c>
      <c r="S10" s="24"/>
      <c r="T10" s="24"/>
      <c r="U10" s="24"/>
      <c r="V10" s="24"/>
      <c r="W10" s="24"/>
      <c r="X10" s="24"/>
    </row>
    <row r="11" spans="2:94" x14ac:dyDescent="0.25">
      <c r="J11" s="75" t="s">
        <v>89</v>
      </c>
      <c r="K11" s="24">
        <v>529.67800000000011</v>
      </c>
      <c r="L11" s="24">
        <v>555.71431395573757</v>
      </c>
      <c r="M11" s="24">
        <v>529.67800000000011</v>
      </c>
      <c r="N11" s="24">
        <v>557.1031720138111</v>
      </c>
      <c r="O11" s="24">
        <v>529.67800000000011</v>
      </c>
      <c r="P11" s="24">
        <v>557.10317201381019</v>
      </c>
      <c r="Q11" s="24">
        <v>529.67800000000011</v>
      </c>
      <c r="R11" s="24">
        <v>557.10317201381054</v>
      </c>
      <c r="S11" s="24"/>
      <c r="T11" s="24"/>
      <c r="U11" s="24"/>
      <c r="V11" s="24"/>
      <c r="W11" s="24"/>
      <c r="X11" s="24"/>
    </row>
    <row r="12" spans="2:94" x14ac:dyDescent="0.25">
      <c r="J12" s="75" t="s">
        <v>91</v>
      </c>
      <c r="K12" s="24">
        <v>3.362204585412381</v>
      </c>
      <c r="L12" s="24">
        <v>3.561590101469617</v>
      </c>
      <c r="M12" s="24">
        <v>3.362204585412381</v>
      </c>
      <c r="N12" s="24">
        <v>3.5718095694087402</v>
      </c>
      <c r="O12" s="24">
        <v>3.362204585412381</v>
      </c>
      <c r="P12" s="24">
        <v>3.5718095694087371</v>
      </c>
      <c r="Q12" s="24">
        <v>3.362204585412381</v>
      </c>
      <c r="R12" s="24">
        <v>3.5718095694087393</v>
      </c>
      <c r="S12" s="24"/>
      <c r="T12" s="24"/>
      <c r="U12" s="24"/>
      <c r="V12" s="24"/>
      <c r="W12" s="24"/>
      <c r="X12" s="24"/>
    </row>
    <row r="13" spans="2:94" x14ac:dyDescent="0.25">
      <c r="J13" s="75" t="s">
        <v>99</v>
      </c>
      <c r="K13" s="24">
        <v>49.6</v>
      </c>
      <c r="L13" s="24">
        <v>52.235615188001127</v>
      </c>
      <c r="M13" s="24">
        <v>49.6</v>
      </c>
      <c r="N13" s="24">
        <v>52.207532180517653</v>
      </c>
      <c r="O13" s="24">
        <v>49.6</v>
      </c>
      <c r="P13" s="24">
        <v>52.207532180517603</v>
      </c>
      <c r="Q13" s="24">
        <v>49.6</v>
      </c>
      <c r="R13" s="24">
        <v>52.207532180517596</v>
      </c>
      <c r="S13" s="24"/>
      <c r="T13" s="24"/>
      <c r="U13" s="24"/>
      <c r="V13" s="24"/>
      <c r="W13" s="24"/>
      <c r="X13" s="24"/>
    </row>
    <row r="14" spans="2:94" x14ac:dyDescent="0.25">
      <c r="J14" s="75" t="s">
        <v>122</v>
      </c>
      <c r="K14" s="24">
        <v>7.7252400000000598</v>
      </c>
      <c r="L14" s="24">
        <v>8.1357391910273567</v>
      </c>
      <c r="M14" s="24">
        <v>7.7252400000000598</v>
      </c>
      <c r="N14" s="24">
        <v>8.1313652399642198</v>
      </c>
      <c r="O14" s="24">
        <v>7.7252400000000598</v>
      </c>
      <c r="P14" s="24">
        <v>8.1313652399642145</v>
      </c>
      <c r="Q14" s="24">
        <v>7.7252400000000598</v>
      </c>
      <c r="R14" s="24">
        <v>8.1313652399642109</v>
      </c>
      <c r="S14" s="24"/>
      <c r="T14" s="24"/>
      <c r="U14" s="24"/>
      <c r="V14" s="24"/>
      <c r="W14" s="24"/>
      <c r="X14" s="24"/>
    </row>
    <row r="15" spans="2:94" x14ac:dyDescent="0.25">
      <c r="J15" s="75" t="s">
        <v>103</v>
      </c>
      <c r="K15" s="24">
        <v>529.67800000000011</v>
      </c>
      <c r="L15" s="24">
        <v>555.71431395573757</v>
      </c>
      <c r="M15" s="24">
        <v>529.67800000000011</v>
      </c>
      <c r="N15" s="24">
        <v>557.1031720138111</v>
      </c>
      <c r="O15" s="24">
        <v>529.67800000000011</v>
      </c>
      <c r="P15" s="24">
        <v>557.10317201381019</v>
      </c>
      <c r="Q15" s="24">
        <v>529.67800000000011</v>
      </c>
      <c r="R15" s="24">
        <v>557.10317201381054</v>
      </c>
      <c r="S15" s="24"/>
      <c r="T15" s="24"/>
      <c r="U15" s="24"/>
      <c r="V15" s="24"/>
      <c r="W15" s="24"/>
      <c r="X15" s="24"/>
    </row>
    <row r="16" spans="2:94" x14ac:dyDescent="0.25">
      <c r="J16" s="75" t="s">
        <v>105</v>
      </c>
      <c r="K16" s="24">
        <v>18.435159244456504</v>
      </c>
      <c r="L16" s="24">
        <v>19.528401385491318</v>
      </c>
      <c r="M16" s="24">
        <v>18.435159244456504</v>
      </c>
      <c r="N16" s="24">
        <v>19.584435310276486</v>
      </c>
      <c r="O16" s="24">
        <v>18.435159244456504</v>
      </c>
      <c r="P16" s="24">
        <v>19.584435310276469</v>
      </c>
      <c r="Q16" s="24">
        <v>18.435159244456504</v>
      </c>
      <c r="R16" s="24">
        <v>19.584435310276483</v>
      </c>
      <c r="S16" s="24"/>
      <c r="T16" s="24"/>
      <c r="U16" s="24"/>
      <c r="V16" s="24"/>
      <c r="W16" s="24"/>
      <c r="X16" s="24"/>
    </row>
    <row r="17" spans="10:24" x14ac:dyDescent="0.25">
      <c r="J17" s="75" t="s">
        <v>107</v>
      </c>
      <c r="K17" s="24">
        <v>472.35275999999999</v>
      </c>
      <c r="L17" s="24">
        <v>495.34295957670906</v>
      </c>
      <c r="M17" s="24">
        <v>472.35275999999999</v>
      </c>
      <c r="N17" s="24">
        <v>496.76427459332928</v>
      </c>
      <c r="O17" s="24">
        <v>472.35275999999999</v>
      </c>
      <c r="P17" s="24">
        <v>496.76427459332882</v>
      </c>
      <c r="Q17" s="24">
        <v>472.35275999999999</v>
      </c>
      <c r="R17" s="24">
        <v>496.76427459332916</v>
      </c>
      <c r="S17" s="24"/>
      <c r="T17" s="24"/>
      <c r="U17" s="24"/>
      <c r="V17" s="24"/>
      <c r="W17" s="24"/>
      <c r="X17" s="24"/>
    </row>
    <row r="18" spans="10:24" x14ac:dyDescent="0.25">
      <c r="J18" s="75" t="s">
        <v>109</v>
      </c>
      <c r="K18" s="24">
        <v>6051.1074737855088</v>
      </c>
      <c r="L18" s="24">
        <v>6149.8161545207122</v>
      </c>
      <c r="M18" s="24">
        <v>6051.1074737855088</v>
      </c>
      <c r="N18" s="24">
        <v>6166.4827883192902</v>
      </c>
      <c r="O18" s="24">
        <v>5884.65646833962</v>
      </c>
      <c r="P18" s="24">
        <v>5831.8993541154641</v>
      </c>
      <c r="Q18" s="24">
        <v>6051.1074737855088</v>
      </c>
      <c r="R18" s="24">
        <v>6166.4827883192838</v>
      </c>
      <c r="S18" s="24"/>
      <c r="T18" s="24"/>
      <c r="U18" s="24"/>
      <c r="V18" s="24"/>
      <c r="W18" s="24"/>
      <c r="X18" s="24"/>
    </row>
  </sheetData>
  <phoneticPr fontId="14" type="noConversion"/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B4:CP18"/>
  <sheetViews>
    <sheetView topLeftCell="J1" workbookViewId="0">
      <pane xSplit="1" ySplit="7" topLeftCell="K8" activePane="bottomRight" state="frozen"/>
      <selection pane="topRight"/>
      <selection pane="bottomLeft"/>
      <selection pane="bottomRight" activeCell="U26" sqref="U26"/>
    </sheetView>
  </sheetViews>
  <sheetFormatPr defaultColWidth="9" defaultRowHeight="15" x14ac:dyDescent="0.25"/>
  <cols>
    <col min="1" max="9" width="9" style="20"/>
    <col min="10" max="10" width="13.125" style="20" customWidth="1"/>
    <col min="11" max="24" width="14.125" style="20"/>
    <col min="25" max="46" width="9.25" style="20"/>
    <col min="47" max="16384" width="9" style="20"/>
  </cols>
  <sheetData>
    <row r="4" spans="2:94" x14ac:dyDescent="0.25">
      <c r="M4" s="21">
        <f>M9/L9-1</f>
        <v>-7.183281343115766E-2</v>
      </c>
      <c r="N4" s="21">
        <f t="shared" ref="N4:V4" si="0">N9/M9-1</f>
        <v>7.5742852026494223E-2</v>
      </c>
      <c r="O4" s="21">
        <f t="shared" si="0"/>
        <v>-7.0409812051094867E-2</v>
      </c>
      <c r="P4" s="21">
        <f t="shared" si="0"/>
        <v>7.5742852026493779E-2</v>
      </c>
      <c r="Q4" s="21">
        <f t="shared" si="0"/>
        <v>-7.0409812051094534E-2</v>
      </c>
      <c r="R4" s="21">
        <f t="shared" si="0"/>
        <v>7.5742852026494667E-2</v>
      </c>
      <c r="S4" s="21">
        <f t="shared" si="0"/>
        <v>-1</v>
      </c>
      <c r="T4" s="21" t="e">
        <f t="shared" si="0"/>
        <v>#DIV/0!</v>
      </c>
      <c r="U4" s="21" t="e">
        <f t="shared" si="0"/>
        <v>#DIV/0!</v>
      </c>
      <c r="V4" s="21" t="e">
        <f t="shared" si="0"/>
        <v>#DIV/0!</v>
      </c>
      <c r="AC4" s="30"/>
      <c r="AD4" s="30"/>
      <c r="AE4" s="30"/>
    </row>
    <row r="5" spans="2:94" x14ac:dyDescent="0.25">
      <c r="L5" s="22">
        <f>L9/L8</f>
        <v>0.99123248711374345</v>
      </c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</row>
    <row r="6" spans="2:94" ht="12.75" customHeight="1" x14ac:dyDescent="0.25">
      <c r="B6" s="25" t="s">
        <v>73</v>
      </c>
      <c r="K6" s="73" t="s">
        <v>73</v>
      </c>
      <c r="L6" s="71" t="s">
        <v>73</v>
      </c>
      <c r="M6" s="71" t="s">
        <v>315</v>
      </c>
      <c r="N6" s="71" t="s">
        <v>315</v>
      </c>
      <c r="O6" s="71" t="s">
        <v>316</v>
      </c>
      <c r="P6" s="71" t="s">
        <v>316</v>
      </c>
      <c r="Q6" s="71" t="s">
        <v>317</v>
      </c>
      <c r="R6" s="71" t="s">
        <v>317</v>
      </c>
      <c r="S6" s="71"/>
      <c r="T6" s="71"/>
      <c r="U6" s="71"/>
      <c r="V6" s="71"/>
      <c r="W6" s="73"/>
      <c r="X6" s="73"/>
      <c r="Y6" s="75"/>
      <c r="Z6" s="75"/>
      <c r="AA6" s="75"/>
      <c r="AB6" s="75"/>
      <c r="AC6" s="75"/>
      <c r="AD6" s="75"/>
      <c r="AE6" s="75"/>
      <c r="AF6" s="75"/>
      <c r="AG6" s="75"/>
      <c r="AH6" s="75"/>
      <c r="AI6" s="75"/>
      <c r="AJ6" s="75"/>
      <c r="AK6" s="75"/>
      <c r="AL6" s="75"/>
      <c r="AM6" s="75"/>
      <c r="AN6" s="75"/>
      <c r="AO6" s="75"/>
      <c r="AP6" s="75"/>
      <c r="AQ6" s="75"/>
      <c r="AR6" s="75"/>
      <c r="AS6" s="75"/>
      <c r="AT6" s="75"/>
      <c r="AU6" s="75"/>
      <c r="AV6" s="75"/>
      <c r="AW6" s="75"/>
      <c r="AX6" s="75"/>
      <c r="AY6" s="75"/>
      <c r="AZ6" s="75"/>
      <c r="BA6" s="75"/>
      <c r="BB6" s="75"/>
      <c r="BC6" s="75"/>
      <c r="BD6" s="75"/>
      <c r="BE6" s="75"/>
      <c r="BF6" s="75"/>
      <c r="BG6" s="75"/>
      <c r="BH6" s="75"/>
      <c r="BI6" s="75"/>
      <c r="BJ6" s="75"/>
      <c r="BK6" s="75"/>
      <c r="BL6" s="75"/>
      <c r="BM6" s="75"/>
      <c r="BN6" s="75"/>
      <c r="BO6" s="75"/>
      <c r="BP6" s="75"/>
      <c r="BQ6" s="75"/>
      <c r="BR6" s="75"/>
      <c r="BS6" s="75"/>
      <c r="BT6" s="75"/>
      <c r="BU6" s="75"/>
      <c r="BV6" s="75"/>
      <c r="BW6" s="75"/>
      <c r="BX6" s="75"/>
      <c r="BY6" s="75"/>
      <c r="BZ6" s="75"/>
      <c r="CA6" s="75"/>
      <c r="CB6" s="75"/>
      <c r="CC6" s="75"/>
      <c r="CD6" s="75"/>
      <c r="CE6" s="75"/>
      <c r="CF6" s="75"/>
      <c r="CG6" s="75"/>
      <c r="CH6" s="75"/>
      <c r="CI6" s="75"/>
      <c r="CJ6" s="75"/>
      <c r="CK6" s="75"/>
      <c r="CL6" s="75"/>
      <c r="CM6" s="75"/>
      <c r="CN6" s="75"/>
      <c r="CO6" s="75"/>
      <c r="CP6" s="75"/>
    </row>
    <row r="7" spans="2:94" x14ac:dyDescent="0.25">
      <c r="B7" s="25" t="s">
        <v>74</v>
      </c>
      <c r="C7" s="25"/>
      <c r="D7" s="25"/>
      <c r="E7" s="25"/>
      <c r="F7" s="25"/>
      <c r="G7" s="25"/>
      <c r="H7" s="27"/>
      <c r="K7" s="73" t="s">
        <v>76</v>
      </c>
      <c r="L7" s="71" t="s">
        <v>77</v>
      </c>
      <c r="M7" s="71" t="s">
        <v>76</v>
      </c>
      <c r="N7" s="71" t="s">
        <v>77</v>
      </c>
      <c r="O7" s="71" t="s">
        <v>76</v>
      </c>
      <c r="P7" s="71" t="s">
        <v>77</v>
      </c>
      <c r="Q7" s="71" t="s">
        <v>76</v>
      </c>
      <c r="R7" s="71" t="s">
        <v>77</v>
      </c>
      <c r="S7" s="71"/>
      <c r="T7" s="71"/>
      <c r="U7" s="71"/>
      <c r="V7" s="71"/>
      <c r="W7" s="73"/>
      <c r="X7" s="73"/>
      <c r="Y7" s="75"/>
      <c r="Z7" s="75"/>
      <c r="AA7" s="75"/>
      <c r="AB7" s="75"/>
      <c r="AC7" s="75"/>
      <c r="AD7" s="75"/>
      <c r="AE7" s="75"/>
      <c r="AF7" s="75"/>
      <c r="AG7" s="75"/>
      <c r="AH7" s="75"/>
      <c r="AI7" s="75"/>
      <c r="AJ7" s="75"/>
      <c r="AK7" s="75"/>
      <c r="AL7" s="75"/>
      <c r="AM7" s="75"/>
      <c r="AN7" s="75"/>
      <c r="AO7" s="75"/>
      <c r="AP7" s="75"/>
      <c r="AQ7" s="75"/>
      <c r="AR7" s="75"/>
      <c r="AS7" s="75"/>
      <c r="AT7" s="75"/>
      <c r="AU7" s="75"/>
      <c r="AV7" s="75"/>
      <c r="AW7" s="75"/>
      <c r="AX7" s="75"/>
      <c r="AY7" s="75"/>
      <c r="AZ7" s="75"/>
      <c r="BA7" s="75"/>
      <c r="BB7" s="75"/>
      <c r="BC7" s="75"/>
      <c r="BD7" s="75"/>
      <c r="BE7" s="75"/>
      <c r="BF7" s="75"/>
      <c r="BG7" s="75"/>
      <c r="BH7" s="75"/>
      <c r="BI7" s="75"/>
      <c r="BJ7" s="75"/>
      <c r="BK7" s="75"/>
      <c r="BL7" s="75"/>
      <c r="BM7" s="75"/>
      <c r="BN7" s="75"/>
      <c r="BO7" s="75"/>
      <c r="BP7" s="75"/>
      <c r="BQ7" s="75"/>
      <c r="BR7" s="75"/>
      <c r="BS7" s="75"/>
      <c r="BT7" s="75"/>
      <c r="BU7" s="75"/>
      <c r="BV7" s="75"/>
      <c r="BW7" s="75"/>
      <c r="BX7" s="75"/>
      <c r="BY7" s="75"/>
      <c r="BZ7" s="75"/>
      <c r="CA7" s="75"/>
      <c r="CB7" s="75"/>
      <c r="CC7" s="75"/>
      <c r="CD7" s="75"/>
      <c r="CE7" s="75"/>
      <c r="CF7" s="75"/>
      <c r="CG7" s="75"/>
      <c r="CH7" s="75"/>
      <c r="CI7" s="75"/>
      <c r="CJ7" s="75"/>
      <c r="CK7" s="75"/>
      <c r="CL7" s="75"/>
      <c r="CM7" s="75"/>
      <c r="CN7" s="75"/>
      <c r="CO7" s="75"/>
      <c r="CP7" s="75"/>
    </row>
    <row r="8" spans="2:94" x14ac:dyDescent="0.25">
      <c r="J8" s="75" t="s">
        <v>83</v>
      </c>
      <c r="K8" s="24">
        <v>2803.4</v>
      </c>
      <c r="L8" s="24">
        <v>3047.0763112147843</v>
      </c>
      <c r="M8" s="24">
        <v>2803.4</v>
      </c>
      <c r="N8" s="24">
        <v>3015.7375113710741</v>
      </c>
      <c r="O8" s="24">
        <v>2803.4</v>
      </c>
      <c r="P8" s="24">
        <v>3015.7375113710727</v>
      </c>
      <c r="Q8" s="24">
        <v>2803.4</v>
      </c>
      <c r="R8" s="24">
        <v>3015.737511371075</v>
      </c>
      <c r="S8" s="24"/>
      <c r="T8" s="24"/>
      <c r="U8" s="24"/>
      <c r="V8" s="24"/>
      <c r="W8" s="24"/>
      <c r="X8" s="24"/>
    </row>
    <row r="9" spans="2:94" x14ac:dyDescent="0.25">
      <c r="J9" s="75" t="s">
        <v>85</v>
      </c>
      <c r="K9" s="24">
        <v>2803.4</v>
      </c>
      <c r="L9" s="24">
        <v>3020.3610303908017</v>
      </c>
      <c r="M9" s="24">
        <v>2803.4</v>
      </c>
      <c r="N9" s="24">
        <v>3015.7375113710741</v>
      </c>
      <c r="O9" s="24">
        <v>2803.4</v>
      </c>
      <c r="P9" s="24">
        <v>3015.7375113710727</v>
      </c>
      <c r="Q9" s="24">
        <v>2803.4</v>
      </c>
      <c r="R9" s="24">
        <v>3015.737511371075</v>
      </c>
      <c r="S9" s="24"/>
      <c r="T9" s="24"/>
      <c r="U9" s="24"/>
      <c r="V9" s="24"/>
      <c r="W9" s="24"/>
      <c r="X9" s="24"/>
    </row>
    <row r="10" spans="2:94" x14ac:dyDescent="0.25">
      <c r="J10" s="75" t="s">
        <v>87</v>
      </c>
      <c r="K10" s="24"/>
      <c r="L10" s="24">
        <v>26.715280823982656</v>
      </c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</row>
    <row r="11" spans="2:94" x14ac:dyDescent="0.25">
      <c r="J11" s="75" t="s">
        <v>89</v>
      </c>
      <c r="K11" s="24">
        <v>2803.400000000001</v>
      </c>
      <c r="L11" s="24">
        <v>3047.0763112147843</v>
      </c>
      <c r="M11" s="24">
        <v>2803.400000000001</v>
      </c>
      <c r="N11" s="24">
        <v>3015.7375113710741</v>
      </c>
      <c r="O11" s="24">
        <v>2803.400000000001</v>
      </c>
      <c r="P11" s="24">
        <v>3015.7375113710727</v>
      </c>
      <c r="Q11" s="24">
        <v>2803.400000000001</v>
      </c>
      <c r="R11" s="24">
        <v>3015.737511371075</v>
      </c>
      <c r="S11" s="24"/>
      <c r="T11" s="24"/>
      <c r="U11" s="24"/>
      <c r="V11" s="24"/>
      <c r="W11" s="24"/>
      <c r="X11" s="24"/>
    </row>
    <row r="12" spans="2:94" x14ac:dyDescent="0.25">
      <c r="J12" s="75" t="s">
        <v>91</v>
      </c>
      <c r="K12" s="24">
        <v>18.627209938762466</v>
      </c>
      <c r="L12" s="24">
        <v>20.219036315984379</v>
      </c>
      <c r="M12" s="24">
        <v>18.627209938762466</v>
      </c>
      <c r="N12" s="24">
        <v>19.906527829940828</v>
      </c>
      <c r="O12" s="24">
        <v>18.627209938762466</v>
      </c>
      <c r="P12" s="24">
        <v>19.906527829940835</v>
      </c>
      <c r="Q12" s="24">
        <v>18.627209938762466</v>
      </c>
      <c r="R12" s="24">
        <v>19.906527829940849</v>
      </c>
      <c r="S12" s="24"/>
      <c r="T12" s="24"/>
      <c r="U12" s="24"/>
      <c r="V12" s="24"/>
      <c r="W12" s="24"/>
      <c r="X12" s="24"/>
    </row>
    <row r="13" spans="2:94" x14ac:dyDescent="0.25">
      <c r="J13" s="75" t="s">
        <v>99</v>
      </c>
      <c r="K13" s="24">
        <v>145.65023421319992</v>
      </c>
      <c r="L13" s="24">
        <v>235.02972437818235</v>
      </c>
      <c r="M13" s="24">
        <v>145.65023421319992</v>
      </c>
      <c r="N13" s="24">
        <v>234.66994473928162</v>
      </c>
      <c r="O13" s="24">
        <v>145.65023421319992</v>
      </c>
      <c r="P13" s="24">
        <v>234.6699447392815</v>
      </c>
      <c r="Q13" s="24">
        <v>145.65023421319992</v>
      </c>
      <c r="R13" s="24">
        <v>234.66994473928165</v>
      </c>
      <c r="S13" s="24"/>
      <c r="T13" s="24"/>
      <c r="U13" s="24"/>
      <c r="V13" s="24"/>
      <c r="W13" s="24"/>
      <c r="X13" s="24"/>
    </row>
    <row r="14" spans="2:94" x14ac:dyDescent="0.25">
      <c r="J14" s="75" t="s">
        <v>236</v>
      </c>
      <c r="K14" s="24">
        <v>40.831668699999994</v>
      </c>
      <c r="L14" s="24"/>
      <c r="M14" s="24">
        <v>40.831668699999994</v>
      </c>
      <c r="N14" s="24">
        <v>12.484397526999601</v>
      </c>
      <c r="O14" s="24">
        <v>40.831668699999994</v>
      </c>
      <c r="P14" s="24">
        <v>12.484397526998237</v>
      </c>
      <c r="Q14" s="24">
        <v>40.831668699999994</v>
      </c>
      <c r="R14" s="24">
        <v>12.484397526999146</v>
      </c>
      <c r="S14" s="24"/>
      <c r="T14" s="24"/>
      <c r="U14" s="24"/>
      <c r="V14" s="24"/>
      <c r="W14" s="24"/>
      <c r="X14" s="24"/>
    </row>
    <row r="15" spans="2:94" x14ac:dyDescent="0.25">
      <c r="J15" s="75" t="s">
        <v>103</v>
      </c>
      <c r="K15" s="24">
        <v>2762.5683313000009</v>
      </c>
      <c r="L15" s="24">
        <v>3047.0763112147843</v>
      </c>
      <c r="M15" s="24">
        <v>2762.5683313000009</v>
      </c>
      <c r="N15" s="24">
        <v>3003.2531138440745</v>
      </c>
      <c r="O15" s="24">
        <v>2762.5683313000009</v>
      </c>
      <c r="P15" s="24">
        <v>3003.2531138440745</v>
      </c>
      <c r="Q15" s="24">
        <v>2762.5683313000009</v>
      </c>
      <c r="R15" s="24">
        <v>3003.2531138440759</v>
      </c>
      <c r="S15" s="24"/>
      <c r="T15" s="24"/>
      <c r="U15" s="24"/>
      <c r="V15" s="24"/>
      <c r="W15" s="24"/>
      <c r="X15" s="24"/>
    </row>
    <row r="16" spans="2:94" x14ac:dyDescent="0.25">
      <c r="J16" s="75" t="s">
        <v>105</v>
      </c>
      <c r="K16" s="24">
        <v>67.32264602760948</v>
      </c>
      <c r="L16" s="24">
        <v>73.075840632890376</v>
      </c>
      <c r="M16" s="24">
        <v>67.32264602760948</v>
      </c>
      <c r="N16" s="24">
        <v>71.946369377898336</v>
      </c>
      <c r="O16" s="24">
        <v>67.32264602760948</v>
      </c>
      <c r="P16" s="24">
        <v>71.946369377898364</v>
      </c>
      <c r="Q16" s="24">
        <v>67.32264602760948</v>
      </c>
      <c r="R16" s="24">
        <v>71.946369377898435</v>
      </c>
      <c r="S16" s="24"/>
      <c r="T16" s="24"/>
      <c r="U16" s="24"/>
      <c r="V16" s="24"/>
      <c r="W16" s="24"/>
      <c r="X16" s="24"/>
    </row>
    <row r="17" spans="10:24" x14ac:dyDescent="0.25">
      <c r="J17" s="75" t="s">
        <v>107</v>
      </c>
      <c r="K17" s="24">
        <v>2616.9180970868001</v>
      </c>
      <c r="L17" s="24">
        <v>2812.0465868366018</v>
      </c>
      <c r="M17" s="24">
        <v>2616.9180970868001</v>
      </c>
      <c r="N17" s="24">
        <v>2768.5831691047929</v>
      </c>
      <c r="O17" s="24">
        <v>2616.9180970868001</v>
      </c>
      <c r="P17" s="24">
        <v>2768.5831691047943</v>
      </c>
      <c r="Q17" s="24">
        <v>2616.9180970868001</v>
      </c>
      <c r="R17" s="24">
        <v>2768.5831691047961</v>
      </c>
      <c r="S17" s="24"/>
      <c r="T17" s="24"/>
      <c r="U17" s="24"/>
      <c r="V17" s="24"/>
      <c r="W17" s="24"/>
      <c r="X17" s="24"/>
    </row>
    <row r="18" spans="10:24" x14ac:dyDescent="0.25">
      <c r="J18" s="75" t="s">
        <v>109</v>
      </c>
      <c r="K18" s="20">
        <v>1393.5210942326589</v>
      </c>
      <c r="L18" s="20">
        <v>1473.8309292701515</v>
      </c>
      <c r="M18" s="20">
        <v>1393.5210942326589</v>
      </c>
      <c r="N18" s="20">
        <v>1452.1010167430036</v>
      </c>
      <c r="O18" s="20">
        <v>1366.9266114251757</v>
      </c>
      <c r="P18" s="20">
        <v>1397.2050031515644</v>
      </c>
      <c r="Q18" s="20">
        <v>1393.5210942326589</v>
      </c>
      <c r="R18" s="20">
        <v>1452.1010167430043</v>
      </c>
    </row>
  </sheetData>
  <phoneticPr fontId="14" type="noConversion"/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B4:CP19"/>
  <sheetViews>
    <sheetView topLeftCell="I1" workbookViewId="0">
      <pane xSplit="2" ySplit="7" topLeftCell="K8" activePane="bottomRight" state="frozen"/>
      <selection pane="topRight"/>
      <selection pane="bottomLeft"/>
      <selection pane="bottomRight" activeCell="L8" sqref="L8"/>
    </sheetView>
  </sheetViews>
  <sheetFormatPr defaultColWidth="9" defaultRowHeight="15" x14ac:dyDescent="0.25"/>
  <cols>
    <col min="1" max="9" width="9" style="20"/>
    <col min="10" max="10" width="38.25" style="20" customWidth="1"/>
    <col min="11" max="24" width="14.125" style="20"/>
    <col min="25" max="16384" width="9" style="20"/>
  </cols>
  <sheetData>
    <row r="4" spans="2:94" x14ac:dyDescent="0.25">
      <c r="M4" s="29">
        <f>M15-L15</f>
        <v>-9.3444988541288581</v>
      </c>
      <c r="N4" s="29">
        <f t="shared" ref="N4:V4" si="0">N15-M15</f>
        <v>10.30687899176263</v>
      </c>
      <c r="O4" s="29">
        <f t="shared" si="0"/>
        <v>-10.30687899176263</v>
      </c>
      <c r="P4" s="29">
        <f t="shared" si="0"/>
        <v>10.306878991763995</v>
      </c>
      <c r="Q4" s="29">
        <f t="shared" si="0"/>
        <v>-10.306878991763995</v>
      </c>
      <c r="R4" s="29">
        <f t="shared" si="0"/>
        <v>10.30687899176354</v>
      </c>
      <c r="S4" s="29">
        <f t="shared" si="0"/>
        <v>-30.121882291763541</v>
      </c>
      <c r="T4" s="29">
        <f t="shared" si="0"/>
        <v>0</v>
      </c>
      <c r="U4" s="29">
        <f t="shared" si="0"/>
        <v>0</v>
      </c>
      <c r="V4" s="29">
        <f t="shared" si="0"/>
        <v>0</v>
      </c>
    </row>
    <row r="6" spans="2:94" ht="12.75" customHeight="1" x14ac:dyDescent="0.25">
      <c r="B6" s="25" t="s">
        <v>73</v>
      </c>
      <c r="K6" s="73" t="s">
        <v>73</v>
      </c>
      <c r="L6" s="71" t="s">
        <v>73</v>
      </c>
      <c r="M6" s="71" t="s">
        <v>315</v>
      </c>
      <c r="N6" s="71" t="s">
        <v>315</v>
      </c>
      <c r="O6" s="71" t="s">
        <v>316</v>
      </c>
      <c r="P6" s="71" t="s">
        <v>316</v>
      </c>
      <c r="Q6" s="71" t="s">
        <v>317</v>
      </c>
      <c r="R6" s="71" t="s">
        <v>317</v>
      </c>
      <c r="S6" s="71"/>
      <c r="T6" s="71"/>
      <c r="U6" s="71"/>
      <c r="V6" s="71"/>
      <c r="W6" s="73"/>
      <c r="X6" s="73"/>
      <c r="Y6" s="75"/>
      <c r="Z6" s="75"/>
      <c r="AA6" s="75"/>
      <c r="AB6" s="75"/>
      <c r="AC6" s="75"/>
      <c r="AD6" s="75"/>
      <c r="AE6" s="75"/>
      <c r="AF6" s="75"/>
      <c r="AG6" s="75"/>
      <c r="AH6" s="75"/>
      <c r="AI6" s="75"/>
      <c r="AJ6" s="75"/>
      <c r="AK6" s="75"/>
      <c r="AL6" s="75"/>
      <c r="AM6" s="75"/>
      <c r="AN6" s="75"/>
      <c r="AO6" s="75"/>
      <c r="AP6" s="75"/>
      <c r="AQ6" s="75"/>
      <c r="AR6" s="75"/>
      <c r="AS6" s="75"/>
      <c r="AT6" s="75"/>
      <c r="AU6" s="75"/>
      <c r="AV6" s="75"/>
      <c r="AW6" s="75"/>
      <c r="AX6" s="75"/>
      <c r="AY6" s="75"/>
      <c r="AZ6" s="75"/>
      <c r="BA6" s="75"/>
      <c r="BB6" s="75"/>
      <c r="BC6" s="75"/>
      <c r="BD6" s="75"/>
      <c r="BE6" s="75"/>
      <c r="BF6" s="75"/>
      <c r="BG6" s="75"/>
      <c r="BH6" s="75"/>
      <c r="BI6" s="75"/>
      <c r="BJ6" s="75"/>
      <c r="BK6" s="75"/>
      <c r="BL6" s="75"/>
      <c r="BM6" s="75"/>
      <c r="BN6" s="75"/>
      <c r="BO6" s="75"/>
      <c r="BP6" s="75"/>
      <c r="BQ6" s="75"/>
      <c r="BR6" s="75"/>
      <c r="BS6" s="75"/>
      <c r="BT6" s="75"/>
      <c r="BU6" s="75"/>
      <c r="BV6" s="75"/>
      <c r="BW6" s="75"/>
      <c r="BX6" s="75"/>
      <c r="BY6" s="75"/>
      <c r="BZ6" s="75"/>
      <c r="CA6" s="75"/>
      <c r="CB6" s="75"/>
      <c r="CC6" s="75"/>
      <c r="CD6" s="75"/>
      <c r="CE6" s="75"/>
      <c r="CF6" s="75"/>
      <c r="CG6" s="75"/>
      <c r="CH6" s="75"/>
      <c r="CI6" s="75"/>
      <c r="CJ6" s="75"/>
      <c r="CK6" s="75"/>
      <c r="CL6" s="75"/>
      <c r="CM6" s="75"/>
      <c r="CN6" s="75"/>
      <c r="CO6" s="75"/>
      <c r="CP6" s="75"/>
    </row>
    <row r="7" spans="2:94" x14ac:dyDescent="0.25">
      <c r="B7" s="25" t="s">
        <v>74</v>
      </c>
      <c r="C7" s="25"/>
      <c r="D7" s="25"/>
      <c r="E7" s="25"/>
      <c r="F7" s="25"/>
      <c r="G7" s="25"/>
      <c r="H7" s="27"/>
      <c r="K7" s="73" t="s">
        <v>76</v>
      </c>
      <c r="L7" s="71" t="s">
        <v>77</v>
      </c>
      <c r="M7" s="71" t="s">
        <v>76</v>
      </c>
      <c r="N7" s="71" t="s">
        <v>77</v>
      </c>
      <c r="O7" s="71" t="s">
        <v>76</v>
      </c>
      <c r="P7" s="71" t="s">
        <v>77</v>
      </c>
      <c r="Q7" s="71" t="s">
        <v>76</v>
      </c>
      <c r="R7" s="71" t="s">
        <v>77</v>
      </c>
      <c r="S7" s="71"/>
      <c r="T7" s="71"/>
      <c r="U7" s="71"/>
      <c r="V7" s="71"/>
      <c r="W7" s="73"/>
      <c r="X7" s="73"/>
      <c r="Y7" s="75"/>
      <c r="Z7" s="75"/>
      <c r="AA7" s="75"/>
      <c r="AB7" s="75"/>
      <c r="AC7" s="75"/>
      <c r="AD7" s="75"/>
      <c r="AE7" s="75"/>
      <c r="AF7" s="75"/>
      <c r="AG7" s="75"/>
      <c r="AH7" s="75"/>
      <c r="AI7" s="75"/>
      <c r="AJ7" s="75"/>
      <c r="AK7" s="75"/>
      <c r="AL7" s="75"/>
      <c r="AM7" s="75"/>
      <c r="AN7" s="75"/>
      <c r="AO7" s="75"/>
      <c r="AP7" s="75"/>
      <c r="AQ7" s="75"/>
      <c r="AR7" s="75"/>
      <c r="AS7" s="75"/>
      <c r="AT7" s="75"/>
      <c r="AU7" s="75"/>
      <c r="AV7" s="75"/>
      <c r="AW7" s="75"/>
      <c r="AX7" s="75"/>
      <c r="AY7" s="75"/>
      <c r="AZ7" s="75"/>
      <c r="BA7" s="75"/>
      <c r="BB7" s="75"/>
      <c r="BC7" s="75"/>
      <c r="BD7" s="75"/>
      <c r="BE7" s="75"/>
      <c r="BF7" s="75"/>
      <c r="BG7" s="75"/>
      <c r="BH7" s="75"/>
      <c r="BI7" s="75"/>
      <c r="BJ7" s="75"/>
      <c r="BK7" s="75"/>
      <c r="BL7" s="75"/>
      <c r="BM7" s="75"/>
      <c r="BN7" s="75"/>
      <c r="BO7" s="75"/>
      <c r="BP7" s="75"/>
      <c r="BQ7" s="75"/>
      <c r="BR7" s="75"/>
      <c r="BS7" s="75"/>
      <c r="BT7" s="75"/>
      <c r="BU7" s="75"/>
      <c r="BV7" s="75"/>
      <c r="BW7" s="75"/>
      <c r="BX7" s="75"/>
      <c r="BY7" s="75"/>
      <c r="BZ7" s="75"/>
      <c r="CA7" s="75"/>
      <c r="CB7" s="75"/>
      <c r="CC7" s="75"/>
      <c r="CD7" s="75"/>
      <c r="CE7" s="75"/>
      <c r="CF7" s="75"/>
      <c r="CG7" s="75"/>
      <c r="CH7" s="75"/>
      <c r="CI7" s="75"/>
      <c r="CJ7" s="75"/>
      <c r="CK7" s="75"/>
      <c r="CL7" s="75"/>
      <c r="CM7" s="75"/>
      <c r="CN7" s="75"/>
      <c r="CO7" s="75"/>
      <c r="CP7" s="75"/>
    </row>
    <row r="8" spans="2:94" x14ac:dyDescent="0.25">
      <c r="J8" s="75" t="s">
        <v>83</v>
      </c>
      <c r="K8" s="24">
        <v>2973.3</v>
      </c>
      <c r="L8" s="24">
        <v>3087.1510270514186</v>
      </c>
      <c r="M8" s="24">
        <v>2973.3</v>
      </c>
      <c r="N8" s="24">
        <v>3082.4252670026253</v>
      </c>
      <c r="O8" s="24">
        <v>2973.3</v>
      </c>
      <c r="P8" s="24">
        <v>3082.4252670026267</v>
      </c>
      <c r="Q8" s="24">
        <v>2973.3</v>
      </c>
      <c r="R8" s="24">
        <v>3082.4252670026262</v>
      </c>
      <c r="S8" s="24"/>
      <c r="T8" s="24"/>
      <c r="U8" s="24"/>
      <c r="V8" s="24"/>
      <c r="W8" s="24"/>
      <c r="X8" s="24"/>
    </row>
    <row r="9" spans="2:94" x14ac:dyDescent="0.25">
      <c r="J9" s="75" t="s">
        <v>85</v>
      </c>
      <c r="K9" s="24">
        <v>2973.3</v>
      </c>
      <c r="L9" s="24">
        <v>3087.1510270514186</v>
      </c>
      <c r="M9" s="24">
        <v>2973.3</v>
      </c>
      <c r="N9" s="24">
        <v>3082.4252670026253</v>
      </c>
      <c r="O9" s="24">
        <v>2973.3</v>
      </c>
      <c r="P9" s="24">
        <v>3082.4252670026267</v>
      </c>
      <c r="Q9" s="24">
        <v>2973.3</v>
      </c>
      <c r="R9" s="24">
        <v>3082.4252670026262</v>
      </c>
      <c r="S9" s="24"/>
      <c r="T9" s="24"/>
      <c r="U9" s="24"/>
      <c r="V9" s="24"/>
      <c r="W9" s="24"/>
      <c r="X9" s="24"/>
    </row>
    <row r="10" spans="2:94" x14ac:dyDescent="0.25">
      <c r="J10" s="75" t="s">
        <v>89</v>
      </c>
      <c r="K10" s="24">
        <v>2973.3</v>
      </c>
      <c r="L10" s="24">
        <v>3087.1510270514186</v>
      </c>
      <c r="M10" s="24">
        <v>2973.3</v>
      </c>
      <c r="N10" s="24">
        <v>3082.4252670026253</v>
      </c>
      <c r="O10" s="24">
        <v>2973.3</v>
      </c>
      <c r="P10" s="24">
        <v>3082.4252670026267</v>
      </c>
      <c r="Q10" s="24">
        <v>2973.3</v>
      </c>
      <c r="R10" s="24">
        <v>3082.4252670026262</v>
      </c>
      <c r="S10" s="24"/>
      <c r="T10" s="24"/>
      <c r="U10" s="24"/>
      <c r="V10" s="24"/>
      <c r="W10" s="24"/>
      <c r="X10" s="24"/>
    </row>
    <row r="11" spans="2:94" x14ac:dyDescent="0.25">
      <c r="J11" s="75" t="s">
        <v>91</v>
      </c>
      <c r="K11" s="24">
        <v>16.379930101289069</v>
      </c>
      <c r="L11" s="24">
        <v>16.836956203025679</v>
      </c>
      <c r="M11" s="24">
        <v>16.379930101289069</v>
      </c>
      <c r="N11" s="24">
        <v>16.810435617845734</v>
      </c>
      <c r="O11" s="24">
        <v>16.379930101289069</v>
      </c>
      <c r="P11" s="24">
        <v>16.810435617845741</v>
      </c>
      <c r="Q11" s="24">
        <v>16.379930101289069</v>
      </c>
      <c r="R11" s="24">
        <v>16.810435617845737</v>
      </c>
      <c r="S11" s="24"/>
      <c r="T11" s="24"/>
      <c r="U11" s="24"/>
      <c r="V11" s="24"/>
      <c r="W11" s="24"/>
      <c r="X11" s="24"/>
    </row>
    <row r="12" spans="2:94" x14ac:dyDescent="0.25">
      <c r="J12" s="75" t="s">
        <v>97</v>
      </c>
      <c r="K12" s="24">
        <v>481.98662477558298</v>
      </c>
      <c r="L12" s="24">
        <v>537.21729789820051</v>
      </c>
      <c r="M12" s="24">
        <v>481.98662477558298</v>
      </c>
      <c r="N12" s="24">
        <v>535.49178864800206</v>
      </c>
      <c r="O12" s="24">
        <v>481.98662477558298</v>
      </c>
      <c r="P12" s="24">
        <v>535.49178864800172</v>
      </c>
      <c r="Q12" s="24">
        <v>481.98662477558298</v>
      </c>
      <c r="R12" s="24">
        <v>535.49178864800206</v>
      </c>
      <c r="S12" s="24"/>
      <c r="T12" s="24"/>
      <c r="U12" s="24"/>
      <c r="V12" s="24"/>
      <c r="W12" s="24"/>
      <c r="X12" s="24"/>
    </row>
    <row r="13" spans="2:94" x14ac:dyDescent="0.25">
      <c r="J13" s="75" t="s">
        <v>99</v>
      </c>
      <c r="K13" s="24">
        <v>147.4994181818</v>
      </c>
      <c r="L13" s="24">
        <v>155.43254980286386</v>
      </c>
      <c r="M13" s="24">
        <v>147.4994181818</v>
      </c>
      <c r="N13" s="24">
        <v>155.19461621046619</v>
      </c>
      <c r="O13" s="24">
        <v>147.4994181818</v>
      </c>
      <c r="P13" s="24">
        <v>155.19461621046625</v>
      </c>
      <c r="Q13" s="24">
        <v>147.4994181818</v>
      </c>
      <c r="R13" s="24">
        <v>155.19461621046625</v>
      </c>
      <c r="S13" s="24"/>
      <c r="T13" s="24"/>
      <c r="U13" s="24"/>
      <c r="V13" s="24"/>
      <c r="W13" s="24"/>
      <c r="X13" s="24"/>
    </row>
    <row r="14" spans="2:94" x14ac:dyDescent="0.25">
      <c r="J14" s="75" t="s">
        <v>122</v>
      </c>
      <c r="K14" s="24">
        <v>22.798953742617002</v>
      </c>
      <c r="L14" s="24">
        <v>23.671951522623974</v>
      </c>
      <c r="M14" s="24">
        <v>22.798953742617002</v>
      </c>
      <c r="N14" s="24">
        <v>23.635714888328362</v>
      </c>
      <c r="O14" s="24">
        <v>22.798953742617002</v>
      </c>
      <c r="P14" s="24">
        <v>23.635714888328366</v>
      </c>
      <c r="Q14" s="24">
        <v>22.798953742617002</v>
      </c>
      <c r="R14" s="24">
        <v>23.635714888328362</v>
      </c>
      <c r="S14" s="24"/>
      <c r="T14" s="24"/>
      <c r="U14" s="24"/>
      <c r="V14" s="24"/>
      <c r="W14" s="24"/>
      <c r="X14" s="24"/>
    </row>
    <row r="15" spans="2:94" x14ac:dyDescent="0.25">
      <c r="J15" s="75" t="s">
        <v>236</v>
      </c>
      <c r="K15" s="24">
        <v>19.815003300000001</v>
      </c>
      <c r="L15" s="24">
        <v>29.159502154128859</v>
      </c>
      <c r="M15" s="24">
        <v>19.815003300000001</v>
      </c>
      <c r="N15" s="24">
        <v>30.121882291762631</v>
      </c>
      <c r="O15" s="24">
        <v>19.815003300000001</v>
      </c>
      <c r="P15" s="24">
        <v>30.121882291763995</v>
      </c>
      <c r="Q15" s="24">
        <v>19.815003300000001</v>
      </c>
      <c r="R15" s="24">
        <v>30.121882291763541</v>
      </c>
      <c r="S15" s="24"/>
      <c r="T15" s="24"/>
      <c r="U15" s="24"/>
      <c r="V15" s="24"/>
      <c r="W15" s="24"/>
      <c r="X15" s="24"/>
    </row>
    <row r="16" spans="2:94" x14ac:dyDescent="0.25">
      <c r="J16" s="75" t="s">
        <v>103</v>
      </c>
      <c r="K16" s="24">
        <v>2953.4849967</v>
      </c>
      <c r="L16" s="24">
        <v>3057.9915248972898</v>
      </c>
      <c r="M16" s="24">
        <v>2953.4849967</v>
      </c>
      <c r="N16" s="24">
        <v>3052.3033847108627</v>
      </c>
      <c r="O16" s="24">
        <v>2953.4849967</v>
      </c>
      <c r="P16" s="24">
        <v>3052.3033847108627</v>
      </c>
      <c r="Q16" s="24">
        <v>2953.4849967</v>
      </c>
      <c r="R16" s="24">
        <v>3052.3033847108627</v>
      </c>
      <c r="S16" s="24"/>
      <c r="T16" s="24"/>
      <c r="U16" s="24"/>
      <c r="V16" s="24"/>
      <c r="W16" s="24"/>
      <c r="X16" s="24"/>
    </row>
    <row r="17" spans="10:24" x14ac:dyDescent="0.25">
      <c r="J17" s="75" t="s">
        <v>105</v>
      </c>
      <c r="K17" s="24">
        <v>60.450176593248038</v>
      </c>
      <c r="L17" s="24">
        <v>62.136832664846736</v>
      </c>
      <c r="M17" s="24">
        <v>60.450176593248038</v>
      </c>
      <c r="N17" s="24">
        <v>62.038958373102503</v>
      </c>
      <c r="O17" s="24">
        <v>60.450176593248038</v>
      </c>
      <c r="P17" s="24">
        <v>62.038958373102524</v>
      </c>
      <c r="Q17" s="24">
        <v>60.450176593248038</v>
      </c>
      <c r="R17" s="24">
        <v>62.038958373102517</v>
      </c>
      <c r="S17" s="24"/>
      <c r="T17" s="24"/>
      <c r="U17" s="24"/>
      <c r="V17" s="24"/>
      <c r="W17" s="24"/>
      <c r="X17" s="24"/>
    </row>
    <row r="18" spans="10:24" x14ac:dyDescent="0.25">
      <c r="J18" s="75" t="s">
        <v>107</v>
      </c>
      <c r="K18" s="24">
        <v>2301.1999999999998</v>
      </c>
      <c r="L18" s="24">
        <v>2341.6697256736006</v>
      </c>
      <c r="M18" s="24">
        <v>2301.1999999999998</v>
      </c>
      <c r="N18" s="24">
        <v>2337.9812649640658</v>
      </c>
      <c r="O18" s="24">
        <v>2301.1999999999998</v>
      </c>
      <c r="P18" s="24">
        <v>2337.9812649640667</v>
      </c>
      <c r="Q18" s="24">
        <v>2301.1999999999998</v>
      </c>
      <c r="R18" s="24">
        <v>2337.9812649640662</v>
      </c>
      <c r="S18" s="24"/>
      <c r="T18" s="24"/>
      <c r="U18" s="24"/>
      <c r="V18" s="24"/>
      <c r="W18" s="24"/>
      <c r="X18" s="24"/>
    </row>
    <row r="19" spans="10:24" x14ac:dyDescent="0.25">
      <c r="J19" s="75" t="s">
        <v>109</v>
      </c>
      <c r="K19" s="24">
        <v>1706.6053015061339</v>
      </c>
      <c r="L19" s="24">
        <v>1743.5385503661516</v>
      </c>
      <c r="M19" s="24">
        <v>1706.6053015061339</v>
      </c>
      <c r="N19" s="24">
        <v>1740.3130052584499</v>
      </c>
      <c r="O19" s="24">
        <v>1622.2645687715089</v>
      </c>
      <c r="P19" s="24">
        <v>1572.550318459806</v>
      </c>
      <c r="Q19" s="24">
        <v>1706.6053015061339</v>
      </c>
      <c r="R19" s="24">
        <v>1740.3130052584499</v>
      </c>
      <c r="S19" s="24"/>
      <c r="T19" s="24"/>
      <c r="U19" s="24"/>
      <c r="V19" s="24"/>
      <c r="W19" s="24"/>
      <c r="X19" s="24"/>
    </row>
  </sheetData>
  <phoneticPr fontId="14" type="noConversion"/>
  <pageMargins left="0.7" right="0.7" top="0.75" bottom="0.75" header="0.3" footer="0.3"/>
  <pageSetup paperSize="9" orientation="portrait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B5:CP19"/>
  <sheetViews>
    <sheetView topLeftCell="J1" workbookViewId="0">
      <pane xSplit="1" ySplit="7" topLeftCell="L8" activePane="bottomRight" state="frozen"/>
      <selection pane="topRight"/>
      <selection pane="bottomLeft"/>
      <selection pane="bottomRight" activeCell="L5" sqref="L5"/>
    </sheetView>
  </sheetViews>
  <sheetFormatPr defaultColWidth="9" defaultRowHeight="15" x14ac:dyDescent="0.25"/>
  <cols>
    <col min="1" max="9" width="9" style="20"/>
    <col min="10" max="10" width="51.625" style="20" customWidth="1"/>
    <col min="11" max="24" width="14.125" style="20"/>
    <col min="25" max="16384" width="9" style="20"/>
  </cols>
  <sheetData>
    <row r="5" spans="2:94" x14ac:dyDescent="0.25">
      <c r="L5" s="22">
        <f>L9/L8</f>
        <v>0.73680523176157631</v>
      </c>
    </row>
    <row r="6" spans="2:94" ht="12.75" customHeight="1" x14ac:dyDescent="0.25">
      <c r="B6" s="25" t="s">
        <v>73</v>
      </c>
      <c r="K6" s="73" t="s">
        <v>73</v>
      </c>
      <c r="L6" s="71" t="s">
        <v>73</v>
      </c>
      <c r="M6" s="71" t="s">
        <v>315</v>
      </c>
      <c r="N6" s="71" t="s">
        <v>315</v>
      </c>
      <c r="O6" s="71" t="s">
        <v>316</v>
      </c>
      <c r="P6" s="71" t="s">
        <v>316</v>
      </c>
      <c r="Q6" s="71" t="s">
        <v>317</v>
      </c>
      <c r="R6" s="71" t="s">
        <v>317</v>
      </c>
      <c r="S6" s="71"/>
      <c r="T6" s="71"/>
      <c r="U6" s="71"/>
      <c r="V6" s="71"/>
      <c r="W6" s="73"/>
      <c r="X6" s="73"/>
      <c r="Y6" s="75"/>
      <c r="Z6" s="75"/>
      <c r="AA6" s="75"/>
      <c r="AB6" s="75"/>
      <c r="AC6" s="75"/>
      <c r="AD6" s="75"/>
      <c r="AE6" s="75"/>
      <c r="AF6" s="75"/>
      <c r="AG6" s="75"/>
      <c r="AH6" s="75"/>
      <c r="AI6" s="75"/>
      <c r="AJ6" s="75"/>
      <c r="AK6" s="75"/>
      <c r="AL6" s="75"/>
      <c r="AM6" s="75"/>
      <c r="AN6" s="75"/>
      <c r="AO6" s="75"/>
      <c r="AP6" s="75"/>
      <c r="AQ6" s="75"/>
      <c r="AR6" s="75"/>
      <c r="AS6" s="75"/>
      <c r="AT6" s="75"/>
      <c r="AU6" s="75"/>
      <c r="AV6" s="75"/>
      <c r="AW6" s="75"/>
      <c r="AX6" s="75"/>
      <c r="AY6" s="75"/>
      <c r="AZ6" s="75"/>
      <c r="BA6" s="75"/>
      <c r="BB6" s="75"/>
      <c r="BC6" s="75"/>
      <c r="BD6" s="75"/>
      <c r="BE6" s="75"/>
      <c r="BF6" s="75"/>
      <c r="BG6" s="75"/>
      <c r="BH6" s="75"/>
      <c r="BI6" s="75"/>
      <c r="BJ6" s="75"/>
      <c r="BK6" s="75"/>
      <c r="BL6" s="75"/>
      <c r="BM6" s="75"/>
      <c r="BN6" s="75"/>
      <c r="BO6" s="75"/>
      <c r="BP6" s="75"/>
      <c r="BQ6" s="75"/>
      <c r="BR6" s="75"/>
      <c r="BS6" s="75"/>
      <c r="BT6" s="75"/>
      <c r="BU6" s="75"/>
      <c r="BV6" s="75"/>
      <c r="BW6" s="75"/>
      <c r="BX6" s="75"/>
      <c r="BY6" s="75"/>
      <c r="BZ6" s="75"/>
      <c r="CA6" s="75"/>
      <c r="CB6" s="75"/>
      <c r="CC6" s="75"/>
      <c r="CD6" s="75"/>
      <c r="CE6" s="75"/>
      <c r="CF6" s="75"/>
      <c r="CG6" s="75"/>
      <c r="CH6" s="75"/>
      <c r="CI6" s="75"/>
      <c r="CJ6" s="75"/>
      <c r="CK6" s="75"/>
      <c r="CL6" s="75"/>
      <c r="CM6" s="75"/>
      <c r="CN6" s="75"/>
      <c r="CO6" s="75"/>
      <c r="CP6" s="75"/>
    </row>
    <row r="7" spans="2:94" x14ac:dyDescent="0.25">
      <c r="B7" s="25" t="s">
        <v>74</v>
      </c>
      <c r="C7" s="25"/>
      <c r="D7" s="25"/>
      <c r="E7" s="25"/>
      <c r="F7" s="25"/>
      <c r="G7" s="25"/>
      <c r="H7" s="27"/>
      <c r="K7" s="73" t="s">
        <v>76</v>
      </c>
      <c r="L7" s="71" t="s">
        <v>77</v>
      </c>
      <c r="M7" s="71" t="s">
        <v>76</v>
      </c>
      <c r="N7" s="71" t="s">
        <v>77</v>
      </c>
      <c r="O7" s="71" t="s">
        <v>76</v>
      </c>
      <c r="P7" s="71" t="s">
        <v>77</v>
      </c>
      <c r="Q7" s="71" t="s">
        <v>76</v>
      </c>
      <c r="R7" s="71" t="s">
        <v>77</v>
      </c>
      <c r="S7" s="71"/>
      <c r="T7" s="71"/>
      <c r="U7" s="71"/>
      <c r="V7" s="71"/>
      <c r="W7" s="73"/>
      <c r="X7" s="73"/>
      <c r="Y7" s="75"/>
      <c r="Z7" s="75"/>
      <c r="AA7" s="75"/>
      <c r="AB7" s="75"/>
      <c r="AC7" s="75"/>
      <c r="AD7" s="75"/>
      <c r="AE7" s="75"/>
      <c r="AF7" s="75"/>
      <c r="AG7" s="75"/>
      <c r="AH7" s="75"/>
      <c r="AI7" s="75"/>
      <c r="AJ7" s="75"/>
      <c r="AK7" s="75"/>
      <c r="AL7" s="75"/>
      <c r="AM7" s="75"/>
      <c r="AN7" s="75"/>
      <c r="AO7" s="75"/>
      <c r="AP7" s="75"/>
      <c r="AQ7" s="75"/>
      <c r="AR7" s="75"/>
      <c r="AS7" s="75"/>
      <c r="AT7" s="75"/>
      <c r="AU7" s="75"/>
      <c r="AV7" s="75"/>
      <c r="AW7" s="75"/>
      <c r="AX7" s="75"/>
      <c r="AY7" s="75"/>
      <c r="AZ7" s="75"/>
      <c r="BA7" s="75"/>
      <c r="BB7" s="75"/>
      <c r="BC7" s="75"/>
      <c r="BD7" s="75"/>
      <c r="BE7" s="75"/>
      <c r="BF7" s="75"/>
      <c r="BG7" s="75"/>
      <c r="BH7" s="75"/>
      <c r="BI7" s="75"/>
      <c r="BJ7" s="75"/>
      <c r="BK7" s="75"/>
      <c r="BL7" s="75"/>
      <c r="BM7" s="75"/>
      <c r="BN7" s="75"/>
      <c r="BO7" s="75"/>
      <c r="BP7" s="75"/>
      <c r="BQ7" s="75"/>
      <c r="BR7" s="75"/>
      <c r="BS7" s="75"/>
      <c r="BT7" s="75"/>
      <c r="BU7" s="75"/>
      <c r="BV7" s="75"/>
      <c r="BW7" s="75"/>
      <c r="BX7" s="75"/>
      <c r="BY7" s="75"/>
      <c r="BZ7" s="75"/>
      <c r="CA7" s="75"/>
      <c r="CB7" s="75"/>
      <c r="CC7" s="75"/>
      <c r="CD7" s="75"/>
      <c r="CE7" s="75"/>
      <c r="CF7" s="75"/>
      <c r="CG7" s="75"/>
      <c r="CH7" s="75"/>
      <c r="CI7" s="75"/>
      <c r="CJ7" s="75"/>
      <c r="CK7" s="75"/>
      <c r="CL7" s="75"/>
      <c r="CM7" s="75"/>
      <c r="CN7" s="75"/>
      <c r="CO7" s="75"/>
      <c r="CP7" s="75"/>
    </row>
    <row r="8" spans="2:94" x14ac:dyDescent="0.25">
      <c r="J8" s="75" t="s">
        <v>83</v>
      </c>
      <c r="K8" s="24">
        <v>5681.8</v>
      </c>
      <c r="L8" s="24">
        <v>5999.8986342310081</v>
      </c>
      <c r="M8" s="24">
        <v>5681.8</v>
      </c>
      <c r="N8" s="24">
        <v>6079.6141438016721</v>
      </c>
      <c r="O8" s="24">
        <v>5681.8</v>
      </c>
      <c r="P8" s="24">
        <v>6079.6141438016584</v>
      </c>
      <c r="Q8" s="24">
        <v>5681.8</v>
      </c>
      <c r="R8" s="24">
        <v>6079.614143801663</v>
      </c>
      <c r="S8" s="24"/>
      <c r="T8" s="24"/>
      <c r="U8" s="24"/>
      <c r="V8" s="24"/>
      <c r="W8" s="24"/>
      <c r="X8" s="24"/>
    </row>
    <row r="9" spans="2:94" x14ac:dyDescent="0.25">
      <c r="J9" s="75" t="s">
        <v>85</v>
      </c>
      <c r="K9" s="24">
        <v>4091</v>
      </c>
      <c r="L9" s="24">
        <v>4420.7567037405433</v>
      </c>
      <c r="M9" s="28">
        <v>4091</v>
      </c>
      <c r="N9" s="28">
        <v>4413.9894820423215</v>
      </c>
      <c r="O9" s="24">
        <v>4091</v>
      </c>
      <c r="P9" s="24">
        <v>4413.9894820423206</v>
      </c>
      <c r="Q9" s="24">
        <v>4091</v>
      </c>
      <c r="R9" s="24">
        <v>4413.9894820423206</v>
      </c>
      <c r="S9" s="24"/>
      <c r="T9" s="24"/>
      <c r="U9" s="24"/>
      <c r="V9" s="24"/>
      <c r="W9" s="24"/>
      <c r="X9" s="24"/>
    </row>
    <row r="10" spans="2:94" x14ac:dyDescent="0.25">
      <c r="J10" s="75" t="s">
        <v>87</v>
      </c>
      <c r="K10" s="24">
        <v>1590.8</v>
      </c>
      <c r="L10" s="24">
        <v>1579.1419304904646</v>
      </c>
      <c r="M10" s="24">
        <v>1590.8</v>
      </c>
      <c r="N10" s="24">
        <v>1665.6246617593506</v>
      </c>
      <c r="O10" s="24">
        <v>1590.8</v>
      </c>
      <c r="P10" s="24">
        <v>1665.6246617593379</v>
      </c>
      <c r="Q10" s="24">
        <v>1590.8</v>
      </c>
      <c r="R10" s="24">
        <v>1665.6246617593424</v>
      </c>
      <c r="S10" s="24"/>
      <c r="T10" s="24"/>
      <c r="U10" s="24"/>
      <c r="V10" s="24"/>
      <c r="W10" s="24"/>
      <c r="X10" s="24"/>
    </row>
    <row r="11" spans="2:94" x14ac:dyDescent="0.25">
      <c r="J11" s="75" t="s">
        <v>89</v>
      </c>
      <c r="K11" s="24">
        <v>5681.7999999999965</v>
      </c>
      <c r="L11" s="24">
        <v>5999.8986342310054</v>
      </c>
      <c r="M11" s="24">
        <v>5681.7999999999965</v>
      </c>
      <c r="N11" s="24">
        <v>6079.6141438016721</v>
      </c>
      <c r="O11" s="24">
        <v>5681.7999999999965</v>
      </c>
      <c r="P11" s="24">
        <v>6079.6141438016566</v>
      </c>
      <c r="Q11" s="24">
        <v>5681.7999999999965</v>
      </c>
      <c r="R11" s="24">
        <v>6079.6141438016612</v>
      </c>
      <c r="S11" s="24"/>
      <c r="T11" s="24"/>
      <c r="U11" s="24"/>
      <c r="V11" s="24"/>
      <c r="W11" s="24"/>
      <c r="X11" s="24"/>
    </row>
    <row r="12" spans="2:94" x14ac:dyDescent="0.25">
      <c r="J12" s="75" t="s">
        <v>91</v>
      </c>
      <c r="K12" s="24">
        <v>20.924391196949223</v>
      </c>
      <c r="L12" s="24">
        <v>22.424961100110256</v>
      </c>
      <c r="M12" s="24">
        <v>20.924391196949223</v>
      </c>
      <c r="N12" s="24">
        <v>23.055759156432426</v>
      </c>
      <c r="O12" s="24">
        <v>20.924391196949223</v>
      </c>
      <c r="P12" s="24">
        <v>23.055759156432376</v>
      </c>
      <c r="Q12" s="24">
        <v>20.924391196949223</v>
      </c>
      <c r="R12" s="24">
        <v>23.055759156432398</v>
      </c>
      <c r="S12" s="24"/>
      <c r="T12" s="24"/>
      <c r="U12" s="24"/>
      <c r="V12" s="24"/>
      <c r="W12" s="24"/>
      <c r="X12" s="24"/>
    </row>
    <row r="13" spans="2:94" x14ac:dyDescent="0.25">
      <c r="J13" s="75" t="s">
        <v>97</v>
      </c>
      <c r="K13" s="24">
        <v>2060.45631201584</v>
      </c>
      <c r="L13" s="24">
        <v>2144.4085354743279</v>
      </c>
      <c r="M13" s="24">
        <v>2060.45631201584</v>
      </c>
      <c r="N13" s="24">
        <v>2137.5208258293819</v>
      </c>
      <c r="O13" s="24">
        <v>2060.45631201584</v>
      </c>
      <c r="P13" s="24">
        <v>2137.5208258293806</v>
      </c>
      <c r="Q13" s="24">
        <v>2060.45631201584</v>
      </c>
      <c r="R13" s="24">
        <v>2137.520825829381</v>
      </c>
      <c r="S13" s="24"/>
      <c r="T13" s="24"/>
      <c r="U13" s="24"/>
      <c r="V13" s="24"/>
      <c r="W13" s="24"/>
      <c r="X13" s="24"/>
    </row>
    <row r="14" spans="2:94" x14ac:dyDescent="0.25">
      <c r="J14" s="75" t="s">
        <v>99</v>
      </c>
      <c r="K14" s="24">
        <v>229.096</v>
      </c>
      <c r="L14" s="24">
        <v>247.56237540947049</v>
      </c>
      <c r="M14" s="24">
        <v>229.096</v>
      </c>
      <c r="N14" s="24">
        <v>247.18341099437001</v>
      </c>
      <c r="O14" s="24">
        <v>229.096</v>
      </c>
      <c r="P14" s="24">
        <v>247.18341099436992</v>
      </c>
      <c r="Q14" s="24">
        <v>229.096</v>
      </c>
      <c r="R14" s="24">
        <v>247.18341099436992</v>
      </c>
      <c r="S14" s="24"/>
      <c r="T14" s="24"/>
      <c r="U14" s="24"/>
      <c r="V14" s="24"/>
      <c r="W14" s="24"/>
      <c r="X14" s="24"/>
    </row>
    <row r="15" spans="2:94" x14ac:dyDescent="0.25">
      <c r="J15" s="75" t="s">
        <v>122</v>
      </c>
      <c r="K15" s="24">
        <v>452.60089311595999</v>
      </c>
      <c r="L15" s="24">
        <v>489.08297051120456</v>
      </c>
      <c r="M15" s="24">
        <v>452.60089311595999</v>
      </c>
      <c r="N15" s="24">
        <v>488.33429033899012</v>
      </c>
      <c r="O15" s="24">
        <v>452.60089311595999</v>
      </c>
      <c r="P15" s="24">
        <v>488.33429033898994</v>
      </c>
      <c r="Q15" s="24">
        <v>452.60089311595999</v>
      </c>
      <c r="R15" s="24">
        <v>488.33429033898994</v>
      </c>
      <c r="S15" s="24"/>
      <c r="T15" s="24"/>
      <c r="U15" s="24"/>
      <c r="V15" s="24"/>
      <c r="W15" s="24"/>
      <c r="X15" s="24"/>
    </row>
    <row r="16" spans="2:94" x14ac:dyDescent="0.25">
      <c r="J16" s="75" t="s">
        <v>103</v>
      </c>
      <c r="K16" s="24">
        <v>5681.7999999999965</v>
      </c>
      <c r="L16" s="24">
        <v>5999.8986342310054</v>
      </c>
      <c r="M16" s="24">
        <v>5681.7999999999965</v>
      </c>
      <c r="N16" s="24">
        <v>6079.6141438016721</v>
      </c>
      <c r="O16" s="24">
        <v>5681.7999999999965</v>
      </c>
      <c r="P16" s="24">
        <v>6079.6141438016566</v>
      </c>
      <c r="Q16" s="24">
        <v>5681.7999999999965</v>
      </c>
      <c r="R16" s="24">
        <v>6079.6141438016612</v>
      </c>
      <c r="S16" s="24"/>
      <c r="T16" s="24"/>
      <c r="U16" s="24"/>
      <c r="V16" s="24"/>
      <c r="W16" s="24"/>
      <c r="X16" s="24"/>
    </row>
    <row r="17" spans="10:24" x14ac:dyDescent="0.25">
      <c r="J17" s="75" t="s">
        <v>105</v>
      </c>
      <c r="K17" s="24">
        <v>31.132180649586914</v>
      </c>
      <c r="L17" s="24">
        <v>33.364791044930399</v>
      </c>
      <c r="M17" s="24">
        <v>31.132180649586914</v>
      </c>
      <c r="N17" s="24">
        <v>34.303318663630883</v>
      </c>
      <c r="O17" s="24">
        <v>31.132180649586914</v>
      </c>
      <c r="P17" s="24">
        <v>34.303318663630812</v>
      </c>
      <c r="Q17" s="24">
        <v>31.132180649586914</v>
      </c>
      <c r="R17" s="24">
        <v>34.30331866363084</v>
      </c>
      <c r="S17" s="24"/>
      <c r="T17" s="24"/>
      <c r="U17" s="24"/>
      <c r="V17" s="24"/>
      <c r="W17" s="24"/>
      <c r="X17" s="24"/>
    </row>
    <row r="18" spans="10:24" x14ac:dyDescent="0.25">
      <c r="J18" s="75" t="s">
        <v>107</v>
      </c>
      <c r="K18" s="24">
        <v>2939.6467948681998</v>
      </c>
      <c r="L18" s="24">
        <v>3118.8447528360102</v>
      </c>
      <c r="M18" s="24">
        <v>2939.6467948681998</v>
      </c>
      <c r="N18" s="24">
        <v>3206.5756166389306</v>
      </c>
      <c r="O18" s="24">
        <v>2939.6467948681998</v>
      </c>
      <c r="P18" s="24">
        <v>3206.5756166389233</v>
      </c>
      <c r="Q18" s="24">
        <v>2939.6467948681998</v>
      </c>
      <c r="R18" s="24">
        <v>3206.5756166389265</v>
      </c>
      <c r="S18" s="24"/>
      <c r="T18" s="24"/>
      <c r="U18" s="24"/>
      <c r="V18" s="24"/>
      <c r="W18" s="24"/>
      <c r="X18" s="24"/>
    </row>
    <row r="19" spans="10:24" x14ac:dyDescent="0.25">
      <c r="J19" s="75" t="s">
        <v>109</v>
      </c>
      <c r="K19" s="20">
        <v>4525.8209148719707</v>
      </c>
      <c r="L19" s="20">
        <v>4822.90999812876</v>
      </c>
      <c r="M19" s="20">
        <v>4525.8209148719707</v>
      </c>
      <c r="N19" s="20">
        <v>4912.1996838442928</v>
      </c>
      <c r="O19" s="20">
        <v>4302.1540530328011</v>
      </c>
      <c r="P19" s="20">
        <v>4438.6734764533294</v>
      </c>
      <c r="Q19" s="20">
        <v>4525.8209148719707</v>
      </c>
      <c r="R19" s="20">
        <v>4912.1996838442819</v>
      </c>
    </row>
  </sheetData>
  <phoneticPr fontId="14" type="noConversion"/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J3:CP17"/>
  <sheetViews>
    <sheetView topLeftCell="J1" zoomScale="96" zoomScaleNormal="96" workbookViewId="0">
      <pane xSplit="1" ySplit="7" topLeftCell="K8" activePane="bottomRight" state="frozen"/>
      <selection pane="topRight"/>
      <selection pane="bottomLeft"/>
      <selection pane="bottomRight" activeCell="N10" sqref="N10"/>
    </sheetView>
  </sheetViews>
  <sheetFormatPr defaultColWidth="9" defaultRowHeight="15" x14ac:dyDescent="0.25"/>
  <cols>
    <col min="1" max="9" width="9" style="20"/>
    <col min="10" max="10" width="42.375" style="20" customWidth="1"/>
    <col min="11" max="12" width="14.125" style="20"/>
    <col min="13" max="13" width="16.875" style="20"/>
    <col min="14" max="24" width="14.125" style="20"/>
    <col min="25" max="30" width="9" style="20"/>
    <col min="31" max="31" width="9.125" style="20"/>
    <col min="32" max="16384" width="9" style="20"/>
  </cols>
  <sheetData>
    <row r="3" spans="10:94" x14ac:dyDescent="0.25">
      <c r="M3" s="21">
        <f>M10/L10-1</f>
        <v>-0.29318866189767057</v>
      </c>
    </row>
    <row r="4" spans="10:94" x14ac:dyDescent="0.25">
      <c r="M4" s="21">
        <f>M13/L13-1</f>
        <v>-8.7178532015175003E-2</v>
      </c>
    </row>
    <row r="5" spans="10:94" x14ac:dyDescent="0.25">
      <c r="L5" s="22">
        <f>L9/L8</f>
        <v>0.95763171884074028</v>
      </c>
      <c r="M5" s="21">
        <f>M9/L9-1</f>
        <v>-3.9726144095143523E-2</v>
      </c>
    </row>
    <row r="6" spans="10:94" x14ac:dyDescent="0.25">
      <c r="K6" s="73" t="s">
        <v>73</v>
      </c>
      <c r="L6" s="73" t="s">
        <v>73</v>
      </c>
      <c r="M6" s="73" t="s">
        <v>315</v>
      </c>
      <c r="N6" s="73" t="s">
        <v>315</v>
      </c>
      <c r="O6" s="73" t="s">
        <v>316</v>
      </c>
      <c r="P6" s="73" t="s">
        <v>316</v>
      </c>
      <c r="Q6" s="73" t="s">
        <v>317</v>
      </c>
      <c r="R6" s="73" t="s">
        <v>317</v>
      </c>
      <c r="S6" s="73"/>
      <c r="T6" s="73"/>
      <c r="U6" s="73"/>
      <c r="V6" s="73"/>
      <c r="W6" s="73"/>
      <c r="X6" s="73"/>
      <c r="Y6" s="75"/>
      <c r="Z6" s="75"/>
      <c r="AA6" s="75"/>
      <c r="AB6" s="75"/>
      <c r="AC6" s="75"/>
      <c r="AD6" s="75"/>
      <c r="AE6" s="75"/>
      <c r="AF6" s="75"/>
      <c r="AG6" s="75"/>
      <c r="AH6" s="75"/>
      <c r="AI6" s="75"/>
      <c r="AJ6" s="75"/>
      <c r="AK6" s="75"/>
      <c r="AL6" s="75"/>
      <c r="AM6" s="75"/>
      <c r="AN6" s="75"/>
      <c r="AO6" s="75"/>
      <c r="AP6" s="75"/>
      <c r="AQ6" s="75"/>
      <c r="AR6" s="75"/>
      <c r="AS6" s="75"/>
      <c r="AT6" s="75"/>
      <c r="AU6" s="75"/>
      <c r="AV6" s="75"/>
      <c r="AW6" s="75"/>
      <c r="AX6" s="75"/>
      <c r="AY6" s="75"/>
      <c r="AZ6" s="75"/>
      <c r="BA6" s="75"/>
      <c r="BB6" s="75"/>
      <c r="BC6" s="75"/>
      <c r="BD6" s="75"/>
      <c r="BE6" s="75"/>
      <c r="BF6" s="75"/>
      <c r="BG6" s="75"/>
      <c r="BH6" s="75"/>
      <c r="BI6" s="75"/>
      <c r="BJ6" s="75"/>
      <c r="BK6" s="75"/>
      <c r="BL6" s="75"/>
      <c r="BM6" s="75"/>
      <c r="BN6" s="75"/>
      <c r="BO6" s="75"/>
      <c r="BP6" s="75"/>
      <c r="BQ6" s="75"/>
      <c r="BR6" s="75"/>
      <c r="BS6" s="75"/>
      <c r="BT6" s="75"/>
      <c r="BU6" s="75"/>
      <c r="BV6" s="75"/>
      <c r="BW6" s="75"/>
      <c r="BX6" s="75"/>
      <c r="BY6" s="75"/>
      <c r="BZ6" s="75"/>
      <c r="CA6" s="75"/>
      <c r="CB6" s="75"/>
      <c r="CC6" s="75"/>
      <c r="CD6" s="75"/>
      <c r="CE6" s="75"/>
      <c r="CF6" s="75"/>
      <c r="CG6" s="75"/>
      <c r="CH6" s="75"/>
      <c r="CI6" s="75"/>
      <c r="CJ6" s="75"/>
      <c r="CK6" s="75"/>
      <c r="CL6" s="75"/>
      <c r="CM6" s="75"/>
      <c r="CN6" s="75"/>
      <c r="CO6" s="75"/>
      <c r="CP6" s="75"/>
    </row>
    <row r="7" spans="10:94" x14ac:dyDescent="0.25">
      <c r="K7" s="73" t="s">
        <v>76</v>
      </c>
      <c r="L7" s="73" t="s">
        <v>77</v>
      </c>
      <c r="M7" s="73" t="s">
        <v>76</v>
      </c>
      <c r="N7" s="73" t="s">
        <v>77</v>
      </c>
      <c r="O7" s="73" t="s">
        <v>76</v>
      </c>
      <c r="P7" s="73" t="s">
        <v>77</v>
      </c>
      <c r="Q7" s="73" t="s">
        <v>76</v>
      </c>
      <c r="R7" s="73" t="s">
        <v>77</v>
      </c>
      <c r="S7" s="73"/>
      <c r="T7" s="73"/>
      <c r="U7" s="73"/>
      <c r="V7" s="73"/>
      <c r="W7" s="73"/>
      <c r="X7" s="73"/>
      <c r="Y7" s="75"/>
      <c r="Z7" s="75"/>
      <c r="AA7" s="75"/>
      <c r="AB7" s="75"/>
      <c r="AC7" s="75"/>
      <c r="AD7" s="75"/>
      <c r="AE7" s="75"/>
      <c r="AF7" s="75"/>
      <c r="AG7" s="75"/>
      <c r="AH7" s="75"/>
      <c r="AI7" s="75"/>
      <c r="AJ7" s="75"/>
      <c r="AK7" s="75"/>
      <c r="AL7" s="75"/>
      <c r="AM7" s="75"/>
      <c r="AN7" s="75"/>
      <c r="AO7" s="75"/>
      <c r="AP7" s="75"/>
      <c r="AQ7" s="75"/>
      <c r="AR7" s="75"/>
      <c r="AS7" s="75"/>
      <c r="AT7" s="75"/>
      <c r="AU7" s="75"/>
      <c r="AV7" s="75"/>
      <c r="AW7" s="75"/>
      <c r="AX7" s="75"/>
      <c r="AY7" s="75"/>
      <c r="AZ7" s="75"/>
      <c r="BA7" s="75"/>
      <c r="BB7" s="75"/>
      <c r="BC7" s="75"/>
      <c r="BD7" s="75"/>
      <c r="BE7" s="75"/>
      <c r="BF7" s="75"/>
      <c r="BG7" s="75"/>
      <c r="BH7" s="75"/>
      <c r="BI7" s="75"/>
      <c r="BJ7" s="75"/>
      <c r="BK7" s="75"/>
      <c r="BL7" s="75"/>
      <c r="BM7" s="75"/>
      <c r="BN7" s="75"/>
      <c r="BO7" s="75"/>
      <c r="BP7" s="75"/>
      <c r="BQ7" s="75"/>
      <c r="BR7" s="75"/>
      <c r="BS7" s="75"/>
      <c r="BT7" s="75"/>
      <c r="BU7" s="75"/>
      <c r="BV7" s="75"/>
      <c r="BW7" s="75"/>
      <c r="BX7" s="75"/>
      <c r="BY7" s="75"/>
      <c r="BZ7" s="75"/>
      <c r="CA7" s="75"/>
      <c r="CB7" s="75"/>
      <c r="CC7" s="75"/>
      <c r="CD7" s="75"/>
      <c r="CE7" s="75"/>
      <c r="CF7" s="75"/>
      <c r="CG7" s="75"/>
      <c r="CH7" s="75"/>
      <c r="CI7" s="75"/>
      <c r="CJ7" s="75"/>
      <c r="CK7" s="75"/>
      <c r="CL7" s="75"/>
      <c r="CM7" s="75"/>
      <c r="CN7" s="75"/>
      <c r="CO7" s="75"/>
      <c r="CP7" s="75"/>
    </row>
    <row r="8" spans="10:94" x14ac:dyDescent="0.25">
      <c r="J8" s="75" t="s">
        <v>83</v>
      </c>
      <c r="K8" s="24">
        <v>7906.35</v>
      </c>
      <c r="L8" s="24">
        <v>8326.5485683491115</v>
      </c>
      <c r="M8" s="24">
        <v>7906.35</v>
      </c>
      <c r="N8" s="24">
        <v>8334.222347206327</v>
      </c>
      <c r="O8" s="24">
        <v>7906.35</v>
      </c>
      <c r="P8" s="24">
        <v>8334.2223472063215</v>
      </c>
      <c r="Q8" s="24">
        <v>7906.35</v>
      </c>
      <c r="R8" s="24">
        <v>8334.2223472063197</v>
      </c>
      <c r="S8" s="24"/>
      <c r="T8" s="24"/>
      <c r="U8" s="24"/>
      <c r="V8" s="24"/>
      <c r="W8" s="24"/>
      <c r="X8" s="24"/>
    </row>
    <row r="9" spans="10:94" x14ac:dyDescent="0.25">
      <c r="J9" s="75" t="s">
        <v>85</v>
      </c>
      <c r="K9" s="24">
        <v>7657</v>
      </c>
      <c r="L9" s="24">
        <v>7973.7670175190651</v>
      </c>
      <c r="M9" s="24">
        <v>7657</v>
      </c>
      <c r="N9" s="24">
        <v>7961.5609060332363</v>
      </c>
      <c r="O9" s="24">
        <v>7657</v>
      </c>
      <c r="P9" s="24">
        <v>7961.5609060332381</v>
      </c>
      <c r="Q9" s="24">
        <v>7657</v>
      </c>
      <c r="R9" s="24">
        <v>7961.5609060332345</v>
      </c>
      <c r="S9" s="24"/>
      <c r="T9" s="24"/>
      <c r="U9" s="24"/>
      <c r="V9" s="24"/>
      <c r="W9" s="24"/>
      <c r="X9" s="24"/>
    </row>
    <row r="10" spans="10:94" x14ac:dyDescent="0.25">
      <c r="J10" s="75" t="s">
        <v>87</v>
      </c>
      <c r="K10" s="24">
        <v>249.35000000000002</v>
      </c>
      <c r="L10" s="24">
        <v>352.7815508300464</v>
      </c>
      <c r="M10" s="24">
        <v>249.35000000000002</v>
      </c>
      <c r="N10" s="24">
        <v>372.66144117309068</v>
      </c>
      <c r="O10" s="24">
        <v>249.35000000000002</v>
      </c>
      <c r="P10" s="24">
        <v>372.66144117308289</v>
      </c>
      <c r="Q10" s="24">
        <v>249.35000000000002</v>
      </c>
      <c r="R10" s="24">
        <v>372.66144117308573</v>
      </c>
      <c r="S10" s="24"/>
      <c r="T10" s="24"/>
      <c r="U10" s="24"/>
      <c r="V10" s="24"/>
      <c r="W10" s="24"/>
      <c r="X10" s="24"/>
    </row>
    <row r="11" spans="10:94" x14ac:dyDescent="0.25">
      <c r="J11" s="75" t="s">
        <v>89</v>
      </c>
      <c r="K11" s="24">
        <v>7906.35</v>
      </c>
      <c r="L11" s="24">
        <v>8326.5485683491133</v>
      </c>
      <c r="M11" s="24">
        <v>7906.35</v>
      </c>
      <c r="N11" s="24">
        <v>8334.222347206327</v>
      </c>
      <c r="O11" s="24">
        <v>7906.35</v>
      </c>
      <c r="P11" s="24">
        <v>8334.2223472063215</v>
      </c>
      <c r="Q11" s="24">
        <v>7906.35</v>
      </c>
      <c r="R11" s="24">
        <v>8334.2223472063215</v>
      </c>
      <c r="S11" s="24"/>
      <c r="T11" s="24"/>
      <c r="U11" s="24"/>
      <c r="V11" s="24"/>
      <c r="W11" s="24"/>
      <c r="X11" s="24"/>
    </row>
    <row r="12" spans="10:94" x14ac:dyDescent="0.25">
      <c r="J12" s="75" t="s">
        <v>91</v>
      </c>
      <c r="K12" s="24">
        <v>25.476850144851198</v>
      </c>
      <c r="L12" s="24">
        <v>26.423118960191697</v>
      </c>
      <c r="M12" s="24">
        <v>25.476850144851198</v>
      </c>
      <c r="N12" s="24">
        <v>26.565084365958729</v>
      </c>
      <c r="O12" s="24">
        <v>25.476850144851198</v>
      </c>
      <c r="P12" s="24">
        <v>26.565084365958725</v>
      </c>
      <c r="Q12" s="24">
        <v>25.476850144851198</v>
      </c>
      <c r="R12" s="24">
        <v>26.565084365958715</v>
      </c>
      <c r="S12" s="24"/>
      <c r="T12" s="24"/>
      <c r="U12" s="24"/>
      <c r="V12" s="24"/>
      <c r="W12" s="24"/>
      <c r="X12" s="24"/>
    </row>
    <row r="13" spans="10:94" x14ac:dyDescent="0.25">
      <c r="J13" s="75" t="s">
        <v>97</v>
      </c>
      <c r="K13" s="24">
        <v>2687.7098500000002</v>
      </c>
      <c r="L13" s="24">
        <v>2944.3981591860211</v>
      </c>
      <c r="M13" s="24">
        <v>2687.7098500000002</v>
      </c>
      <c r="N13" s="24">
        <v>2934.9409315803182</v>
      </c>
      <c r="O13" s="24">
        <v>2687.7098500000002</v>
      </c>
      <c r="P13" s="24">
        <v>2934.9409315803173</v>
      </c>
      <c r="Q13" s="24">
        <v>2687.7098500000002</v>
      </c>
      <c r="R13" s="24">
        <v>2934.9409315803182</v>
      </c>
      <c r="S13" s="24"/>
      <c r="T13" s="24"/>
      <c r="U13" s="24"/>
      <c r="V13" s="24"/>
      <c r="W13" s="24"/>
      <c r="X13" s="24"/>
    </row>
    <row r="14" spans="10:94" x14ac:dyDescent="0.25">
      <c r="J14" s="75" t="s">
        <v>99</v>
      </c>
      <c r="K14" s="24">
        <v>1639.4229499999999</v>
      </c>
      <c r="L14" s="24">
        <v>1707.2452195995568</v>
      </c>
      <c r="M14" s="24">
        <v>1639.4229499999999</v>
      </c>
      <c r="N14" s="24">
        <v>1704.6317966793367</v>
      </c>
      <c r="O14" s="24">
        <v>1639.4229499999999</v>
      </c>
      <c r="P14" s="24">
        <v>1704.631796679337</v>
      </c>
      <c r="Q14" s="24">
        <v>1639.4229499999999</v>
      </c>
      <c r="R14" s="24">
        <v>1704.6317966793358</v>
      </c>
      <c r="S14" s="24"/>
      <c r="T14" s="24"/>
      <c r="U14" s="24"/>
      <c r="V14" s="24"/>
      <c r="W14" s="24"/>
      <c r="X14" s="24"/>
    </row>
    <row r="15" spans="10:94" x14ac:dyDescent="0.25">
      <c r="J15" s="75" t="s">
        <v>103</v>
      </c>
      <c r="K15" s="24">
        <v>7906.35</v>
      </c>
      <c r="L15" s="24">
        <v>8326.5485683491133</v>
      </c>
      <c r="M15" s="24">
        <v>7906.35</v>
      </c>
      <c r="N15" s="24">
        <v>8334.222347206327</v>
      </c>
      <c r="O15" s="24">
        <v>7906.35</v>
      </c>
      <c r="P15" s="24">
        <v>8334.2223472063215</v>
      </c>
      <c r="Q15" s="24">
        <v>7906.35</v>
      </c>
      <c r="R15" s="24">
        <v>8334.2223472063215</v>
      </c>
      <c r="S15" s="24"/>
      <c r="T15" s="24"/>
      <c r="U15" s="24"/>
      <c r="V15" s="24"/>
      <c r="W15" s="24"/>
      <c r="X15" s="24"/>
    </row>
    <row r="16" spans="10:94" x14ac:dyDescent="0.25">
      <c r="J16" s="75" t="s">
        <v>105</v>
      </c>
      <c r="K16" s="24">
        <v>53.381657300295302</v>
      </c>
      <c r="L16" s="24">
        <v>55.364374839051621</v>
      </c>
      <c r="M16" s="24">
        <v>53.381657300295302</v>
      </c>
      <c r="N16" s="24">
        <v>55.661835027264274</v>
      </c>
      <c r="O16" s="24">
        <v>53.381657300295302</v>
      </c>
      <c r="P16" s="24">
        <v>55.661835027264274</v>
      </c>
      <c r="Q16" s="24">
        <v>53.381657300295302</v>
      </c>
      <c r="R16" s="24">
        <v>55.661835027264239</v>
      </c>
      <c r="S16" s="24"/>
      <c r="T16" s="24"/>
      <c r="U16" s="24"/>
      <c r="V16" s="24"/>
      <c r="W16" s="24"/>
      <c r="X16" s="24"/>
    </row>
    <row r="17" spans="10:24" x14ac:dyDescent="0.25">
      <c r="J17" s="75" t="s">
        <v>107</v>
      </c>
      <c r="K17" s="24">
        <v>3579.2172</v>
      </c>
      <c r="L17" s="24">
        <v>3674.9051895635348</v>
      </c>
      <c r="M17" s="24">
        <v>3579.2172</v>
      </c>
      <c r="N17" s="24">
        <v>3694.6496189466725</v>
      </c>
      <c r="O17" s="24">
        <v>3579.2172</v>
      </c>
      <c r="P17" s="24">
        <v>3694.649618946672</v>
      </c>
      <c r="Q17" s="24">
        <v>3579.2172</v>
      </c>
      <c r="R17" s="24">
        <v>3694.6496189466707</v>
      </c>
      <c r="S17" s="24"/>
      <c r="T17" s="24"/>
      <c r="U17" s="24"/>
      <c r="V17" s="24"/>
      <c r="W17" s="24"/>
      <c r="X17" s="24"/>
    </row>
  </sheetData>
  <phoneticPr fontId="14" type="noConversion"/>
  <pageMargins left="0.7" right="0.7" top="0.75" bottom="0.75" header="0.3" footer="0.3"/>
  <pageSetup paperSize="9" orientation="portrait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J6:CP36"/>
  <sheetViews>
    <sheetView workbookViewId="0">
      <selection activeCell="J6" sqref="J6:L36"/>
    </sheetView>
  </sheetViews>
  <sheetFormatPr defaultColWidth="9" defaultRowHeight="13.5" x14ac:dyDescent="0.15"/>
  <sheetData>
    <row r="6" spans="10:94" x14ac:dyDescent="0.15">
      <c r="K6" s="67" t="s">
        <v>73</v>
      </c>
      <c r="L6" s="67" t="s">
        <v>73</v>
      </c>
      <c r="M6" s="67" t="s">
        <v>315</v>
      </c>
      <c r="N6" s="67" t="s">
        <v>315</v>
      </c>
      <c r="O6" s="67" t="s">
        <v>316</v>
      </c>
      <c r="P6" s="67" t="s">
        <v>316</v>
      </c>
      <c r="Q6" s="67" t="s">
        <v>317</v>
      </c>
      <c r="R6" s="67" t="s">
        <v>317</v>
      </c>
      <c r="S6" s="67"/>
      <c r="T6" s="67"/>
      <c r="U6" s="67"/>
      <c r="V6" s="67"/>
      <c r="W6" s="67"/>
      <c r="X6" s="67"/>
      <c r="Y6" s="67"/>
      <c r="Z6" s="67"/>
      <c r="AA6" s="67"/>
      <c r="AB6" s="67"/>
      <c r="AC6" s="67"/>
      <c r="AD6" s="67"/>
      <c r="AE6" s="67"/>
      <c r="AF6" s="67"/>
      <c r="AG6" s="67"/>
      <c r="AH6" s="67"/>
      <c r="AI6" s="67"/>
      <c r="AJ6" s="67"/>
      <c r="AK6" s="67"/>
      <c r="AL6" s="67"/>
      <c r="AM6" s="67"/>
      <c r="AN6" s="67"/>
      <c r="AO6" s="67"/>
      <c r="AP6" s="67"/>
      <c r="AQ6" s="67"/>
      <c r="AR6" s="67"/>
      <c r="AS6" s="67"/>
      <c r="AT6" s="67"/>
      <c r="AU6" s="67"/>
      <c r="AV6" s="67"/>
      <c r="AW6" s="67"/>
      <c r="AX6" s="67"/>
      <c r="AY6" s="67"/>
      <c r="AZ6" s="67"/>
      <c r="BA6" s="67"/>
      <c r="BB6" s="67"/>
      <c r="BC6" s="67"/>
      <c r="BD6" s="67"/>
      <c r="BE6" s="67"/>
      <c r="BF6" s="67"/>
      <c r="BG6" s="67"/>
      <c r="BH6" s="67"/>
      <c r="BI6" s="67"/>
      <c r="BJ6" s="67"/>
      <c r="BK6" s="67"/>
      <c r="BL6" s="67"/>
      <c r="BM6" s="67"/>
      <c r="BN6" s="67"/>
      <c r="BO6" s="67"/>
      <c r="BP6" s="67"/>
      <c r="BQ6" s="67"/>
      <c r="BR6" s="67"/>
      <c r="BS6" s="67"/>
      <c r="BT6" s="67"/>
      <c r="BU6" s="67"/>
      <c r="BV6" s="67"/>
      <c r="BW6" s="67"/>
      <c r="BX6" s="67"/>
      <c r="BY6" s="67"/>
      <c r="BZ6" s="67"/>
      <c r="CA6" s="67"/>
      <c r="CB6" s="67"/>
      <c r="CC6" s="67"/>
      <c r="CD6" s="67"/>
      <c r="CE6" s="67"/>
      <c r="CF6" s="67"/>
      <c r="CG6" s="67"/>
      <c r="CH6" s="67"/>
      <c r="CI6" s="67"/>
      <c r="CJ6" s="67"/>
      <c r="CK6" s="67"/>
      <c r="CL6" s="67"/>
      <c r="CM6" s="67"/>
      <c r="CN6" s="67"/>
      <c r="CO6" s="67"/>
      <c r="CP6" s="67"/>
    </row>
    <row r="7" spans="10:94" x14ac:dyDescent="0.15">
      <c r="K7" s="67" t="s">
        <v>76</v>
      </c>
      <c r="L7" s="67" t="s">
        <v>77</v>
      </c>
      <c r="M7" s="67" t="s">
        <v>76</v>
      </c>
      <c r="N7" s="67" t="s">
        <v>77</v>
      </c>
      <c r="O7" s="67" t="s">
        <v>76</v>
      </c>
      <c r="P7" s="67" t="s">
        <v>77</v>
      </c>
      <c r="Q7" s="67" t="s">
        <v>76</v>
      </c>
      <c r="R7" s="67" t="s">
        <v>77</v>
      </c>
      <c r="S7" s="67"/>
      <c r="T7" s="67"/>
      <c r="U7" s="67"/>
      <c r="V7" s="67"/>
      <c r="W7" s="67"/>
      <c r="X7" s="67"/>
      <c r="Y7" s="67"/>
      <c r="Z7" s="67"/>
      <c r="AA7" s="67"/>
      <c r="AB7" s="67"/>
      <c r="AC7" s="67"/>
      <c r="AD7" s="67"/>
      <c r="AE7" s="67"/>
      <c r="AF7" s="67"/>
      <c r="AG7" s="67"/>
      <c r="AH7" s="67"/>
      <c r="AI7" s="67"/>
      <c r="AJ7" s="67"/>
      <c r="AK7" s="67"/>
      <c r="AL7" s="67"/>
      <c r="AM7" s="67"/>
      <c r="AN7" s="67"/>
      <c r="AO7" s="67"/>
      <c r="AP7" s="67"/>
      <c r="AQ7" s="67"/>
      <c r="AR7" s="67"/>
      <c r="AS7" s="67"/>
      <c r="AT7" s="67"/>
      <c r="AU7" s="67"/>
      <c r="AV7" s="67"/>
      <c r="AW7" s="67"/>
      <c r="AX7" s="67"/>
      <c r="AY7" s="67"/>
      <c r="AZ7" s="67"/>
      <c r="BA7" s="67"/>
      <c r="BB7" s="67"/>
      <c r="BC7" s="67"/>
      <c r="BD7" s="67"/>
      <c r="BE7" s="67"/>
      <c r="BF7" s="67"/>
      <c r="BG7" s="67"/>
      <c r="BH7" s="67"/>
      <c r="BI7" s="67"/>
      <c r="BJ7" s="67"/>
      <c r="BK7" s="67"/>
      <c r="BL7" s="67"/>
      <c r="BM7" s="67"/>
      <c r="BN7" s="67"/>
      <c r="BO7" s="67"/>
      <c r="BP7" s="67"/>
      <c r="BQ7" s="67"/>
      <c r="BR7" s="67"/>
      <c r="BS7" s="67"/>
      <c r="BT7" s="67"/>
      <c r="BU7" s="67"/>
      <c r="BV7" s="67"/>
      <c r="BW7" s="67"/>
      <c r="BX7" s="67"/>
      <c r="BY7" s="67"/>
      <c r="BZ7" s="67"/>
      <c r="CA7" s="67"/>
      <c r="CB7" s="67"/>
      <c r="CC7" s="67"/>
      <c r="CD7" s="67"/>
      <c r="CE7" s="67"/>
      <c r="CF7" s="67"/>
      <c r="CG7" s="67"/>
      <c r="CH7" s="67"/>
      <c r="CI7" s="67"/>
      <c r="CJ7" s="67"/>
      <c r="CK7" s="67"/>
      <c r="CL7" s="67"/>
      <c r="CM7" s="67"/>
      <c r="CN7" s="67"/>
      <c r="CO7" s="67"/>
      <c r="CP7" s="67"/>
    </row>
    <row r="8" spans="10:94" x14ac:dyDescent="0.15">
      <c r="J8" s="67" t="s">
        <v>237</v>
      </c>
      <c r="K8">
        <v>21106.959999999999</v>
      </c>
      <c r="L8">
        <v>21382.955550256174</v>
      </c>
      <c r="M8">
        <v>21106.959999999999</v>
      </c>
      <c r="N8">
        <v>21486.077778692954</v>
      </c>
      <c r="O8">
        <v>21106.959999999999</v>
      </c>
      <c r="P8">
        <v>21765.198315669553</v>
      </c>
      <c r="Q8">
        <v>21106.959999999999</v>
      </c>
      <c r="R8">
        <v>21275.517948766032</v>
      </c>
    </row>
    <row r="9" spans="10:94" x14ac:dyDescent="0.15">
      <c r="J9" s="67" t="s">
        <v>238</v>
      </c>
      <c r="K9">
        <v>14391.92</v>
      </c>
      <c r="L9">
        <v>14271.073390942303</v>
      </c>
      <c r="M9">
        <v>14391.92</v>
      </c>
      <c r="N9">
        <v>14362.18973292191</v>
      </c>
      <c r="O9">
        <v>14391.92</v>
      </c>
      <c r="P9">
        <v>14548.422415526275</v>
      </c>
      <c r="Q9">
        <v>14391.92</v>
      </c>
      <c r="R9">
        <v>14221.700994737343</v>
      </c>
    </row>
    <row r="10" spans="10:94" x14ac:dyDescent="0.15">
      <c r="J10" s="67" t="s">
        <v>239</v>
      </c>
      <c r="K10">
        <v>30387.81</v>
      </c>
      <c r="L10">
        <v>31392.089343439889</v>
      </c>
      <c r="M10">
        <v>30387.81</v>
      </c>
      <c r="N10">
        <v>31452.87082536846</v>
      </c>
      <c r="O10">
        <v>30387.81</v>
      </c>
      <c r="P10">
        <v>31859.40839321231</v>
      </c>
      <c r="Q10">
        <v>30387.81</v>
      </c>
      <c r="R10">
        <v>31346.255459902542</v>
      </c>
    </row>
    <row r="11" spans="10:94" x14ac:dyDescent="0.15">
      <c r="J11" s="67" t="s">
        <v>240</v>
      </c>
      <c r="K11">
        <v>9849.34</v>
      </c>
      <c r="L11">
        <v>9927.2328696004897</v>
      </c>
      <c r="M11">
        <v>9849.34</v>
      </c>
      <c r="N11">
        <v>9991.3127702069742</v>
      </c>
      <c r="O11">
        <v>9849.34</v>
      </c>
      <c r="P11">
        <v>9991.3127702069687</v>
      </c>
      <c r="Q11">
        <v>9849.34</v>
      </c>
      <c r="R11">
        <v>9991.3127702069669</v>
      </c>
    </row>
    <row r="12" spans="10:94" x14ac:dyDescent="0.15">
      <c r="J12" s="67" t="s">
        <v>241</v>
      </c>
      <c r="K12">
        <v>774.13295199999993</v>
      </c>
      <c r="L12">
        <v>776.71927675409313</v>
      </c>
      <c r="M12">
        <v>774.13295199999993</v>
      </c>
      <c r="N12">
        <v>774.82639675311975</v>
      </c>
      <c r="O12">
        <v>774.13295199999993</v>
      </c>
      <c r="P12">
        <v>775.49155729566655</v>
      </c>
      <c r="Q12">
        <v>774.13295199999993</v>
      </c>
      <c r="R12">
        <v>774.32481041429583</v>
      </c>
    </row>
    <row r="13" spans="10:94" x14ac:dyDescent="0.15">
      <c r="J13" s="67" t="s">
        <v>242</v>
      </c>
      <c r="K13">
        <v>1280</v>
      </c>
      <c r="L13">
        <v>1305.2695267961401</v>
      </c>
      <c r="M13">
        <v>1280</v>
      </c>
      <c r="N13">
        <v>1302.2317991487919</v>
      </c>
      <c r="O13">
        <v>1280</v>
      </c>
      <c r="P13">
        <v>1302.4434542895456</v>
      </c>
      <c r="Q13">
        <v>1280</v>
      </c>
      <c r="R13">
        <v>1302.0724843316254</v>
      </c>
    </row>
    <row r="14" spans="10:94" x14ac:dyDescent="0.15">
      <c r="J14" s="67" t="s">
        <v>243</v>
      </c>
      <c r="K14">
        <v>13267.199999999999</v>
      </c>
      <c r="L14">
        <v>12795.130813053824</v>
      </c>
      <c r="M14">
        <v>13267.199999999999</v>
      </c>
      <c r="N14">
        <v>12776.561623567351</v>
      </c>
      <c r="O14">
        <v>13267.199999999999</v>
      </c>
      <c r="P14">
        <v>12776.561623567319</v>
      </c>
      <c r="Q14">
        <v>13267.199999999999</v>
      </c>
      <c r="R14">
        <v>12776.561623567321</v>
      </c>
    </row>
    <row r="15" spans="10:94" x14ac:dyDescent="0.15">
      <c r="J15" s="67" t="s">
        <v>244</v>
      </c>
      <c r="K15">
        <v>1871</v>
      </c>
      <c r="L15">
        <v>1898.2203465284226</v>
      </c>
      <c r="M15">
        <v>1871</v>
      </c>
      <c r="N15">
        <v>1910.973861187573</v>
      </c>
      <c r="O15">
        <v>1871</v>
      </c>
      <c r="P15">
        <v>1910.9738611875707</v>
      </c>
      <c r="Q15">
        <v>1871</v>
      </c>
      <c r="R15">
        <v>1910.9738611875714</v>
      </c>
    </row>
    <row r="16" spans="10:94" x14ac:dyDescent="0.15">
      <c r="J16" s="67" t="s">
        <v>245</v>
      </c>
      <c r="K16">
        <v>8100</v>
      </c>
      <c r="L16">
        <v>8134.908253633188</v>
      </c>
      <c r="M16">
        <v>8100</v>
      </c>
      <c r="N16">
        <v>8122.6091643527589</v>
      </c>
      <c r="O16">
        <v>8100</v>
      </c>
      <c r="P16">
        <v>8122.6091643527498</v>
      </c>
      <c r="Q16">
        <v>8100</v>
      </c>
      <c r="R16">
        <v>8122.6091643527516</v>
      </c>
    </row>
    <row r="17" spans="10:18" x14ac:dyDescent="0.15">
      <c r="J17" s="67" t="s">
        <v>246</v>
      </c>
      <c r="K17">
        <v>1987.8266999999998</v>
      </c>
      <c r="L17">
        <v>2151.8531686504771</v>
      </c>
      <c r="M17">
        <v>1987.8266999999998</v>
      </c>
      <c r="N17">
        <v>2148.0033637407873</v>
      </c>
      <c r="O17">
        <v>1987.8266999999998</v>
      </c>
      <c r="P17">
        <v>2148.0033637407819</v>
      </c>
      <c r="Q17">
        <v>1987.8266999999998</v>
      </c>
      <c r="R17">
        <v>2148.0033637407842</v>
      </c>
    </row>
    <row r="18" spans="10:18" x14ac:dyDescent="0.15">
      <c r="J18" s="67" t="s">
        <v>247</v>
      </c>
      <c r="K18">
        <v>980.76</v>
      </c>
      <c r="L18">
        <v>1008.7481483685565</v>
      </c>
      <c r="M18">
        <v>980.76</v>
      </c>
      <c r="N18">
        <v>1015.5681782110315</v>
      </c>
      <c r="O18">
        <v>980.76</v>
      </c>
      <c r="P18">
        <v>1015.5681782110302</v>
      </c>
      <c r="Q18">
        <v>980.76</v>
      </c>
      <c r="R18">
        <v>1015.56817821103</v>
      </c>
    </row>
    <row r="19" spans="10:18" x14ac:dyDescent="0.15">
      <c r="J19" s="67" t="s">
        <v>248</v>
      </c>
      <c r="K19">
        <v>1445.1200000000001</v>
      </c>
      <c r="L19">
        <v>1449.7550302565537</v>
      </c>
      <c r="M19">
        <v>1445.1200000000001</v>
      </c>
      <c r="N19">
        <v>1447.6174869826575</v>
      </c>
      <c r="O19">
        <v>1445.1200000000001</v>
      </c>
      <c r="P19">
        <v>1447.6174869826557</v>
      </c>
      <c r="Q19">
        <v>1445.1200000000001</v>
      </c>
      <c r="R19">
        <v>1447.6174869826568</v>
      </c>
    </row>
    <row r="20" spans="10:18" x14ac:dyDescent="0.15">
      <c r="J20" s="67" t="s">
        <v>249</v>
      </c>
      <c r="K20">
        <v>1910.94</v>
      </c>
      <c r="L20">
        <v>1972.1377093917065</v>
      </c>
      <c r="M20">
        <v>1910.94</v>
      </c>
      <c r="N20">
        <v>1984.8677813120614</v>
      </c>
      <c r="O20">
        <v>1910.94</v>
      </c>
      <c r="P20">
        <v>1984.8677813120612</v>
      </c>
      <c r="Q20">
        <v>1910.94</v>
      </c>
      <c r="R20">
        <v>1984.8677813120619</v>
      </c>
    </row>
    <row r="21" spans="10:18" x14ac:dyDescent="0.15">
      <c r="J21" s="67" t="s">
        <v>250</v>
      </c>
      <c r="K21">
        <v>359.09</v>
      </c>
      <c r="L21">
        <v>376.10593747424912</v>
      </c>
      <c r="M21">
        <v>359.09</v>
      </c>
      <c r="N21">
        <v>378.05272895678075</v>
      </c>
      <c r="O21">
        <v>359.09</v>
      </c>
      <c r="P21">
        <v>378.05272895678081</v>
      </c>
      <c r="Q21">
        <v>359.09</v>
      </c>
      <c r="R21">
        <v>378.05272895678081</v>
      </c>
    </row>
    <row r="22" spans="10:18" x14ac:dyDescent="0.15">
      <c r="J22" s="67" t="s">
        <v>251</v>
      </c>
      <c r="K22">
        <v>398</v>
      </c>
      <c r="L22">
        <v>404.93371536848525</v>
      </c>
      <c r="M22">
        <v>398</v>
      </c>
      <c r="N22">
        <v>404.32933966707321</v>
      </c>
      <c r="O22">
        <v>398</v>
      </c>
      <c r="P22">
        <v>404.32933966707287</v>
      </c>
      <c r="Q22">
        <v>398</v>
      </c>
      <c r="R22">
        <v>404.3293396670731</v>
      </c>
    </row>
    <row r="23" spans="10:18" x14ac:dyDescent="0.15">
      <c r="J23" s="67" t="s">
        <v>252</v>
      </c>
      <c r="K23">
        <v>768.1</v>
      </c>
      <c r="L23">
        <v>817.58307352566919</v>
      </c>
      <c r="M23">
        <v>768.1</v>
      </c>
      <c r="N23">
        <v>815.0406943249651</v>
      </c>
      <c r="O23">
        <v>768.1</v>
      </c>
      <c r="P23">
        <v>815.04069432496487</v>
      </c>
      <c r="Q23">
        <v>768.1</v>
      </c>
      <c r="R23">
        <v>815.04069432496522</v>
      </c>
    </row>
    <row r="24" spans="10:18" x14ac:dyDescent="0.15">
      <c r="J24" s="67" t="s">
        <v>253</v>
      </c>
      <c r="K24">
        <v>1562</v>
      </c>
      <c r="L24">
        <v>1607.8327555108319</v>
      </c>
      <c r="M24">
        <v>1562</v>
      </c>
      <c r="N24">
        <v>1604.1497105238229</v>
      </c>
      <c r="O24">
        <v>1562</v>
      </c>
      <c r="P24">
        <v>1604.1497105238232</v>
      </c>
      <c r="Q24">
        <v>1562</v>
      </c>
      <c r="R24">
        <v>1604.1497105238232</v>
      </c>
    </row>
    <row r="25" spans="10:18" x14ac:dyDescent="0.15">
      <c r="J25" s="67" t="s">
        <v>254</v>
      </c>
      <c r="K25">
        <v>960</v>
      </c>
      <c r="L25">
        <v>977.11868260725646</v>
      </c>
      <c r="M25">
        <v>960</v>
      </c>
      <c r="N25">
        <v>981.90997713315789</v>
      </c>
      <c r="O25">
        <v>960</v>
      </c>
      <c r="P25">
        <v>981.90997713315767</v>
      </c>
      <c r="Q25">
        <v>960</v>
      </c>
      <c r="R25">
        <v>981.90997713315824</v>
      </c>
    </row>
    <row r="26" spans="10:18" x14ac:dyDescent="0.15">
      <c r="J26" s="67" t="s">
        <v>255</v>
      </c>
      <c r="K26">
        <v>156</v>
      </c>
      <c r="L26">
        <v>156.27590582439558</v>
      </c>
      <c r="M26">
        <v>156</v>
      </c>
      <c r="N26">
        <v>157.29057895655666</v>
      </c>
      <c r="O26">
        <v>156</v>
      </c>
      <c r="P26">
        <v>157.29057895655666</v>
      </c>
      <c r="Q26">
        <v>156</v>
      </c>
      <c r="R26">
        <v>157.29057895655663</v>
      </c>
    </row>
    <row r="27" spans="10:18" x14ac:dyDescent="0.15">
      <c r="J27" s="67" t="s">
        <v>256</v>
      </c>
      <c r="K27">
        <v>32330.81</v>
      </c>
      <c r="L27">
        <v>32508.640463352112</v>
      </c>
      <c r="M27">
        <v>32330.81</v>
      </c>
      <c r="N27">
        <v>32689.4716343043</v>
      </c>
      <c r="O27">
        <v>32330.81</v>
      </c>
      <c r="P27">
        <v>32689.4716343043</v>
      </c>
      <c r="Q27">
        <v>32330.81</v>
      </c>
      <c r="R27">
        <v>32689.471634304307</v>
      </c>
    </row>
    <row r="28" spans="10:18" x14ac:dyDescent="0.15">
      <c r="J28" s="67" t="s">
        <v>257</v>
      </c>
      <c r="K28">
        <v>86200.093980000005</v>
      </c>
      <c r="L28">
        <v>87244.861870028195</v>
      </c>
      <c r="M28">
        <v>86200.093980000005</v>
      </c>
      <c r="N28">
        <v>88236.099990161994</v>
      </c>
      <c r="O28">
        <v>86200.093980000005</v>
      </c>
      <c r="P28">
        <v>88236.099990161965</v>
      </c>
      <c r="Q28">
        <v>86200.093980000005</v>
      </c>
      <c r="R28">
        <v>88236.09999016198</v>
      </c>
    </row>
    <row r="29" spans="10:18" x14ac:dyDescent="0.15">
      <c r="J29" s="67" t="s">
        <v>258</v>
      </c>
      <c r="K29">
        <v>6031.04</v>
      </c>
      <c r="L29">
        <v>5830.0989974094464</v>
      </c>
      <c r="M29">
        <v>6031.04</v>
      </c>
      <c r="N29">
        <v>6065.3113634779293</v>
      </c>
      <c r="O29">
        <v>6031.04</v>
      </c>
      <c r="P29">
        <v>6065.3113634779284</v>
      </c>
      <c r="Q29">
        <v>6031.04</v>
      </c>
      <c r="R29">
        <v>6065.3113634779311</v>
      </c>
    </row>
    <row r="30" spans="10:18" x14ac:dyDescent="0.15">
      <c r="J30" s="67" t="s">
        <v>259</v>
      </c>
      <c r="K30">
        <v>1080.8800000000001</v>
      </c>
      <c r="L30">
        <v>1050.4859007578575</v>
      </c>
      <c r="M30">
        <v>1080.8800000000001</v>
      </c>
      <c r="N30">
        <v>1121.5202613829731</v>
      </c>
      <c r="O30">
        <v>1080.8800000000001</v>
      </c>
      <c r="P30">
        <v>1121.5202613829717</v>
      </c>
      <c r="Q30">
        <v>1080.8800000000001</v>
      </c>
      <c r="R30">
        <v>1121.5202613829711</v>
      </c>
    </row>
    <row r="31" spans="10:18" x14ac:dyDescent="0.15">
      <c r="J31" s="67" t="s">
        <v>260</v>
      </c>
      <c r="K31">
        <v>529.678</v>
      </c>
      <c r="L31">
        <v>555.71431395573745</v>
      </c>
      <c r="M31">
        <v>529.678</v>
      </c>
      <c r="N31">
        <v>557.1031720138111</v>
      </c>
      <c r="O31">
        <v>529.678</v>
      </c>
      <c r="P31">
        <v>557.10317201381019</v>
      </c>
      <c r="Q31">
        <v>529.678</v>
      </c>
      <c r="R31">
        <v>557.10317201381054</v>
      </c>
    </row>
    <row r="32" spans="10:18" x14ac:dyDescent="0.15">
      <c r="J32" s="67" t="s">
        <v>261</v>
      </c>
      <c r="K32">
        <v>2803.4</v>
      </c>
      <c r="L32">
        <v>3047.0763112147843</v>
      </c>
      <c r="M32">
        <v>2803.4</v>
      </c>
      <c r="N32">
        <v>3015.7375113710741</v>
      </c>
      <c r="O32">
        <v>2803.4</v>
      </c>
      <c r="P32">
        <v>3015.7375113710727</v>
      </c>
      <c r="Q32">
        <v>2803.4</v>
      </c>
      <c r="R32">
        <v>3015.737511371075</v>
      </c>
    </row>
    <row r="33" spans="10:18" x14ac:dyDescent="0.15">
      <c r="J33" s="67" t="s">
        <v>262</v>
      </c>
      <c r="K33">
        <v>2973.3</v>
      </c>
      <c r="L33">
        <v>3087.1510270514186</v>
      </c>
      <c r="M33">
        <v>2973.3</v>
      </c>
      <c r="N33">
        <v>3082.4252670026253</v>
      </c>
      <c r="O33">
        <v>2973.3</v>
      </c>
      <c r="P33">
        <v>3082.4252670026267</v>
      </c>
      <c r="Q33">
        <v>2973.3</v>
      </c>
      <c r="R33">
        <v>3082.4252670026262</v>
      </c>
    </row>
    <row r="34" spans="10:18" x14ac:dyDescent="0.15">
      <c r="J34" s="67" t="s">
        <v>263</v>
      </c>
      <c r="K34">
        <v>5681.8</v>
      </c>
      <c r="L34">
        <v>5999.8986342310081</v>
      </c>
      <c r="M34">
        <v>5681.8</v>
      </c>
      <c r="N34">
        <v>6079.6141438016721</v>
      </c>
      <c r="O34">
        <v>5681.8</v>
      </c>
      <c r="P34">
        <v>6079.6141438016584</v>
      </c>
      <c r="Q34">
        <v>5681.8</v>
      </c>
      <c r="R34">
        <v>6079.614143801663</v>
      </c>
    </row>
    <row r="35" spans="10:18" x14ac:dyDescent="0.15">
      <c r="J35" s="67" t="s">
        <v>264</v>
      </c>
      <c r="K35">
        <v>7906.35</v>
      </c>
      <c r="L35">
        <v>8326.5485683491115</v>
      </c>
      <c r="M35">
        <v>7906.35</v>
      </c>
      <c r="N35">
        <v>8334.222347206327</v>
      </c>
      <c r="O35">
        <v>7906.35</v>
      </c>
      <c r="P35">
        <v>8334.2223472063215</v>
      </c>
      <c r="Q35">
        <v>7906.35</v>
      </c>
      <c r="R35">
        <v>8334.2223472063197</v>
      </c>
    </row>
    <row r="36" spans="10:18" x14ac:dyDescent="0.15">
      <c r="J36" s="67" t="s">
        <v>265</v>
      </c>
      <c r="K36">
        <v>4865.9770479999997</v>
      </c>
      <c r="L36">
        <v>4911.7970377154415</v>
      </c>
      <c r="M36">
        <v>4865.9770479999997</v>
      </c>
      <c r="N36">
        <v>4902.4676510876297</v>
      </c>
      <c r="O36">
        <v>4865.9770479999997</v>
      </c>
      <c r="P36">
        <v>4901.7803317857579</v>
      </c>
      <c r="Q36">
        <v>4865.9770479999997</v>
      </c>
      <c r="R36">
        <v>4902.9904683096538</v>
      </c>
    </row>
  </sheetData>
  <phoneticPr fontId="14" type="noConversion"/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J6:CP36"/>
  <sheetViews>
    <sheetView topLeftCell="E1" workbookViewId="0">
      <pane xSplit="6" ySplit="7" topLeftCell="K8" activePane="bottomRight" state="frozen"/>
      <selection pane="topRight"/>
      <selection pane="bottomLeft"/>
      <selection pane="bottomRight" activeCell="K14" sqref="K14:L14"/>
    </sheetView>
  </sheetViews>
  <sheetFormatPr defaultColWidth="9" defaultRowHeight="13.5" x14ac:dyDescent="0.15"/>
  <cols>
    <col min="13" max="24" width="9" customWidth="1"/>
    <col min="47" max="53" width="9" style="4"/>
  </cols>
  <sheetData>
    <row r="6" spans="10:94" x14ac:dyDescent="0.15">
      <c r="K6" s="67" t="s">
        <v>73</v>
      </c>
      <c r="L6" s="67" t="s">
        <v>73</v>
      </c>
      <c r="M6" s="67" t="s">
        <v>315</v>
      </c>
      <c r="N6" s="67" t="s">
        <v>315</v>
      </c>
      <c r="O6" s="67" t="s">
        <v>316</v>
      </c>
      <c r="P6" s="67" t="s">
        <v>316</v>
      </c>
      <c r="Q6" s="67" t="s">
        <v>317</v>
      </c>
      <c r="R6" s="67" t="s">
        <v>317</v>
      </c>
      <c r="S6" s="67"/>
      <c r="T6" s="67"/>
      <c r="U6" s="67"/>
      <c r="V6" s="67"/>
      <c r="W6" s="67"/>
      <c r="X6" s="67"/>
      <c r="Y6" s="67"/>
      <c r="Z6" s="67"/>
      <c r="AA6" s="67"/>
      <c r="AB6" s="67"/>
      <c r="AC6" s="67"/>
      <c r="AD6" s="67"/>
      <c r="AE6" s="67"/>
      <c r="AF6" s="67"/>
      <c r="AG6" s="67"/>
      <c r="AH6" s="67"/>
      <c r="AI6" s="67"/>
      <c r="AJ6" s="67"/>
      <c r="AK6" s="67"/>
      <c r="AL6" s="67"/>
      <c r="AM6" s="67"/>
      <c r="AN6" s="67"/>
      <c r="AO6" s="67"/>
      <c r="AP6" s="67"/>
      <c r="AQ6" s="67"/>
      <c r="AR6" s="67"/>
      <c r="AS6" s="67"/>
      <c r="AT6" s="67"/>
      <c r="AU6" s="69"/>
      <c r="AV6" s="69"/>
      <c r="AW6" s="69"/>
      <c r="AX6" s="69"/>
      <c r="AY6" s="69"/>
      <c r="AZ6" s="69"/>
      <c r="BA6" s="69"/>
      <c r="BB6" s="67"/>
      <c r="BC6" s="67"/>
      <c r="BD6" s="67"/>
      <c r="BE6" s="67"/>
      <c r="BF6" s="67"/>
      <c r="BG6" s="67"/>
      <c r="BH6" s="67"/>
      <c r="BI6" s="67"/>
      <c r="BJ6" s="67"/>
      <c r="BK6" s="67"/>
      <c r="BL6" s="67"/>
      <c r="BM6" s="67"/>
      <c r="BN6" s="67"/>
      <c r="BO6" s="67"/>
      <c r="BP6" s="67"/>
      <c r="BQ6" s="67"/>
      <c r="BR6" s="67"/>
      <c r="BS6" s="67"/>
      <c r="BT6" s="67"/>
      <c r="BU6" s="67"/>
      <c r="BV6" s="67"/>
      <c r="BW6" s="67"/>
      <c r="BX6" s="67"/>
      <c r="BY6" s="67"/>
      <c r="BZ6" s="67"/>
      <c r="CA6" s="67"/>
      <c r="CB6" s="67"/>
      <c r="CC6" s="67"/>
      <c r="CD6" s="67"/>
      <c r="CE6" s="67"/>
      <c r="CF6" s="67"/>
      <c r="CG6" s="67"/>
      <c r="CH6" s="67"/>
      <c r="CI6" s="67"/>
      <c r="CJ6" s="67"/>
      <c r="CK6" s="67"/>
      <c r="CL6" s="67"/>
      <c r="CM6" s="67"/>
      <c r="CN6" s="67"/>
      <c r="CO6" s="67"/>
      <c r="CP6" s="67"/>
    </row>
    <row r="7" spans="10:94" x14ac:dyDescent="0.15">
      <c r="K7" s="67" t="s">
        <v>76</v>
      </c>
      <c r="L7" s="67" t="s">
        <v>77</v>
      </c>
      <c r="M7" s="67" t="s">
        <v>76</v>
      </c>
      <c r="N7" s="67" t="s">
        <v>77</v>
      </c>
      <c r="O7" s="67" t="s">
        <v>76</v>
      </c>
      <c r="P7" s="67" t="s">
        <v>77</v>
      </c>
      <c r="Q7" s="67" t="s">
        <v>76</v>
      </c>
      <c r="R7" s="67" t="s">
        <v>77</v>
      </c>
      <c r="S7" s="67"/>
      <c r="T7" s="67"/>
      <c r="U7" s="67"/>
      <c r="V7" s="67"/>
      <c r="W7" s="67"/>
      <c r="X7" s="67"/>
      <c r="Y7" s="67"/>
      <c r="Z7" s="67"/>
      <c r="AA7" s="67"/>
      <c r="AB7" s="67"/>
      <c r="AC7" s="67"/>
      <c r="AD7" s="67"/>
      <c r="AE7" s="67"/>
      <c r="AF7" s="67"/>
      <c r="AG7" s="67"/>
      <c r="AH7" s="67"/>
      <c r="AI7" s="67"/>
      <c r="AJ7" s="67"/>
      <c r="AK7" s="67"/>
      <c r="AL7" s="67"/>
      <c r="AM7" s="67"/>
      <c r="AN7" s="67"/>
      <c r="AO7" s="67"/>
      <c r="AP7" s="67"/>
      <c r="AQ7" s="67"/>
      <c r="AR7" s="67"/>
      <c r="AS7" s="67"/>
      <c r="AT7" s="67"/>
      <c r="AU7" s="69"/>
      <c r="AV7" s="69"/>
      <c r="AW7" s="69"/>
      <c r="AX7" s="69"/>
      <c r="AY7" s="69"/>
      <c r="AZ7" s="69"/>
      <c r="BA7" s="69"/>
      <c r="BB7" s="67"/>
      <c r="BC7" s="67"/>
      <c r="BD7" s="67"/>
      <c r="BE7" s="67"/>
      <c r="BF7" s="67"/>
      <c r="BG7" s="67"/>
      <c r="BH7" s="67"/>
      <c r="BI7" s="67"/>
      <c r="BJ7" s="67"/>
      <c r="BK7" s="67"/>
      <c r="BL7" s="67"/>
      <c r="BM7" s="67"/>
      <c r="BN7" s="67"/>
      <c r="BO7" s="67"/>
      <c r="BP7" s="67"/>
      <c r="BQ7" s="67"/>
      <c r="BR7" s="67"/>
      <c r="BS7" s="67"/>
      <c r="BT7" s="67"/>
      <c r="BU7" s="67"/>
      <c r="BV7" s="67"/>
      <c r="BW7" s="67"/>
      <c r="BX7" s="67"/>
      <c r="BY7" s="67"/>
      <c r="BZ7" s="67"/>
      <c r="CA7" s="67"/>
      <c r="CB7" s="67"/>
      <c r="CC7" s="67"/>
      <c r="CD7" s="67"/>
      <c r="CE7" s="67"/>
      <c r="CF7" s="67"/>
      <c r="CG7" s="67"/>
      <c r="CH7" s="67"/>
      <c r="CI7" s="67"/>
      <c r="CJ7" s="67"/>
      <c r="CK7" s="67"/>
      <c r="CL7" s="67"/>
      <c r="CM7" s="67"/>
      <c r="CN7" s="67"/>
      <c r="CO7" s="67"/>
      <c r="CP7" s="67"/>
    </row>
    <row r="8" spans="10:94" x14ac:dyDescent="0.15">
      <c r="J8" s="67" t="s">
        <v>237</v>
      </c>
      <c r="K8">
        <v>20904.099999999999</v>
      </c>
      <c r="L8">
        <v>21213.843945443379</v>
      </c>
      <c r="M8">
        <v>20904.099999999999</v>
      </c>
      <c r="N8">
        <v>21486.077778692954</v>
      </c>
      <c r="O8">
        <v>20904.099999999999</v>
      </c>
      <c r="P8">
        <v>21765.198315669553</v>
      </c>
      <c r="Q8">
        <v>20904.099999999999</v>
      </c>
      <c r="R8">
        <v>21275.517948766032</v>
      </c>
    </row>
    <row r="9" spans="10:94" x14ac:dyDescent="0.15">
      <c r="J9" s="67" t="s">
        <v>238</v>
      </c>
      <c r="K9">
        <v>14007.2</v>
      </c>
      <c r="L9">
        <v>14112.242921428506</v>
      </c>
      <c r="M9">
        <v>14007.2</v>
      </c>
      <c r="N9">
        <v>14362.18973292191</v>
      </c>
      <c r="O9">
        <v>14007.2</v>
      </c>
      <c r="P9">
        <v>14548.422415526275</v>
      </c>
      <c r="Q9">
        <v>14007.2</v>
      </c>
      <c r="R9">
        <v>14221.700994737343</v>
      </c>
    </row>
    <row r="10" spans="10:94" x14ac:dyDescent="0.15">
      <c r="J10" s="67" t="s">
        <v>239</v>
      </c>
      <c r="K10">
        <v>30123.5</v>
      </c>
      <c r="L10">
        <v>30906.597328921416</v>
      </c>
      <c r="M10">
        <v>30123.5</v>
      </c>
      <c r="N10">
        <v>31452.87082536846</v>
      </c>
      <c r="O10">
        <v>30123.5</v>
      </c>
      <c r="P10">
        <v>31859.40839321231</v>
      </c>
      <c r="Q10">
        <v>30123.5</v>
      </c>
      <c r="R10">
        <v>31146.187948682818</v>
      </c>
    </row>
    <row r="11" spans="10:94" x14ac:dyDescent="0.15">
      <c r="J11" s="67" t="s">
        <v>240</v>
      </c>
      <c r="K11">
        <v>9849.34</v>
      </c>
      <c r="L11">
        <v>9927.2328696004897</v>
      </c>
      <c r="M11">
        <v>9849.34</v>
      </c>
      <c r="N11">
        <v>9991.3127702069742</v>
      </c>
      <c r="O11">
        <v>9849.34</v>
      </c>
      <c r="P11">
        <v>9991.3127702069687</v>
      </c>
      <c r="Q11">
        <v>9849.34</v>
      </c>
      <c r="R11">
        <v>9991.3127702069669</v>
      </c>
    </row>
    <row r="12" spans="10:94" x14ac:dyDescent="0.15">
      <c r="J12" s="67" t="s">
        <v>241</v>
      </c>
      <c r="K12">
        <v>320</v>
      </c>
      <c r="L12">
        <v>320.6590148439617</v>
      </c>
      <c r="M12">
        <v>320</v>
      </c>
      <c r="N12">
        <v>326.35343023761004</v>
      </c>
      <c r="O12">
        <v>320</v>
      </c>
      <c r="P12">
        <v>330.60279988968136</v>
      </c>
      <c r="Q12">
        <v>320</v>
      </c>
      <c r="R12">
        <v>323.14785593190436</v>
      </c>
    </row>
    <row r="13" spans="10:94" x14ac:dyDescent="0.15">
      <c r="J13" s="67" t="s">
        <v>242</v>
      </c>
      <c r="K13">
        <v>230</v>
      </c>
      <c r="L13">
        <v>228.37091777878246</v>
      </c>
      <c r="M13">
        <v>230</v>
      </c>
      <c r="N13">
        <v>232.42643722299277</v>
      </c>
      <c r="O13">
        <v>230</v>
      </c>
      <c r="P13">
        <v>235.45280605250198</v>
      </c>
      <c r="Q13">
        <v>230</v>
      </c>
      <c r="R13">
        <v>230.14345152069373</v>
      </c>
    </row>
    <row r="14" spans="10:94" x14ac:dyDescent="0.15">
      <c r="J14" s="67" t="s">
        <v>243</v>
      </c>
      <c r="K14">
        <v>2091</v>
      </c>
      <c r="L14">
        <v>2745.502831925518</v>
      </c>
      <c r="M14">
        <v>2091</v>
      </c>
      <c r="N14">
        <v>2763.224945519064</v>
      </c>
      <c r="O14">
        <v>2091</v>
      </c>
      <c r="P14">
        <v>2763.2249455190608</v>
      </c>
      <c r="Q14">
        <v>2091</v>
      </c>
      <c r="R14">
        <v>2763.2249455190608</v>
      </c>
    </row>
    <row r="15" spans="10:94" x14ac:dyDescent="0.15">
      <c r="J15" s="67" t="s">
        <v>244</v>
      </c>
      <c r="K15">
        <v>1871</v>
      </c>
      <c r="L15">
        <v>1898.2203465284226</v>
      </c>
      <c r="M15">
        <v>1871</v>
      </c>
      <c r="N15">
        <v>1910.973861187573</v>
      </c>
      <c r="O15">
        <v>1871</v>
      </c>
      <c r="P15">
        <v>1910.9738611875707</v>
      </c>
      <c r="Q15">
        <v>1871</v>
      </c>
      <c r="R15">
        <v>1910.9738611875714</v>
      </c>
    </row>
    <row r="16" spans="10:94" x14ac:dyDescent="0.15">
      <c r="J16" s="67" t="s">
        <v>245</v>
      </c>
      <c r="K16">
        <v>8100</v>
      </c>
      <c r="L16">
        <v>8014.2160141995055</v>
      </c>
      <c r="M16">
        <v>8100</v>
      </c>
      <c r="N16">
        <v>8002.2146043334224</v>
      </c>
      <c r="O16">
        <v>8100</v>
      </c>
      <c r="P16">
        <v>8002.2146043334133</v>
      </c>
      <c r="Q16">
        <v>8100</v>
      </c>
      <c r="R16">
        <v>8002.2146043334151</v>
      </c>
    </row>
    <row r="17" spans="10:18" x14ac:dyDescent="0.15">
      <c r="J17" s="67" t="s">
        <v>246</v>
      </c>
      <c r="K17">
        <v>1737.4966999999999</v>
      </c>
      <c r="L17">
        <v>1914.2438094874124</v>
      </c>
      <c r="M17">
        <v>1737.4966999999999</v>
      </c>
      <c r="N17">
        <v>1926.6001785441092</v>
      </c>
      <c r="O17">
        <v>1737.4966999999999</v>
      </c>
      <c r="P17">
        <v>1926.6001785441088</v>
      </c>
      <c r="Q17">
        <v>1737.4966999999999</v>
      </c>
      <c r="R17">
        <v>1926.6001785441094</v>
      </c>
    </row>
    <row r="18" spans="10:18" x14ac:dyDescent="0.15">
      <c r="J18" s="67" t="s">
        <v>247</v>
      </c>
      <c r="K18">
        <v>772.2</v>
      </c>
      <c r="L18">
        <v>820.63494497742192</v>
      </c>
      <c r="M18">
        <v>772.2</v>
      </c>
      <c r="N18">
        <v>827.62924353824769</v>
      </c>
      <c r="O18">
        <v>772.2</v>
      </c>
      <c r="P18">
        <v>827.6292435382461</v>
      </c>
      <c r="Q18">
        <v>772.2</v>
      </c>
      <c r="R18">
        <v>827.6292435382461</v>
      </c>
    </row>
    <row r="19" spans="10:18" x14ac:dyDescent="0.15">
      <c r="J19" s="67" t="s">
        <v>248</v>
      </c>
      <c r="K19">
        <v>1168.4000000000001</v>
      </c>
      <c r="L19">
        <v>1255.8693062641237</v>
      </c>
      <c r="M19">
        <v>1168.4000000000001</v>
      </c>
      <c r="N19">
        <v>1253.5808196296618</v>
      </c>
      <c r="O19">
        <v>1168.4000000000001</v>
      </c>
      <c r="P19">
        <v>1253.5808196296598</v>
      </c>
      <c r="Q19">
        <v>1168.4000000000001</v>
      </c>
      <c r="R19">
        <v>1253.5808196296612</v>
      </c>
    </row>
    <row r="20" spans="10:18" x14ac:dyDescent="0.15">
      <c r="J20" s="67" t="s">
        <v>249</v>
      </c>
      <c r="K20">
        <v>1905.75</v>
      </c>
      <c r="L20">
        <v>1972.1377093917065</v>
      </c>
      <c r="M20">
        <v>1905.75</v>
      </c>
      <c r="N20">
        <v>1984.8677813120614</v>
      </c>
      <c r="O20">
        <v>1905.75</v>
      </c>
      <c r="P20">
        <v>1984.8677813120612</v>
      </c>
      <c r="Q20">
        <v>1905.75</v>
      </c>
      <c r="R20">
        <v>1984.8677813120619</v>
      </c>
    </row>
    <row r="21" spans="10:18" x14ac:dyDescent="0.15">
      <c r="J21" s="67" t="s">
        <v>250</v>
      </c>
      <c r="K21">
        <v>320</v>
      </c>
      <c r="L21">
        <v>337.97705973787868</v>
      </c>
      <c r="M21">
        <v>320</v>
      </c>
      <c r="N21">
        <v>339.92940319712255</v>
      </c>
      <c r="O21">
        <v>320</v>
      </c>
      <c r="P21">
        <v>339.92940319712261</v>
      </c>
      <c r="Q21">
        <v>320</v>
      </c>
      <c r="R21">
        <v>339.92940319712261</v>
      </c>
    </row>
    <row r="22" spans="10:18" x14ac:dyDescent="0.15">
      <c r="J22" s="67" t="s">
        <v>251</v>
      </c>
      <c r="K22">
        <v>398</v>
      </c>
      <c r="L22">
        <v>404.93371536848525</v>
      </c>
      <c r="M22">
        <v>398</v>
      </c>
      <c r="N22">
        <v>404.32933966707321</v>
      </c>
      <c r="O22">
        <v>398</v>
      </c>
      <c r="P22">
        <v>404.32933966707287</v>
      </c>
      <c r="Q22">
        <v>398</v>
      </c>
      <c r="R22">
        <v>404.3293396670731</v>
      </c>
    </row>
    <row r="23" spans="10:18" x14ac:dyDescent="0.15">
      <c r="J23" s="67" t="s">
        <v>252</v>
      </c>
      <c r="K23">
        <v>664.1</v>
      </c>
      <c r="L23">
        <v>662.03949829007104</v>
      </c>
      <c r="M23">
        <v>664.1</v>
      </c>
      <c r="N23">
        <v>666.43830598064085</v>
      </c>
      <c r="O23">
        <v>664.1</v>
      </c>
      <c r="P23">
        <v>666.43830598064073</v>
      </c>
      <c r="Q23">
        <v>664.1</v>
      </c>
      <c r="R23">
        <v>666.43830598064073</v>
      </c>
    </row>
    <row r="24" spans="10:18" x14ac:dyDescent="0.15">
      <c r="J24" s="67" t="s">
        <v>253</v>
      </c>
      <c r="K24">
        <v>1116</v>
      </c>
      <c r="L24">
        <v>1133.9104216778421</v>
      </c>
      <c r="M24">
        <v>1116</v>
      </c>
      <c r="N24">
        <v>1138.923313575566</v>
      </c>
      <c r="O24">
        <v>1116</v>
      </c>
      <c r="P24">
        <v>1138.9233135755662</v>
      </c>
      <c r="Q24">
        <v>1116</v>
      </c>
      <c r="R24">
        <v>1138.9233135755667</v>
      </c>
    </row>
    <row r="25" spans="10:18" x14ac:dyDescent="0.15">
      <c r="J25" s="67" t="s">
        <v>254</v>
      </c>
      <c r="K25">
        <v>960</v>
      </c>
      <c r="L25">
        <v>977.11868260725646</v>
      </c>
      <c r="M25">
        <v>960</v>
      </c>
      <c r="N25">
        <v>981.90997713315789</v>
      </c>
      <c r="O25">
        <v>960</v>
      </c>
      <c r="P25">
        <v>981.90997713315767</v>
      </c>
      <c r="Q25">
        <v>960</v>
      </c>
      <c r="R25">
        <v>981.90997713315824</v>
      </c>
    </row>
    <row r="26" spans="10:18" x14ac:dyDescent="0.15">
      <c r="J26" s="67" t="s">
        <v>255</v>
      </c>
      <c r="K26">
        <v>156</v>
      </c>
      <c r="L26">
        <v>156.27590582439558</v>
      </c>
      <c r="M26">
        <v>156</v>
      </c>
      <c r="N26">
        <v>157.29057895655666</v>
      </c>
      <c r="O26">
        <v>156</v>
      </c>
      <c r="P26">
        <v>157.29057895655666</v>
      </c>
      <c r="Q26">
        <v>156</v>
      </c>
      <c r="R26">
        <v>157.29057895655663</v>
      </c>
    </row>
    <row r="27" spans="10:18" x14ac:dyDescent="0.15">
      <c r="J27" s="67" t="s">
        <v>256</v>
      </c>
      <c r="K27">
        <v>32000</v>
      </c>
      <c r="L27">
        <v>32099.840470228828</v>
      </c>
      <c r="M27">
        <v>32000</v>
      </c>
      <c r="N27">
        <v>32261.186716847886</v>
      </c>
      <c r="O27">
        <v>32000</v>
      </c>
      <c r="P27">
        <v>32261.186716847875</v>
      </c>
      <c r="Q27">
        <v>32000</v>
      </c>
      <c r="R27">
        <v>32261.186716847868</v>
      </c>
    </row>
    <row r="28" spans="10:18" x14ac:dyDescent="0.15">
      <c r="J28" s="67" t="s">
        <v>257</v>
      </c>
      <c r="K28">
        <v>86200.093980000005</v>
      </c>
      <c r="L28">
        <v>87244.861870028195</v>
      </c>
      <c r="M28">
        <v>86200.093980000005</v>
      </c>
      <c r="N28">
        <v>88236.099990161994</v>
      </c>
      <c r="O28">
        <v>86200.093980000005</v>
      </c>
      <c r="P28">
        <v>88236.099990161965</v>
      </c>
      <c r="Q28">
        <v>86200.093980000005</v>
      </c>
      <c r="R28">
        <v>88236.09999016198</v>
      </c>
    </row>
    <row r="29" spans="10:18" x14ac:dyDescent="0.15">
      <c r="J29" s="67" t="s">
        <v>258</v>
      </c>
      <c r="K29">
        <v>5938</v>
      </c>
      <c r="L29">
        <v>5735.9806973776576</v>
      </c>
      <c r="M29">
        <v>5938</v>
      </c>
      <c r="N29">
        <v>5727.2001524082752</v>
      </c>
      <c r="O29">
        <v>5938</v>
      </c>
      <c r="P29">
        <v>5727.2001524082707</v>
      </c>
      <c r="Q29">
        <v>5938</v>
      </c>
      <c r="R29">
        <v>5727.2001524082725</v>
      </c>
    </row>
    <row r="30" spans="10:18" x14ac:dyDescent="0.15">
      <c r="J30" s="67" t="s">
        <v>259</v>
      </c>
      <c r="K30">
        <v>801</v>
      </c>
      <c r="L30">
        <v>760.95945710094622</v>
      </c>
      <c r="M30">
        <v>801</v>
      </c>
      <c r="N30">
        <v>759.79459287188615</v>
      </c>
      <c r="O30">
        <v>801</v>
      </c>
      <c r="P30">
        <v>759.79459287188615</v>
      </c>
      <c r="Q30">
        <v>801</v>
      </c>
      <c r="R30">
        <v>759.79459287188627</v>
      </c>
    </row>
    <row r="31" spans="10:18" x14ac:dyDescent="0.15">
      <c r="J31" s="67" t="s">
        <v>260</v>
      </c>
      <c r="K31">
        <v>496</v>
      </c>
      <c r="L31">
        <v>522.35615188001123</v>
      </c>
      <c r="M31">
        <v>496</v>
      </c>
      <c r="N31">
        <v>522.07532180517649</v>
      </c>
      <c r="O31">
        <v>496</v>
      </c>
      <c r="P31">
        <v>522.07532180517615</v>
      </c>
      <c r="Q31">
        <v>496</v>
      </c>
      <c r="R31">
        <v>522.07532180517603</v>
      </c>
    </row>
    <row r="32" spans="10:18" x14ac:dyDescent="0.15">
      <c r="J32" s="67" t="s">
        <v>261</v>
      </c>
      <c r="K32">
        <v>2803.4</v>
      </c>
      <c r="L32">
        <v>3020.3610303908017</v>
      </c>
      <c r="M32">
        <v>2803.4</v>
      </c>
      <c r="N32">
        <v>3015.7375113710741</v>
      </c>
      <c r="O32">
        <v>2803.4</v>
      </c>
      <c r="P32">
        <v>3015.7375113710727</v>
      </c>
      <c r="Q32">
        <v>2803.4</v>
      </c>
      <c r="R32">
        <v>3015.737511371075</v>
      </c>
    </row>
    <row r="33" spans="10:18" x14ac:dyDescent="0.15">
      <c r="J33" s="67" t="s">
        <v>262</v>
      </c>
      <c r="K33">
        <v>2973.3</v>
      </c>
      <c r="L33">
        <v>3087.1510270514186</v>
      </c>
      <c r="M33">
        <v>2973.3</v>
      </c>
      <c r="N33">
        <v>3082.4252670026253</v>
      </c>
      <c r="O33">
        <v>2973.3</v>
      </c>
      <c r="P33">
        <v>3082.4252670026267</v>
      </c>
      <c r="Q33">
        <v>2973.3</v>
      </c>
      <c r="R33">
        <v>3082.4252670026262</v>
      </c>
    </row>
    <row r="34" spans="10:18" x14ac:dyDescent="0.15">
      <c r="J34" s="67" t="s">
        <v>263</v>
      </c>
      <c r="K34">
        <v>4091</v>
      </c>
      <c r="L34">
        <v>4420.7567037405433</v>
      </c>
      <c r="M34">
        <v>4091</v>
      </c>
      <c r="N34">
        <v>4413.9894820423215</v>
      </c>
      <c r="O34">
        <v>4091</v>
      </c>
      <c r="P34">
        <v>4413.9894820423206</v>
      </c>
      <c r="Q34">
        <v>4091</v>
      </c>
      <c r="R34">
        <v>4413.9894820423206</v>
      </c>
    </row>
    <row r="35" spans="10:18" x14ac:dyDescent="0.15">
      <c r="J35" s="67" t="s">
        <v>264</v>
      </c>
      <c r="K35">
        <v>7657</v>
      </c>
      <c r="L35">
        <v>7973.7670175190651</v>
      </c>
      <c r="M35">
        <v>7657</v>
      </c>
      <c r="N35">
        <v>7961.5609060332363</v>
      </c>
      <c r="O35">
        <v>7657</v>
      </c>
      <c r="P35">
        <v>7961.5609060332381</v>
      </c>
      <c r="Q35">
        <v>7657</v>
      </c>
      <c r="R35">
        <v>7961.5609060332345</v>
      </c>
    </row>
    <row r="36" spans="10:18" x14ac:dyDescent="0.15">
      <c r="J36" s="67" t="s">
        <v>265</v>
      </c>
      <c r="K36">
        <v>2974.2</v>
      </c>
      <c r="L36">
        <v>3003.2140005770493</v>
      </c>
      <c r="M36">
        <v>2974.2</v>
      </c>
      <c r="N36">
        <v>3037.498872001132</v>
      </c>
      <c r="O36">
        <v>2974.2</v>
      </c>
      <c r="P36">
        <v>3077.0311557000873</v>
      </c>
      <c r="Q36">
        <v>2974.2</v>
      </c>
      <c r="R36">
        <v>3007.6770810326066</v>
      </c>
    </row>
  </sheetData>
  <phoneticPr fontId="14" type="noConversion"/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J6:CP22"/>
  <sheetViews>
    <sheetView topLeftCell="J4" workbookViewId="0">
      <pane xSplit="1" ySplit="4" topLeftCell="AZ8" activePane="bottomRight" state="frozen"/>
      <selection pane="topRight"/>
      <selection pane="bottomLeft"/>
      <selection pane="bottomRight" activeCell="BD13" sqref="BD13:BJ13"/>
    </sheetView>
  </sheetViews>
  <sheetFormatPr defaultColWidth="9" defaultRowHeight="13.5" x14ac:dyDescent="0.15"/>
  <cols>
    <col min="56" max="61" width="9" style="4"/>
    <col min="62" max="62" width="12.625" style="7" customWidth="1"/>
  </cols>
  <sheetData>
    <row r="6" spans="10:94" x14ac:dyDescent="0.15">
      <c r="K6" s="67" t="s">
        <v>73</v>
      </c>
      <c r="L6" s="67" t="s">
        <v>73</v>
      </c>
      <c r="M6" s="67" t="s">
        <v>315</v>
      </c>
      <c r="N6" s="67" t="s">
        <v>315</v>
      </c>
      <c r="O6" s="67" t="s">
        <v>316</v>
      </c>
      <c r="P6" s="67" t="s">
        <v>316</v>
      </c>
      <c r="Q6" s="67" t="s">
        <v>317</v>
      </c>
      <c r="R6" s="67" t="s">
        <v>317</v>
      </c>
      <c r="S6" s="67"/>
      <c r="T6" s="67"/>
      <c r="U6" s="67"/>
      <c r="V6" s="67"/>
      <c r="W6" s="67"/>
      <c r="X6" s="67"/>
      <c r="Y6" s="67"/>
      <c r="Z6" s="67"/>
      <c r="AA6" s="67"/>
      <c r="AB6" s="67"/>
      <c r="AC6" s="67"/>
      <c r="AD6" s="67"/>
      <c r="AE6" s="67"/>
      <c r="AF6" s="67"/>
      <c r="AG6" s="67"/>
      <c r="AH6" s="67"/>
      <c r="AI6" s="67"/>
      <c r="AJ6" s="67"/>
      <c r="AK6" s="67"/>
      <c r="AL6" s="67"/>
      <c r="AM6" s="67"/>
      <c r="AN6" s="67"/>
      <c r="AO6" s="67"/>
      <c r="AP6" s="67"/>
      <c r="AQ6" s="67"/>
      <c r="AR6" s="67"/>
      <c r="AS6" s="67"/>
      <c r="AT6" s="67"/>
      <c r="AU6" s="67"/>
      <c r="AV6" s="67"/>
      <c r="AW6" s="67"/>
      <c r="AX6" s="67"/>
      <c r="AY6" s="67"/>
      <c r="AZ6" s="67"/>
      <c r="BA6" s="67"/>
      <c r="BB6" s="67"/>
      <c r="BC6" s="67"/>
      <c r="BD6" s="69"/>
      <c r="BE6" s="69"/>
      <c r="BF6" s="69"/>
      <c r="BG6" s="69"/>
      <c r="BH6" s="69"/>
      <c r="BI6" s="69"/>
      <c r="BJ6" s="82"/>
      <c r="BK6" s="67"/>
      <c r="BL6" s="67"/>
      <c r="BM6" s="67"/>
      <c r="BN6" s="67"/>
      <c r="BO6" s="67"/>
      <c r="BP6" s="67"/>
      <c r="BQ6" s="67"/>
      <c r="BR6" s="67"/>
      <c r="BS6" s="67"/>
      <c r="BT6" s="67"/>
      <c r="BU6" s="67"/>
      <c r="BV6" s="67"/>
      <c r="BW6" s="67"/>
      <c r="BX6" s="67"/>
      <c r="BY6" s="67"/>
      <c r="BZ6" s="67"/>
      <c r="CA6" s="67"/>
      <c r="CB6" s="67"/>
      <c r="CC6" s="67"/>
      <c r="CD6" s="67"/>
      <c r="CE6" s="67"/>
      <c r="CF6" s="67"/>
      <c r="CG6" s="67"/>
      <c r="CH6" s="67"/>
      <c r="CI6" s="67"/>
      <c r="CJ6" s="67"/>
      <c r="CK6" s="67"/>
      <c r="CL6" s="67"/>
      <c r="CM6" s="67"/>
      <c r="CN6" s="67"/>
      <c r="CO6" s="67"/>
      <c r="CP6" s="67"/>
    </row>
    <row r="7" spans="10:94" x14ac:dyDescent="0.15">
      <c r="K7" s="67" t="s">
        <v>76</v>
      </c>
      <c r="L7" s="67" t="s">
        <v>77</v>
      </c>
      <c r="M7" s="67" t="s">
        <v>76</v>
      </c>
      <c r="N7" s="67" t="s">
        <v>77</v>
      </c>
      <c r="O7" s="67" t="s">
        <v>76</v>
      </c>
      <c r="P7" s="67" t="s">
        <v>77</v>
      </c>
      <c r="Q7" s="67" t="s">
        <v>76</v>
      </c>
      <c r="R7" s="67" t="s">
        <v>77</v>
      </c>
      <c r="S7" s="67"/>
      <c r="T7" s="67"/>
      <c r="U7" s="67"/>
      <c r="V7" s="67"/>
      <c r="W7" s="67"/>
      <c r="X7" s="67"/>
      <c r="Y7" s="67"/>
      <c r="Z7" s="67"/>
      <c r="AA7" s="67"/>
      <c r="AB7" s="67"/>
      <c r="AC7" s="67"/>
      <c r="AD7" s="67"/>
      <c r="AE7" s="67"/>
      <c r="AF7" s="67"/>
      <c r="AG7" s="67"/>
      <c r="AH7" s="67"/>
      <c r="AI7" s="67"/>
      <c r="AJ7" s="67"/>
      <c r="AK7" s="67"/>
      <c r="AL7" s="67"/>
      <c r="AM7" s="67"/>
      <c r="AN7" s="67"/>
      <c r="AO7" s="67"/>
      <c r="AP7" s="67"/>
      <c r="AQ7" s="67"/>
      <c r="AR7" s="67"/>
      <c r="AS7" s="67"/>
      <c r="AT7" s="67"/>
      <c r="AU7" s="67"/>
      <c r="AV7" s="67"/>
      <c r="AW7" s="67"/>
      <c r="AX7" s="67"/>
      <c r="AY7" s="67"/>
      <c r="AZ7" s="67"/>
      <c r="BA7" s="67"/>
      <c r="BB7" s="67"/>
      <c r="BC7" s="67"/>
      <c r="BD7" s="69"/>
      <c r="BE7" s="69"/>
      <c r="BF7" s="69"/>
      <c r="BG7" s="69"/>
      <c r="BH7" s="69"/>
      <c r="BI7" s="69"/>
      <c r="BJ7" s="82"/>
      <c r="BK7" s="67"/>
      <c r="BL7" s="67"/>
      <c r="BM7" s="67"/>
      <c r="BN7" s="67"/>
      <c r="BO7" s="67"/>
      <c r="BP7" s="67"/>
      <c r="BQ7" s="67"/>
      <c r="BR7" s="67"/>
      <c r="BS7" s="67"/>
      <c r="BT7" s="67"/>
      <c r="BU7" s="67"/>
      <c r="BV7" s="67"/>
      <c r="BW7" s="67"/>
      <c r="BX7" s="67"/>
      <c r="BY7" s="67"/>
      <c r="BZ7" s="67"/>
      <c r="CA7" s="67"/>
      <c r="CB7" s="67"/>
      <c r="CC7" s="67"/>
      <c r="CD7" s="67"/>
      <c r="CE7" s="67"/>
      <c r="CF7" s="67"/>
      <c r="CG7" s="67"/>
      <c r="CH7" s="67"/>
      <c r="CI7" s="67"/>
      <c r="CJ7" s="67"/>
      <c r="CK7" s="67"/>
      <c r="CL7" s="67"/>
      <c r="CM7" s="67"/>
      <c r="CN7" s="67"/>
      <c r="CO7" s="67"/>
      <c r="CP7" s="67"/>
    </row>
    <row r="8" spans="10:94" x14ac:dyDescent="0.15">
      <c r="J8" s="67" t="s">
        <v>237</v>
      </c>
      <c r="K8">
        <v>2901.2200000000003</v>
      </c>
      <c r="L8">
        <v>2894.0518414017292</v>
      </c>
      <c r="M8">
        <v>2901.2200000000003</v>
      </c>
      <c r="N8">
        <v>2896.3678238706698</v>
      </c>
      <c r="O8">
        <v>2901.2200000000003</v>
      </c>
      <c r="P8">
        <v>2899.2648867579273</v>
      </c>
      <c r="Q8">
        <v>2901.2200000000003</v>
      </c>
      <c r="R8">
        <v>2894.3412581623061</v>
      </c>
    </row>
    <row r="9" spans="10:94" x14ac:dyDescent="0.15">
      <c r="J9" s="67" t="s">
        <v>238</v>
      </c>
      <c r="K9">
        <v>2358.1799999999998</v>
      </c>
      <c r="L9">
        <v>2350.5588836553616</v>
      </c>
      <c r="M9">
        <v>2358.1799999999998</v>
      </c>
      <c r="N9">
        <v>2352.439932601646</v>
      </c>
      <c r="O9">
        <v>2358.1799999999998</v>
      </c>
      <c r="P9">
        <v>2354.7929370671277</v>
      </c>
      <c r="Q9">
        <v>2358.1799999999998</v>
      </c>
      <c r="R9">
        <v>2350.7939489461505</v>
      </c>
    </row>
    <row r="10" spans="10:94" x14ac:dyDescent="0.15">
      <c r="J10" s="67" t="s">
        <v>239</v>
      </c>
      <c r="K10">
        <v>4493.3330000000005</v>
      </c>
      <c r="L10">
        <v>4476.5214386370526</v>
      </c>
      <c r="M10">
        <v>4493.3330000000005</v>
      </c>
      <c r="N10">
        <v>4480.1038019608195</v>
      </c>
      <c r="O10">
        <v>4493.3330000000005</v>
      </c>
      <c r="P10">
        <v>4484.5849808873236</v>
      </c>
      <c r="Q10">
        <v>4493.3330000000005</v>
      </c>
      <c r="R10">
        <v>4476.9691086873581</v>
      </c>
    </row>
    <row r="11" spans="10:94" x14ac:dyDescent="0.15">
      <c r="J11" s="67" t="s">
        <v>240</v>
      </c>
      <c r="K11">
        <v>453.18000000000006</v>
      </c>
      <c r="L11">
        <v>453.70651337304002</v>
      </c>
      <c r="M11">
        <v>453.18000000000006</v>
      </c>
      <c r="N11">
        <v>453.70651337303985</v>
      </c>
      <c r="O11">
        <v>453.18000000000006</v>
      </c>
      <c r="P11">
        <v>453.70651337303985</v>
      </c>
      <c r="Q11">
        <v>453.18000000000006</v>
      </c>
      <c r="R11">
        <v>453.70651337303985</v>
      </c>
    </row>
    <row r="12" spans="10:94" x14ac:dyDescent="0.15">
      <c r="J12" s="67" t="s">
        <v>241</v>
      </c>
      <c r="K12">
        <v>69</v>
      </c>
      <c r="L12">
        <v>69.228561249126017</v>
      </c>
      <c r="M12">
        <v>69</v>
      </c>
      <c r="N12">
        <v>69.283961823472822</v>
      </c>
      <c r="O12">
        <v>69</v>
      </c>
      <c r="P12">
        <v>69.353262411894917</v>
      </c>
      <c r="Q12">
        <v>69</v>
      </c>
      <c r="R12">
        <v>69.235484382170696</v>
      </c>
    </row>
    <row r="13" spans="10:94" x14ac:dyDescent="0.15">
      <c r="J13" s="67" t="s">
        <v>242</v>
      </c>
      <c r="K13">
        <v>56</v>
      </c>
      <c r="L13">
        <v>55.840274256371799</v>
      </c>
      <c r="M13">
        <v>56</v>
      </c>
      <c r="N13">
        <v>55.884960773174463</v>
      </c>
      <c r="O13">
        <v>56</v>
      </c>
      <c r="P13">
        <v>55.940859145086215</v>
      </c>
      <c r="Q13">
        <v>56</v>
      </c>
      <c r="R13">
        <v>55.84585850716298</v>
      </c>
    </row>
    <row r="14" spans="10:94" x14ac:dyDescent="0.15">
      <c r="J14" s="67" t="s">
        <v>243</v>
      </c>
      <c r="K14">
        <v>1026</v>
      </c>
      <c r="L14">
        <v>1126.9787550241183</v>
      </c>
      <c r="M14">
        <v>1026</v>
      </c>
      <c r="N14">
        <v>1126.9787550241192</v>
      </c>
      <c r="O14">
        <v>1026</v>
      </c>
      <c r="P14">
        <v>1126.9787550241192</v>
      </c>
      <c r="Q14">
        <v>1026</v>
      </c>
      <c r="R14">
        <v>1126.9787550241192</v>
      </c>
    </row>
    <row r="15" spans="10:94" x14ac:dyDescent="0.15">
      <c r="J15" s="67" t="s">
        <v>246</v>
      </c>
      <c r="K15">
        <v>815.30946000000006</v>
      </c>
      <c r="L15">
        <v>855.18361898917681</v>
      </c>
      <c r="M15">
        <v>815.30946000000006</v>
      </c>
      <c r="N15">
        <v>855.18361898917738</v>
      </c>
      <c r="O15">
        <v>815.30946000000006</v>
      </c>
      <c r="P15">
        <v>855.18361898917726</v>
      </c>
      <c r="Q15">
        <v>815.30946000000006</v>
      </c>
      <c r="R15">
        <v>855.18361898917738</v>
      </c>
    </row>
    <row r="16" spans="10:94" x14ac:dyDescent="0.15">
      <c r="J16" s="67" t="s">
        <v>249</v>
      </c>
      <c r="K16">
        <v>495</v>
      </c>
      <c r="L16">
        <v>499.73011929615319</v>
      </c>
      <c r="M16">
        <v>495</v>
      </c>
      <c r="N16">
        <v>499.7301192961533</v>
      </c>
      <c r="O16">
        <v>495</v>
      </c>
      <c r="P16">
        <v>499.7301192961533</v>
      </c>
      <c r="Q16">
        <v>495</v>
      </c>
      <c r="R16">
        <v>499.73011929615336</v>
      </c>
    </row>
    <row r="17" spans="10:18" x14ac:dyDescent="0.15">
      <c r="J17" s="67" t="s">
        <v>252</v>
      </c>
      <c r="K17">
        <v>297.92</v>
      </c>
      <c r="L17">
        <v>296.21673283184867</v>
      </c>
      <c r="M17">
        <v>297.92</v>
      </c>
      <c r="N17">
        <v>296.27246680876897</v>
      </c>
      <c r="O17">
        <v>297.92</v>
      </c>
      <c r="P17">
        <v>296.2724668087688</v>
      </c>
      <c r="Q17">
        <v>297.92</v>
      </c>
      <c r="R17">
        <v>296.27246680876885</v>
      </c>
    </row>
    <row r="18" spans="10:18" x14ac:dyDescent="0.15">
      <c r="J18" s="67" t="s">
        <v>254</v>
      </c>
      <c r="K18">
        <v>118.9</v>
      </c>
      <c r="L18">
        <v>120.56322622091108</v>
      </c>
      <c r="M18">
        <v>118.9</v>
      </c>
      <c r="N18">
        <v>120.46799876708906</v>
      </c>
      <c r="O18">
        <v>118.9</v>
      </c>
      <c r="P18">
        <v>120.46799876708907</v>
      </c>
      <c r="Q18">
        <v>118.9</v>
      </c>
      <c r="R18">
        <v>120.46799876708909</v>
      </c>
    </row>
    <row r="19" spans="10:18" x14ac:dyDescent="0.15">
      <c r="J19" s="67" t="s">
        <v>255</v>
      </c>
      <c r="K19">
        <v>21.700000000000003</v>
      </c>
      <c r="L19">
        <v>21.846256342343477</v>
      </c>
      <c r="M19">
        <v>21.700000000000003</v>
      </c>
      <c r="N19">
        <v>21.847078366885569</v>
      </c>
      <c r="O19">
        <v>21.700000000000003</v>
      </c>
      <c r="P19">
        <v>21.847078366885558</v>
      </c>
      <c r="Q19">
        <v>21.700000000000003</v>
      </c>
      <c r="R19">
        <v>21.847078366885558</v>
      </c>
    </row>
    <row r="20" spans="10:18" x14ac:dyDescent="0.15">
      <c r="J20" s="67" t="s">
        <v>256</v>
      </c>
      <c r="K20">
        <v>1066.6670000000001</v>
      </c>
      <c r="L20">
        <v>1064.2137994794284</v>
      </c>
      <c r="M20">
        <v>1066.6670000000001</v>
      </c>
      <c r="N20">
        <v>1064.4140341750567</v>
      </c>
      <c r="O20">
        <v>1066.6670000000001</v>
      </c>
      <c r="P20">
        <v>1064.414034175056</v>
      </c>
      <c r="Q20">
        <v>1066.6670000000001</v>
      </c>
      <c r="R20">
        <v>1064.414034175056</v>
      </c>
    </row>
    <row r="21" spans="10:18" x14ac:dyDescent="0.15">
      <c r="J21" s="67" t="s">
        <v>257</v>
      </c>
      <c r="K21">
        <v>2339.1494997000004</v>
      </c>
      <c r="L21">
        <v>2340.4620569683152</v>
      </c>
      <c r="M21">
        <v>2339.1494997000004</v>
      </c>
      <c r="N21">
        <v>2340.5501231898452</v>
      </c>
      <c r="O21">
        <v>2339.1494997000004</v>
      </c>
      <c r="P21">
        <v>2340.5501231898456</v>
      </c>
      <c r="Q21">
        <v>2339.1494997000004</v>
      </c>
      <c r="R21">
        <v>2340.5501231898456</v>
      </c>
    </row>
    <row r="22" spans="10:18" x14ac:dyDescent="0.15">
      <c r="J22" s="67" t="s">
        <v>265</v>
      </c>
      <c r="K22">
        <v>1028.1670000000001</v>
      </c>
      <c r="L22">
        <v>1025.316307492694</v>
      </c>
      <c r="M22">
        <v>1028.1670000000001</v>
      </c>
      <c r="N22">
        <v>1026.3298934715169</v>
      </c>
      <c r="O22">
        <v>1028.1670000000001</v>
      </c>
      <c r="P22">
        <v>1027.3564696611691</v>
      </c>
      <c r="Q22">
        <v>1028.1670000000001</v>
      </c>
      <c r="R22">
        <v>1025.6117785448023</v>
      </c>
    </row>
  </sheetData>
  <phoneticPr fontId="14" type="noConversion"/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dimension ref="J6:CP22"/>
  <sheetViews>
    <sheetView topLeftCell="J4" workbookViewId="0">
      <pane xSplit="1" ySplit="4" topLeftCell="BA8" activePane="bottomRight" state="frozen"/>
      <selection pane="topRight"/>
      <selection pane="bottomLeft"/>
      <selection pane="bottomRight" activeCell="BJ4" sqref="BJ1:BJ1048576"/>
    </sheetView>
  </sheetViews>
  <sheetFormatPr defaultColWidth="9" defaultRowHeight="13.5" x14ac:dyDescent="0.15"/>
  <cols>
    <col min="56" max="61" width="9" style="4"/>
    <col min="62" max="62" width="12.625" style="7" customWidth="1"/>
  </cols>
  <sheetData>
    <row r="6" spans="10:94" x14ac:dyDescent="0.15">
      <c r="K6" s="67" t="s">
        <v>73</v>
      </c>
      <c r="L6" s="67" t="s">
        <v>73</v>
      </c>
      <c r="M6" s="67" t="s">
        <v>315</v>
      </c>
      <c r="N6" s="67" t="s">
        <v>315</v>
      </c>
      <c r="O6" s="67" t="s">
        <v>316</v>
      </c>
      <c r="P6" s="67" t="s">
        <v>316</v>
      </c>
      <c r="Q6" s="67" t="s">
        <v>317</v>
      </c>
      <c r="R6" s="67" t="s">
        <v>317</v>
      </c>
      <c r="S6" s="67"/>
      <c r="T6" s="67"/>
      <c r="U6" s="67"/>
      <c r="V6" s="67"/>
      <c r="W6" s="67"/>
      <c r="X6" s="67"/>
      <c r="Y6" s="67"/>
      <c r="Z6" s="67"/>
      <c r="AA6" s="67"/>
      <c r="AB6" s="67"/>
      <c r="AC6" s="67"/>
      <c r="AD6" s="67"/>
      <c r="AE6" s="67"/>
      <c r="AF6" s="67"/>
      <c r="AG6" s="67"/>
      <c r="AH6" s="67"/>
      <c r="AI6" s="67"/>
      <c r="AJ6" s="67"/>
      <c r="AK6" s="67"/>
      <c r="AL6" s="67"/>
      <c r="AM6" s="67"/>
      <c r="AN6" s="67"/>
      <c r="AO6" s="67"/>
      <c r="AP6" s="67"/>
      <c r="AQ6" s="67"/>
      <c r="AR6" s="67"/>
      <c r="AS6" s="67"/>
      <c r="AT6" s="67"/>
      <c r="AU6" s="67"/>
      <c r="AV6" s="67"/>
      <c r="AW6" s="67"/>
      <c r="AX6" s="67"/>
      <c r="AY6" s="67"/>
      <c r="AZ6" s="67"/>
      <c r="BA6" s="67"/>
      <c r="BB6" s="67"/>
      <c r="BC6" s="67"/>
      <c r="BD6" s="69"/>
      <c r="BE6" s="69"/>
      <c r="BF6" s="69"/>
      <c r="BG6" s="69"/>
      <c r="BH6" s="69"/>
      <c r="BI6" s="69"/>
      <c r="BJ6" s="82"/>
      <c r="BK6" s="67"/>
      <c r="BL6" s="67"/>
      <c r="BM6" s="67"/>
      <c r="BN6" s="67"/>
      <c r="BO6" s="67"/>
      <c r="BP6" s="67"/>
      <c r="BQ6" s="67"/>
      <c r="BR6" s="67"/>
      <c r="BS6" s="67"/>
      <c r="BT6" s="67"/>
      <c r="BU6" s="67"/>
      <c r="BV6" s="67"/>
      <c r="BW6" s="67"/>
      <c r="BX6" s="67"/>
      <c r="BY6" s="67"/>
      <c r="BZ6" s="67"/>
      <c r="CA6" s="67"/>
      <c r="CB6" s="67"/>
      <c r="CC6" s="67"/>
      <c r="CD6" s="67"/>
      <c r="CE6" s="67"/>
      <c r="CF6" s="67"/>
      <c r="CG6" s="67"/>
      <c r="CH6" s="67"/>
      <c r="CI6" s="67"/>
      <c r="CJ6" s="67"/>
      <c r="CK6" s="67"/>
      <c r="CL6" s="67"/>
      <c r="CM6" s="67"/>
      <c r="CN6" s="67"/>
      <c r="CO6" s="67"/>
      <c r="CP6" s="67"/>
    </row>
    <row r="7" spans="10:94" x14ac:dyDescent="0.15">
      <c r="K7" s="67" t="s">
        <v>76</v>
      </c>
      <c r="L7" s="67" t="s">
        <v>77</v>
      </c>
      <c r="M7" s="67" t="s">
        <v>76</v>
      </c>
      <c r="N7" s="67" t="s">
        <v>77</v>
      </c>
      <c r="O7" s="67" t="s">
        <v>76</v>
      </c>
      <c r="P7" s="67" t="s">
        <v>77</v>
      </c>
      <c r="Q7" s="67" t="s">
        <v>76</v>
      </c>
      <c r="R7" s="67" t="s">
        <v>77</v>
      </c>
      <c r="S7" s="67"/>
      <c r="T7" s="67"/>
      <c r="U7" s="67"/>
      <c r="V7" s="67"/>
      <c r="W7" s="67"/>
      <c r="X7" s="67"/>
      <c r="Y7" s="67"/>
      <c r="Z7" s="67"/>
      <c r="AA7" s="67"/>
      <c r="AB7" s="67"/>
      <c r="AC7" s="67"/>
      <c r="AD7" s="67"/>
      <c r="AE7" s="67"/>
      <c r="AF7" s="67"/>
      <c r="AG7" s="67"/>
      <c r="AH7" s="67"/>
      <c r="AI7" s="67"/>
      <c r="AJ7" s="67"/>
      <c r="AK7" s="67"/>
      <c r="AL7" s="67"/>
      <c r="AM7" s="67"/>
      <c r="AN7" s="67"/>
      <c r="AO7" s="67"/>
      <c r="AP7" s="67"/>
      <c r="AQ7" s="67"/>
      <c r="AR7" s="67"/>
      <c r="AS7" s="67"/>
      <c r="AT7" s="67"/>
      <c r="AU7" s="67"/>
      <c r="AV7" s="67"/>
      <c r="AW7" s="67"/>
      <c r="AX7" s="67"/>
      <c r="AY7" s="67"/>
      <c r="AZ7" s="67"/>
      <c r="BA7" s="67"/>
      <c r="BB7" s="67"/>
      <c r="BC7" s="67"/>
      <c r="BD7" s="69"/>
      <c r="BE7" s="69"/>
      <c r="BF7" s="69"/>
      <c r="BG7" s="69"/>
      <c r="BH7" s="69"/>
      <c r="BI7" s="69"/>
      <c r="BJ7" s="82"/>
      <c r="BK7" s="67"/>
      <c r="BL7" s="67"/>
      <c r="BM7" s="67"/>
      <c r="BN7" s="67"/>
      <c r="BO7" s="67"/>
      <c r="BP7" s="67"/>
      <c r="BQ7" s="67"/>
      <c r="BR7" s="67"/>
      <c r="BS7" s="67"/>
      <c r="BT7" s="67"/>
      <c r="BU7" s="67"/>
      <c r="BV7" s="67"/>
      <c r="BW7" s="67"/>
      <c r="BX7" s="67"/>
      <c r="BY7" s="67"/>
      <c r="BZ7" s="67"/>
      <c r="CA7" s="67"/>
      <c r="CB7" s="67"/>
      <c r="CC7" s="67"/>
      <c r="CD7" s="67"/>
      <c r="CE7" s="67"/>
      <c r="CF7" s="67"/>
      <c r="CG7" s="67"/>
      <c r="CH7" s="67"/>
      <c r="CI7" s="67"/>
      <c r="CJ7" s="67"/>
      <c r="CK7" s="67"/>
      <c r="CL7" s="67"/>
      <c r="CM7" s="67"/>
      <c r="CN7" s="67"/>
      <c r="CO7" s="67"/>
      <c r="CP7" s="67"/>
    </row>
    <row r="8" spans="10:94" x14ac:dyDescent="0.15">
      <c r="J8" s="67" t="s">
        <v>237</v>
      </c>
      <c r="K8">
        <v>7.2052791584230071</v>
      </c>
      <c r="L8">
        <v>7.3301534001438231</v>
      </c>
      <c r="M8">
        <v>7.2052791584230071</v>
      </c>
      <c r="N8">
        <v>7.4182835486617273</v>
      </c>
      <c r="O8">
        <v>7.2052791584230071</v>
      </c>
      <c r="P8">
        <v>7.5071437642968384</v>
      </c>
      <c r="Q8">
        <v>7.2052791584230071</v>
      </c>
      <c r="R8">
        <v>7.3507289055038454</v>
      </c>
    </row>
    <row r="9" spans="10:94" x14ac:dyDescent="0.15">
      <c r="J9" s="67" t="s">
        <v>238</v>
      </c>
      <c r="K9">
        <v>5.9398349574672</v>
      </c>
      <c r="L9">
        <v>6.0037819173806506</v>
      </c>
      <c r="M9">
        <v>5.9398349574672</v>
      </c>
      <c r="N9">
        <v>6.1052312256229477</v>
      </c>
      <c r="O9">
        <v>5.9398349574672</v>
      </c>
      <c r="P9">
        <v>6.1782172803890756</v>
      </c>
      <c r="Q9">
        <v>5.9398349574672</v>
      </c>
      <c r="R9">
        <v>6.0497437476869731</v>
      </c>
    </row>
    <row r="10" spans="10:94" x14ac:dyDescent="0.15">
      <c r="J10" s="67" t="s">
        <v>239</v>
      </c>
      <c r="K10">
        <v>6.7040435240388359</v>
      </c>
      <c r="L10">
        <v>6.9041548784208251</v>
      </c>
      <c r="M10">
        <v>6.7040435240388359</v>
      </c>
      <c r="N10">
        <v>7.0205674278355765</v>
      </c>
      <c r="O10">
        <v>6.7040435240388359</v>
      </c>
      <c r="P10">
        <v>7.1042044088790099</v>
      </c>
      <c r="Q10">
        <v>6.7040435240388359</v>
      </c>
      <c r="R10">
        <v>6.9569807592027013</v>
      </c>
    </row>
    <row r="11" spans="10:94" x14ac:dyDescent="0.15">
      <c r="J11" s="67" t="s">
        <v>240</v>
      </c>
      <c r="K11">
        <v>21.733836444679817</v>
      </c>
      <c r="L11">
        <v>21.88029613195846</v>
      </c>
      <c r="M11">
        <v>21.733836444679817</v>
      </c>
      <c r="N11">
        <v>22.021532589266716</v>
      </c>
      <c r="O11">
        <v>21.733836444679817</v>
      </c>
      <c r="P11">
        <v>22.021532589266716</v>
      </c>
      <c r="Q11">
        <v>21.733836444679817</v>
      </c>
      <c r="R11">
        <v>22.021532589266716</v>
      </c>
    </row>
    <row r="12" spans="10:94" x14ac:dyDescent="0.15">
      <c r="J12" s="67" t="s">
        <v>241</v>
      </c>
      <c r="K12">
        <v>4.63768115942029</v>
      </c>
      <c r="L12">
        <v>4.6318890506771853</v>
      </c>
      <c r="M12">
        <v>4.63768115942029</v>
      </c>
      <c r="N12">
        <v>4.7103748349310504</v>
      </c>
      <c r="O12">
        <v>4.63768115942029</v>
      </c>
      <c r="P12">
        <v>4.7669394112450458</v>
      </c>
      <c r="Q12">
        <v>4.63768115942029</v>
      </c>
      <c r="R12">
        <v>4.6673733680863849</v>
      </c>
    </row>
    <row r="13" spans="10:94" x14ac:dyDescent="0.15">
      <c r="J13" s="67" t="s">
        <v>242</v>
      </c>
      <c r="K13">
        <v>4.1071428571428568</v>
      </c>
      <c r="L13">
        <v>4.0897169797249626</v>
      </c>
      <c r="M13">
        <v>4.1071428571428568</v>
      </c>
      <c r="N13">
        <v>4.1590158426765971</v>
      </c>
      <c r="O13">
        <v>4.1071428571428568</v>
      </c>
      <c r="P13">
        <v>4.2089594198372966</v>
      </c>
      <c r="Q13">
        <v>4.1071428571428568</v>
      </c>
      <c r="R13">
        <v>4.1210477853281589</v>
      </c>
    </row>
    <row r="14" spans="10:94" x14ac:dyDescent="0.15">
      <c r="J14" s="67" t="s">
        <v>243</v>
      </c>
      <c r="K14">
        <v>2.0380116959064329</v>
      </c>
      <c r="L14">
        <v>2.4361620125365735</v>
      </c>
      <c r="M14">
        <v>2.0380116959064329</v>
      </c>
      <c r="N14">
        <v>2.4518873432178645</v>
      </c>
      <c r="O14">
        <v>2.0380116959064329</v>
      </c>
      <c r="P14">
        <v>2.4518873432178641</v>
      </c>
      <c r="Q14">
        <v>2.0380116959064329</v>
      </c>
      <c r="R14">
        <v>2.4518873432178641</v>
      </c>
    </row>
    <row r="15" spans="10:94" x14ac:dyDescent="0.15">
      <c r="J15" s="67" t="s">
        <v>246</v>
      </c>
      <c r="K15">
        <v>2.1310886053008629</v>
      </c>
      <c r="L15">
        <v>2.2384009316619511</v>
      </c>
      <c r="M15">
        <v>2.1310886053008629</v>
      </c>
      <c r="N15">
        <v>2.2528497222869408</v>
      </c>
      <c r="O15">
        <v>2.1310886053008629</v>
      </c>
      <c r="P15">
        <v>2.2528497222869408</v>
      </c>
      <c r="Q15">
        <v>2.1310886053008629</v>
      </c>
      <c r="R15">
        <v>2.2528497222869408</v>
      </c>
    </row>
    <row r="16" spans="10:94" x14ac:dyDescent="0.15">
      <c r="J16" s="67" t="s">
        <v>249</v>
      </c>
      <c r="K16">
        <v>3.85</v>
      </c>
      <c r="L16">
        <v>3.9464055361909578</v>
      </c>
      <c r="M16">
        <v>3.85</v>
      </c>
      <c r="N16">
        <v>3.9718794298563709</v>
      </c>
      <c r="O16">
        <v>3.85</v>
      </c>
      <c r="P16">
        <v>3.9718794298563709</v>
      </c>
      <c r="Q16">
        <v>3.85</v>
      </c>
      <c r="R16">
        <v>3.9718794298563709</v>
      </c>
    </row>
    <row r="17" spans="10:18" x14ac:dyDescent="0.15">
      <c r="J17" s="67" t="s">
        <v>252</v>
      </c>
      <c r="K17">
        <v>2.2291219119226637</v>
      </c>
      <c r="L17">
        <v>2.234983459445171</v>
      </c>
      <c r="M17">
        <v>2.2291219119226637</v>
      </c>
      <c r="N17">
        <v>2.2494101904204213</v>
      </c>
      <c r="O17">
        <v>2.2291219119226637</v>
      </c>
      <c r="P17">
        <v>2.2494101904204213</v>
      </c>
      <c r="Q17">
        <v>2.2291219119226637</v>
      </c>
      <c r="R17">
        <v>2.2494101904204213</v>
      </c>
    </row>
    <row r="18" spans="10:18" x14ac:dyDescent="0.15">
      <c r="J18" s="67" t="s">
        <v>254</v>
      </c>
      <c r="K18">
        <v>8.0740117746005051</v>
      </c>
      <c r="L18">
        <v>8.1046162518648668</v>
      </c>
      <c r="M18">
        <v>8.0740117746005051</v>
      </c>
      <c r="N18">
        <v>8.1507951255301183</v>
      </c>
      <c r="O18">
        <v>8.0740117746005051</v>
      </c>
      <c r="P18">
        <v>8.1507951255301165</v>
      </c>
      <c r="Q18">
        <v>8.0740117746005051</v>
      </c>
      <c r="R18">
        <v>8.1507951255301201</v>
      </c>
    </row>
    <row r="19" spans="10:18" x14ac:dyDescent="0.15">
      <c r="J19" s="67" t="s">
        <v>255</v>
      </c>
      <c r="K19">
        <v>7.1889400921658977</v>
      </c>
      <c r="L19">
        <v>7.1534410003920899</v>
      </c>
      <c r="M19">
        <v>7.1889400921658977</v>
      </c>
      <c r="N19">
        <v>7.1996161827737977</v>
      </c>
      <c r="O19">
        <v>7.1889400921658977</v>
      </c>
      <c r="P19">
        <v>7.1996161827737986</v>
      </c>
      <c r="Q19">
        <v>7.1889400921658977</v>
      </c>
      <c r="R19">
        <v>7.1996161827737977</v>
      </c>
    </row>
    <row r="20" spans="10:18" x14ac:dyDescent="0.15">
      <c r="J20" s="67" t="s">
        <v>256</v>
      </c>
      <c r="K20">
        <v>29.999990625002926</v>
      </c>
      <c r="L20">
        <v>30.162962072029899</v>
      </c>
      <c r="M20">
        <v>29.999990625002926</v>
      </c>
      <c r="N20">
        <v>30.308870121062412</v>
      </c>
      <c r="O20">
        <v>29.999990625002926</v>
      </c>
      <c r="P20">
        <v>30.308870121062419</v>
      </c>
      <c r="Q20">
        <v>29.999990625002926</v>
      </c>
      <c r="R20">
        <v>30.308870121062419</v>
      </c>
    </row>
    <row r="21" spans="10:18" x14ac:dyDescent="0.15">
      <c r="J21" s="67" t="s">
        <v>257</v>
      </c>
      <c r="K21">
        <v>36.851040940758722</v>
      </c>
      <c r="L21">
        <v>37.276768324558795</v>
      </c>
      <c r="M21">
        <v>36.851040940758722</v>
      </c>
      <c r="N21">
        <v>37.698872207833091</v>
      </c>
      <c r="O21">
        <v>36.851040940758722</v>
      </c>
      <c r="P21">
        <v>37.698872207833084</v>
      </c>
      <c r="Q21">
        <v>36.851040940758722</v>
      </c>
      <c r="R21">
        <v>37.698872207833084</v>
      </c>
    </row>
    <row r="22" spans="10:18" x14ac:dyDescent="0.15">
      <c r="J22" s="67" t="s">
        <v>265</v>
      </c>
      <c r="K22">
        <v>2.8927207350556858</v>
      </c>
      <c r="L22">
        <v>2.9290609918427037</v>
      </c>
      <c r="M22">
        <v>2.8927207350556858</v>
      </c>
      <c r="N22">
        <v>2.9595736140227991</v>
      </c>
      <c r="O22">
        <v>2.8927207350556858</v>
      </c>
      <c r="P22">
        <v>2.9950959054308757</v>
      </c>
      <c r="Q22">
        <v>2.8927207350556858</v>
      </c>
      <c r="R22">
        <v>2.9325687789000181</v>
      </c>
    </row>
  </sheetData>
  <phoneticPr fontId="14" type="noConversion"/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dimension ref="J6:CP31"/>
  <sheetViews>
    <sheetView topLeftCell="I1" workbookViewId="0">
      <pane xSplit="2" ySplit="7" topLeftCell="AR8" activePane="bottomRight" state="frozen"/>
      <selection pane="topRight"/>
      <selection pane="bottomLeft"/>
      <selection pane="bottomRight" activeCell="BA8" sqref="BA8"/>
    </sheetView>
  </sheetViews>
  <sheetFormatPr defaultColWidth="9" defaultRowHeight="13.5" x14ac:dyDescent="0.15"/>
  <cols>
    <col min="47" max="55" width="9" style="4"/>
    <col min="56" max="61" width="9" style="9"/>
    <col min="62" max="62" width="12.625" style="10" customWidth="1"/>
    <col min="63" max="64" width="9" style="9"/>
  </cols>
  <sheetData>
    <row r="6" spans="10:94" x14ac:dyDescent="0.15">
      <c r="K6" s="67" t="s">
        <v>73</v>
      </c>
      <c r="L6" s="67" t="s">
        <v>73</v>
      </c>
      <c r="M6" s="67" t="s">
        <v>315</v>
      </c>
      <c r="N6" s="67" t="s">
        <v>315</v>
      </c>
      <c r="O6" s="67" t="s">
        <v>316</v>
      </c>
      <c r="P6" s="67" t="s">
        <v>316</v>
      </c>
      <c r="Q6" s="67" t="s">
        <v>317</v>
      </c>
      <c r="R6" s="67" t="s">
        <v>317</v>
      </c>
      <c r="S6" s="67"/>
      <c r="T6" s="67"/>
      <c r="U6" s="67"/>
      <c r="V6" s="67"/>
      <c r="W6" s="67"/>
      <c r="X6" s="67"/>
      <c r="Y6" s="67"/>
      <c r="Z6" s="67"/>
      <c r="AA6" s="67"/>
      <c r="AB6" s="67"/>
      <c r="AC6" s="67"/>
      <c r="AD6" s="67"/>
      <c r="AE6" s="67"/>
      <c r="AF6" s="67"/>
      <c r="AG6" s="67"/>
      <c r="AH6" s="67"/>
      <c r="AI6" s="67"/>
      <c r="AJ6" s="67"/>
      <c r="AK6" s="67"/>
      <c r="AL6" s="67"/>
      <c r="AM6" s="67"/>
      <c r="AN6" s="67"/>
      <c r="AO6" s="67"/>
      <c r="AP6" s="67"/>
      <c r="AQ6" s="67"/>
      <c r="AR6" s="67"/>
      <c r="AS6" s="67"/>
      <c r="AT6" s="67"/>
      <c r="AU6" s="69"/>
      <c r="AV6" s="69"/>
      <c r="AW6" s="69"/>
      <c r="AX6" s="69"/>
      <c r="AY6" s="69"/>
      <c r="AZ6" s="69"/>
      <c r="BA6" s="69"/>
      <c r="BB6" s="69"/>
      <c r="BC6" s="69"/>
      <c r="BD6" s="83"/>
      <c r="BE6" s="83"/>
      <c r="BF6" s="83"/>
      <c r="BG6" s="83"/>
      <c r="BH6" s="83"/>
      <c r="BI6" s="83"/>
      <c r="BJ6" s="84"/>
      <c r="BK6" s="83"/>
      <c r="BL6" s="83"/>
      <c r="BM6" s="67"/>
      <c r="BN6" s="67"/>
      <c r="BO6" s="67"/>
      <c r="BP6" s="67"/>
      <c r="BQ6" s="67"/>
      <c r="BR6" s="67"/>
      <c r="BS6" s="67"/>
      <c r="BT6" s="67"/>
      <c r="BU6" s="67"/>
      <c r="BV6" s="67"/>
      <c r="BW6" s="67"/>
      <c r="BX6" s="67"/>
      <c r="BY6" s="67"/>
      <c r="BZ6" s="67"/>
      <c r="CA6" s="67"/>
      <c r="CB6" s="67"/>
      <c r="CC6" s="67"/>
      <c r="CD6" s="67"/>
      <c r="CE6" s="67"/>
      <c r="CF6" s="67"/>
      <c r="CG6" s="67"/>
      <c r="CH6" s="67"/>
      <c r="CI6" s="67"/>
      <c r="CJ6" s="67"/>
      <c r="CK6" s="67"/>
      <c r="CL6" s="67"/>
      <c r="CM6" s="67"/>
      <c r="CN6" s="67"/>
      <c r="CO6" s="67"/>
      <c r="CP6" s="67"/>
    </row>
    <row r="7" spans="10:94" x14ac:dyDescent="0.15">
      <c r="K7" s="67" t="s">
        <v>76</v>
      </c>
      <c r="L7" s="67" t="s">
        <v>77</v>
      </c>
      <c r="M7" s="67" t="s">
        <v>76</v>
      </c>
      <c r="N7" s="67" t="s">
        <v>77</v>
      </c>
      <c r="O7" s="67" t="s">
        <v>76</v>
      </c>
      <c r="P7" s="67" t="s">
        <v>77</v>
      </c>
      <c r="Q7" s="67" t="s">
        <v>76</v>
      </c>
      <c r="R7" s="67" t="s">
        <v>77</v>
      </c>
      <c r="S7" s="67"/>
      <c r="T7" s="67"/>
      <c r="U7" s="67"/>
      <c r="V7" s="67"/>
      <c r="W7" s="67"/>
      <c r="X7" s="67"/>
      <c r="Y7" s="67"/>
      <c r="Z7" s="67"/>
      <c r="AA7" s="67"/>
      <c r="AB7" s="67"/>
      <c r="AC7" s="67"/>
      <c r="AD7" s="67"/>
      <c r="AE7" s="67"/>
      <c r="AF7" s="67"/>
      <c r="AG7" s="67"/>
      <c r="AH7" s="67"/>
      <c r="AI7" s="67"/>
      <c r="AJ7" s="67"/>
      <c r="AK7" s="67"/>
      <c r="AL7" s="67"/>
      <c r="AM7" s="67"/>
      <c r="AN7" s="67"/>
      <c r="AO7" s="67"/>
      <c r="AP7" s="67"/>
      <c r="AQ7" s="67"/>
      <c r="AR7" s="67"/>
      <c r="AS7" s="67"/>
      <c r="AT7" s="67"/>
      <c r="AU7" s="69"/>
      <c r="AV7" s="69"/>
      <c r="AW7" s="69"/>
      <c r="AX7" s="69"/>
      <c r="AY7" s="69"/>
      <c r="AZ7" s="69"/>
      <c r="BA7" s="69"/>
      <c r="BB7" s="69"/>
      <c r="BC7" s="69"/>
      <c r="BD7" s="83"/>
      <c r="BE7" s="83"/>
      <c r="BF7" s="83"/>
      <c r="BG7" s="83"/>
      <c r="BH7" s="83"/>
      <c r="BI7" s="83"/>
      <c r="BJ7" s="84"/>
      <c r="BK7" s="83"/>
      <c r="BL7" s="83"/>
      <c r="BM7" s="67"/>
      <c r="BN7" s="67"/>
      <c r="BO7" s="67"/>
      <c r="BP7" s="67"/>
      <c r="BQ7" s="67"/>
      <c r="BR7" s="67"/>
      <c r="BS7" s="67"/>
      <c r="BT7" s="67"/>
      <c r="BU7" s="67"/>
      <c r="BV7" s="67"/>
      <c r="BW7" s="67"/>
      <c r="BX7" s="67"/>
      <c r="BY7" s="67"/>
      <c r="BZ7" s="67"/>
      <c r="CA7" s="67"/>
      <c r="CB7" s="67"/>
      <c r="CC7" s="67"/>
      <c r="CD7" s="67"/>
      <c r="CE7" s="67"/>
      <c r="CF7" s="67"/>
      <c r="CG7" s="67"/>
      <c r="CH7" s="67"/>
      <c r="CI7" s="67"/>
      <c r="CJ7" s="67"/>
      <c r="CK7" s="67"/>
      <c r="CL7" s="67"/>
      <c r="CM7" s="67"/>
      <c r="CN7" s="67"/>
      <c r="CO7" s="67"/>
      <c r="CP7" s="67"/>
    </row>
    <row r="8" spans="10:94" x14ac:dyDescent="0.15">
      <c r="J8" s="67" t="s">
        <v>237</v>
      </c>
      <c r="K8">
        <v>202.85999999999999</v>
      </c>
      <c r="L8">
        <v>169.11160481279512</v>
      </c>
      <c r="M8">
        <v>202.85999999999999</v>
      </c>
      <c r="O8">
        <v>202.85999999999999</v>
      </c>
      <c r="Q8">
        <v>202.85999999999999</v>
      </c>
    </row>
    <row r="9" spans="10:94" x14ac:dyDescent="0.15">
      <c r="J9" s="67" t="s">
        <v>238</v>
      </c>
      <c r="K9">
        <v>384.72</v>
      </c>
      <c r="L9">
        <v>158.83046951379765</v>
      </c>
      <c r="M9">
        <v>384.72</v>
      </c>
      <c r="O9">
        <v>384.72</v>
      </c>
      <c r="Q9">
        <v>384.72</v>
      </c>
    </row>
    <row r="10" spans="10:94" x14ac:dyDescent="0.15">
      <c r="J10" s="67" t="s">
        <v>239</v>
      </c>
      <c r="K10">
        <v>264.31</v>
      </c>
      <c r="L10">
        <v>485.4920145184746</v>
      </c>
      <c r="M10">
        <v>264.31</v>
      </c>
      <c r="O10">
        <v>264.31</v>
      </c>
      <c r="Q10">
        <v>264.31</v>
      </c>
      <c r="R10">
        <v>200.06751121972343</v>
      </c>
    </row>
    <row r="11" spans="10:94" x14ac:dyDescent="0.15">
      <c r="J11" s="67" t="s">
        <v>241</v>
      </c>
      <c r="K11">
        <v>454.13295199999999</v>
      </c>
      <c r="L11">
        <v>456.06026191013143</v>
      </c>
      <c r="M11">
        <v>454.13295199999999</v>
      </c>
      <c r="N11">
        <v>448.47296651550971</v>
      </c>
      <c r="O11">
        <v>454.13295199999999</v>
      </c>
      <c r="P11">
        <v>444.88875740598519</v>
      </c>
      <c r="Q11">
        <v>454.13295199999999</v>
      </c>
      <c r="R11">
        <v>451.17695448239147</v>
      </c>
    </row>
    <row r="12" spans="10:94" x14ac:dyDescent="0.15">
      <c r="J12" s="67" t="s">
        <v>242</v>
      </c>
      <c r="K12">
        <v>1050</v>
      </c>
      <c r="L12">
        <v>1076.8986090173576</v>
      </c>
      <c r="M12">
        <v>1050</v>
      </c>
      <c r="N12">
        <v>1069.8053619257992</v>
      </c>
      <c r="O12">
        <v>1050</v>
      </c>
      <c r="P12">
        <v>1066.9906482370436</v>
      </c>
      <c r="Q12">
        <v>1050</v>
      </c>
      <c r="R12">
        <v>1071.9290328109316</v>
      </c>
    </row>
    <row r="13" spans="10:94" x14ac:dyDescent="0.15">
      <c r="J13" s="67" t="s">
        <v>243</v>
      </c>
      <c r="K13">
        <v>11176.199999999999</v>
      </c>
      <c r="L13">
        <v>10049.627981128306</v>
      </c>
      <c r="M13">
        <v>11176.199999999999</v>
      </c>
      <c r="N13">
        <v>10013.336678048287</v>
      </c>
      <c r="O13">
        <v>11176.199999999999</v>
      </c>
      <c r="P13">
        <v>10013.336678048257</v>
      </c>
      <c r="Q13">
        <v>11176.199999999999</v>
      </c>
      <c r="R13">
        <v>10013.336678048259</v>
      </c>
    </row>
    <row r="14" spans="10:94" x14ac:dyDescent="0.15">
      <c r="J14" s="67" t="s">
        <v>245</v>
      </c>
      <c r="L14">
        <v>120.69223943368252</v>
      </c>
      <c r="N14">
        <v>120.3945600193365</v>
      </c>
      <c r="P14">
        <v>120.3945600193365</v>
      </c>
      <c r="R14">
        <v>120.3945600193365</v>
      </c>
    </row>
    <row r="15" spans="10:94" x14ac:dyDescent="0.15">
      <c r="J15" s="67" t="s">
        <v>246</v>
      </c>
      <c r="K15">
        <v>250.33</v>
      </c>
      <c r="L15">
        <v>237.60935916306465</v>
      </c>
      <c r="M15">
        <v>250.33</v>
      </c>
      <c r="N15">
        <v>221.40318519667807</v>
      </c>
      <c r="O15">
        <v>250.33</v>
      </c>
      <c r="P15">
        <v>221.40318519667312</v>
      </c>
      <c r="Q15">
        <v>250.33</v>
      </c>
      <c r="R15">
        <v>221.40318519667471</v>
      </c>
    </row>
    <row r="16" spans="10:94" x14ac:dyDescent="0.15">
      <c r="J16" s="67" t="s">
        <v>247</v>
      </c>
      <c r="K16">
        <v>208.56</v>
      </c>
      <c r="L16">
        <v>188.11320339113453</v>
      </c>
      <c r="M16">
        <v>208.56</v>
      </c>
      <c r="N16">
        <v>187.93893467278383</v>
      </c>
      <c r="O16">
        <v>208.56</v>
      </c>
      <c r="P16">
        <v>187.93893467278406</v>
      </c>
      <c r="Q16">
        <v>208.56</v>
      </c>
      <c r="R16">
        <v>187.93893467278394</v>
      </c>
    </row>
    <row r="17" spans="10:18" x14ac:dyDescent="0.15">
      <c r="J17" s="67" t="s">
        <v>248</v>
      </c>
      <c r="K17">
        <v>276.72000000000003</v>
      </c>
      <c r="L17">
        <v>193.88572399243014</v>
      </c>
      <c r="M17">
        <v>276.72000000000003</v>
      </c>
      <c r="N17">
        <v>194.03666735299566</v>
      </c>
      <c r="O17">
        <v>276.72000000000003</v>
      </c>
      <c r="P17">
        <v>194.03666735299589</v>
      </c>
      <c r="Q17">
        <v>276.72000000000003</v>
      </c>
      <c r="R17">
        <v>194.03666735299566</v>
      </c>
    </row>
    <row r="18" spans="10:18" x14ac:dyDescent="0.15">
      <c r="J18" s="67" t="s">
        <v>249</v>
      </c>
      <c r="K18">
        <v>5.1899999999999977</v>
      </c>
      <c r="M18">
        <v>5.1899999999999977</v>
      </c>
      <c r="O18">
        <v>5.1899999999999977</v>
      </c>
      <c r="Q18">
        <v>5.1899999999999977</v>
      </c>
    </row>
    <row r="19" spans="10:18" x14ac:dyDescent="0.15">
      <c r="J19" s="67" t="s">
        <v>250</v>
      </c>
      <c r="K19">
        <v>39.089999999999996</v>
      </c>
      <c r="L19">
        <v>38.128877736370463</v>
      </c>
      <c r="M19">
        <v>39.089999999999996</v>
      </c>
      <c r="N19">
        <v>38.123325759658201</v>
      </c>
      <c r="O19">
        <v>39.089999999999996</v>
      </c>
      <c r="P19">
        <v>38.123325759658201</v>
      </c>
      <c r="Q19">
        <v>39.089999999999996</v>
      </c>
      <c r="R19">
        <v>38.123325759658201</v>
      </c>
    </row>
    <row r="20" spans="10:18" x14ac:dyDescent="0.15">
      <c r="J20" s="67" t="s">
        <v>252</v>
      </c>
      <c r="K20">
        <v>104</v>
      </c>
      <c r="L20">
        <v>155.54357523559818</v>
      </c>
      <c r="M20">
        <v>104</v>
      </c>
      <c r="N20">
        <v>148.60238834432425</v>
      </c>
      <c r="O20">
        <v>104</v>
      </c>
      <c r="P20">
        <v>148.60238834432414</v>
      </c>
      <c r="Q20">
        <v>104</v>
      </c>
      <c r="R20">
        <v>148.60238834432448</v>
      </c>
    </row>
    <row r="21" spans="10:18" x14ac:dyDescent="0.15">
      <c r="J21" s="67" t="s">
        <v>253</v>
      </c>
      <c r="K21">
        <v>446</v>
      </c>
      <c r="L21">
        <v>473.92233383298981</v>
      </c>
      <c r="M21">
        <v>446</v>
      </c>
      <c r="N21">
        <v>465.22639694825693</v>
      </c>
      <c r="O21">
        <v>446</v>
      </c>
      <c r="P21">
        <v>465.22639694825693</v>
      </c>
      <c r="Q21">
        <v>446</v>
      </c>
      <c r="R21">
        <v>465.22639694825648</v>
      </c>
    </row>
    <row r="22" spans="10:18" x14ac:dyDescent="0.15">
      <c r="J22" s="67" t="s">
        <v>256</v>
      </c>
      <c r="K22">
        <v>330.81000000000006</v>
      </c>
      <c r="L22">
        <v>408.79999312328516</v>
      </c>
      <c r="M22">
        <v>330.81000000000006</v>
      </c>
      <c r="N22">
        <v>428.28491745641389</v>
      </c>
      <c r="O22">
        <v>330.81000000000006</v>
      </c>
      <c r="P22">
        <v>428.28491745642663</v>
      </c>
      <c r="Q22">
        <v>330.81000000000006</v>
      </c>
      <c r="R22">
        <v>428.28491745643976</v>
      </c>
    </row>
    <row r="23" spans="10:18" x14ac:dyDescent="0.15">
      <c r="J23" s="67" t="s">
        <v>258</v>
      </c>
      <c r="K23">
        <v>93.039999999999992</v>
      </c>
      <c r="L23">
        <v>94.118300031788792</v>
      </c>
      <c r="M23">
        <v>93.039999999999992</v>
      </c>
      <c r="N23">
        <v>338.11121106965425</v>
      </c>
      <c r="O23">
        <v>93.039999999999992</v>
      </c>
      <c r="P23">
        <v>338.11121106965754</v>
      </c>
      <c r="Q23">
        <v>93.039999999999992</v>
      </c>
      <c r="R23">
        <v>338.11121106965857</v>
      </c>
    </row>
    <row r="24" spans="10:18" x14ac:dyDescent="0.15">
      <c r="J24" s="67" t="s">
        <v>259</v>
      </c>
      <c r="K24">
        <v>279.88</v>
      </c>
      <c r="L24">
        <v>289.52644365691128</v>
      </c>
      <c r="M24">
        <v>279.88</v>
      </c>
      <c r="N24">
        <v>361.72566851108695</v>
      </c>
      <c r="O24">
        <v>279.88</v>
      </c>
      <c r="P24">
        <v>361.72566851108559</v>
      </c>
      <c r="Q24">
        <v>279.88</v>
      </c>
      <c r="R24">
        <v>361.72566851108479</v>
      </c>
    </row>
    <row r="25" spans="10:18" x14ac:dyDescent="0.15">
      <c r="J25" s="67" t="s">
        <v>260</v>
      </c>
      <c r="K25">
        <v>33.677999999999997</v>
      </c>
      <c r="L25">
        <v>33.358162075726227</v>
      </c>
      <c r="M25">
        <v>33.677999999999997</v>
      </c>
      <c r="N25">
        <v>35.027850208634653</v>
      </c>
      <c r="O25">
        <v>33.677999999999997</v>
      </c>
      <c r="P25">
        <v>35.027850208634078</v>
      </c>
      <c r="Q25">
        <v>33.677999999999997</v>
      </c>
      <c r="R25">
        <v>35.027850208634469</v>
      </c>
    </row>
    <row r="26" spans="10:18" x14ac:dyDescent="0.15">
      <c r="J26" s="67" t="s">
        <v>261</v>
      </c>
      <c r="L26">
        <v>26.715280823982656</v>
      </c>
    </row>
    <row r="27" spans="10:18" x14ac:dyDescent="0.15">
      <c r="J27" s="67" t="s">
        <v>263</v>
      </c>
      <c r="K27">
        <v>1590.8</v>
      </c>
      <c r="L27">
        <v>1579.1419304904646</v>
      </c>
      <c r="M27">
        <v>1590.8</v>
      </c>
      <c r="N27">
        <v>1665.6246617593506</v>
      </c>
      <c r="O27">
        <v>1590.8</v>
      </c>
      <c r="P27">
        <v>1665.6246617593379</v>
      </c>
      <c r="Q27">
        <v>1590.8</v>
      </c>
      <c r="R27">
        <v>1665.6246617593424</v>
      </c>
    </row>
    <row r="28" spans="10:18" x14ac:dyDescent="0.15">
      <c r="J28" s="67" t="s">
        <v>264</v>
      </c>
      <c r="K28">
        <v>249.35000000000002</v>
      </c>
      <c r="L28">
        <v>352.7815508300464</v>
      </c>
      <c r="M28">
        <v>249.35000000000002</v>
      </c>
      <c r="N28">
        <v>372.66144117309068</v>
      </c>
      <c r="O28">
        <v>249.35000000000002</v>
      </c>
      <c r="P28">
        <v>372.66144117308289</v>
      </c>
      <c r="Q28">
        <v>249.35000000000002</v>
      </c>
      <c r="R28">
        <v>372.66144117308573</v>
      </c>
    </row>
    <row r="29" spans="10:18" x14ac:dyDescent="0.15">
      <c r="J29" s="67" t="s">
        <v>265</v>
      </c>
      <c r="K29">
        <v>1891.7770480000001</v>
      </c>
      <c r="L29">
        <v>1908.5830371383922</v>
      </c>
      <c r="M29">
        <v>1891.7770480000001</v>
      </c>
      <c r="N29">
        <v>1864.9687790864978</v>
      </c>
      <c r="O29">
        <v>1891.7770480000001</v>
      </c>
      <c r="P29">
        <v>1824.7491760856708</v>
      </c>
      <c r="Q29">
        <v>1891.7770480000001</v>
      </c>
      <c r="R29">
        <v>1895.3133872770475</v>
      </c>
    </row>
    <row r="30" spans="10:18" x14ac:dyDescent="0.15">
      <c r="J30" s="67"/>
    </row>
    <row r="31" spans="10:18" x14ac:dyDescent="0.15">
      <c r="J31" s="67"/>
    </row>
  </sheetData>
  <phoneticPr fontId="14" type="noConversion"/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dimension ref="J6:CP36"/>
  <sheetViews>
    <sheetView topLeftCell="B1" workbookViewId="0">
      <selection activeCell="Q54" sqref="Q54"/>
    </sheetView>
  </sheetViews>
  <sheetFormatPr defaultColWidth="9" defaultRowHeight="13.5" x14ac:dyDescent="0.15"/>
  <sheetData>
    <row r="6" spans="10:94" x14ac:dyDescent="0.15">
      <c r="K6" s="67" t="s">
        <v>73</v>
      </c>
      <c r="L6" s="67" t="s">
        <v>73</v>
      </c>
      <c r="M6" s="67" t="s">
        <v>315</v>
      </c>
      <c r="N6" s="67" t="s">
        <v>315</v>
      </c>
      <c r="O6" s="67" t="s">
        <v>316</v>
      </c>
      <c r="P6" s="67" t="s">
        <v>316</v>
      </c>
      <c r="Q6" s="67" t="s">
        <v>317</v>
      </c>
      <c r="R6" s="67" t="s">
        <v>317</v>
      </c>
      <c r="S6" s="67"/>
      <c r="T6" s="67"/>
      <c r="U6" s="67"/>
      <c r="V6" s="67"/>
      <c r="W6" s="67"/>
      <c r="X6" s="67"/>
      <c r="Y6" s="67"/>
      <c r="Z6" s="67"/>
      <c r="AA6" s="67"/>
      <c r="AB6" s="67"/>
      <c r="AC6" s="67"/>
      <c r="AD6" s="67"/>
      <c r="AE6" s="67"/>
      <c r="AF6" s="67"/>
      <c r="AG6" s="67"/>
      <c r="AH6" s="67"/>
      <c r="AI6" s="67"/>
      <c r="AJ6" s="67"/>
      <c r="AK6" s="67"/>
      <c r="AL6" s="67"/>
      <c r="AM6" s="67"/>
      <c r="AN6" s="67"/>
      <c r="AO6" s="67"/>
      <c r="AP6" s="67"/>
      <c r="AQ6" s="67"/>
      <c r="AR6" s="67"/>
      <c r="AS6" s="67"/>
      <c r="AT6" s="67"/>
      <c r="AU6" s="67"/>
      <c r="AV6" s="67"/>
      <c r="AW6" s="67"/>
      <c r="AX6" s="67"/>
      <c r="AY6" s="67"/>
      <c r="AZ6" s="67"/>
      <c r="BA6" s="67"/>
      <c r="BB6" s="67"/>
      <c r="BC6" s="67"/>
      <c r="BD6" s="67"/>
      <c r="BE6" s="67"/>
      <c r="BF6" s="67"/>
      <c r="BG6" s="67"/>
      <c r="BH6" s="67"/>
      <c r="BI6" s="67"/>
      <c r="BJ6" s="67"/>
      <c r="BK6" s="67"/>
      <c r="BL6" s="67"/>
      <c r="BM6" s="67"/>
      <c r="BN6" s="67"/>
      <c r="BO6" s="67"/>
      <c r="BP6" s="67"/>
      <c r="BQ6" s="67"/>
      <c r="BR6" s="67"/>
      <c r="BS6" s="67"/>
      <c r="BT6" s="67"/>
      <c r="BU6" s="67"/>
      <c r="BV6" s="67"/>
      <c r="BW6" s="67"/>
      <c r="BX6" s="67"/>
      <c r="BY6" s="67"/>
      <c r="BZ6" s="67"/>
      <c r="CA6" s="67"/>
      <c r="CB6" s="67"/>
      <c r="CC6" s="67"/>
      <c r="CD6" s="67"/>
      <c r="CE6" s="67"/>
      <c r="CF6" s="67"/>
      <c r="CG6" s="67"/>
      <c r="CH6" s="67"/>
      <c r="CI6" s="67"/>
      <c r="CJ6" s="67"/>
      <c r="CK6" s="67"/>
      <c r="CL6" s="67"/>
      <c r="CM6" s="67"/>
      <c r="CN6" s="67"/>
      <c r="CO6" s="67"/>
      <c r="CP6" s="67"/>
    </row>
    <row r="7" spans="10:94" x14ac:dyDescent="0.15">
      <c r="K7" s="67" t="s">
        <v>76</v>
      </c>
      <c r="L7" s="67" t="s">
        <v>77</v>
      </c>
      <c r="M7" s="67" t="s">
        <v>76</v>
      </c>
      <c r="N7" s="67" t="s">
        <v>77</v>
      </c>
      <c r="O7" s="67" t="s">
        <v>76</v>
      </c>
      <c r="P7" s="67" t="s">
        <v>77</v>
      </c>
      <c r="Q7" s="67" t="s">
        <v>76</v>
      </c>
      <c r="R7" s="67" t="s">
        <v>77</v>
      </c>
      <c r="S7" s="67"/>
      <c r="T7" s="67"/>
      <c r="U7" s="67"/>
      <c r="V7" s="67"/>
      <c r="W7" s="67"/>
      <c r="X7" s="67"/>
      <c r="Y7" s="67"/>
      <c r="Z7" s="67"/>
      <c r="AA7" s="67"/>
      <c r="AB7" s="67"/>
      <c r="AC7" s="67"/>
      <c r="AD7" s="67"/>
      <c r="AE7" s="67"/>
      <c r="AF7" s="67"/>
      <c r="AG7" s="67"/>
      <c r="AH7" s="67"/>
      <c r="AI7" s="67"/>
      <c r="AJ7" s="67"/>
      <c r="AK7" s="67"/>
      <c r="AL7" s="67"/>
      <c r="AM7" s="67"/>
      <c r="AN7" s="67"/>
      <c r="AO7" s="67"/>
      <c r="AP7" s="67"/>
      <c r="AQ7" s="67"/>
      <c r="AR7" s="67"/>
      <c r="AS7" s="67"/>
      <c r="AT7" s="67"/>
      <c r="AU7" s="67"/>
      <c r="AV7" s="67"/>
      <c r="AW7" s="67"/>
      <c r="AX7" s="67"/>
      <c r="AY7" s="67"/>
      <c r="AZ7" s="67"/>
      <c r="BA7" s="67"/>
      <c r="BB7" s="67"/>
      <c r="BC7" s="67"/>
      <c r="BD7" s="67"/>
      <c r="BE7" s="67"/>
      <c r="BF7" s="67"/>
      <c r="BG7" s="67"/>
      <c r="BH7" s="67"/>
      <c r="BI7" s="67"/>
      <c r="BJ7" s="67"/>
      <c r="BK7" s="67"/>
      <c r="BL7" s="67"/>
      <c r="BM7" s="67"/>
      <c r="BN7" s="67"/>
      <c r="BO7" s="67"/>
      <c r="BP7" s="67"/>
      <c r="BQ7" s="67"/>
      <c r="BR7" s="67"/>
      <c r="BS7" s="67"/>
      <c r="BT7" s="67"/>
      <c r="BU7" s="67"/>
      <c r="BV7" s="67"/>
      <c r="BW7" s="67"/>
      <c r="BX7" s="67"/>
      <c r="BY7" s="67"/>
      <c r="BZ7" s="67"/>
      <c r="CA7" s="67"/>
      <c r="CB7" s="67"/>
      <c r="CC7" s="67"/>
      <c r="CD7" s="67"/>
      <c r="CE7" s="67"/>
      <c r="CF7" s="67"/>
      <c r="CG7" s="67"/>
      <c r="CH7" s="67"/>
      <c r="CI7" s="67"/>
      <c r="CJ7" s="67"/>
      <c r="CK7" s="67"/>
      <c r="CL7" s="67"/>
      <c r="CM7" s="67"/>
      <c r="CN7" s="67"/>
      <c r="CO7" s="67"/>
      <c r="CP7" s="67"/>
    </row>
    <row r="8" spans="10:94" x14ac:dyDescent="0.15">
      <c r="J8" s="67" t="s">
        <v>237</v>
      </c>
      <c r="K8">
        <v>21106.959999999999</v>
      </c>
      <c r="L8">
        <v>21382.955550256174</v>
      </c>
      <c r="M8">
        <v>21106.959999999999</v>
      </c>
      <c r="N8">
        <v>21486.077778692954</v>
      </c>
      <c r="O8">
        <v>21106.959999999999</v>
      </c>
      <c r="P8">
        <v>21765.198315669553</v>
      </c>
      <c r="Q8">
        <v>21106.959999999999</v>
      </c>
      <c r="R8">
        <v>21275.517948766032</v>
      </c>
    </row>
    <row r="9" spans="10:94" x14ac:dyDescent="0.15">
      <c r="J9" s="67" t="s">
        <v>238</v>
      </c>
      <c r="K9">
        <v>14391.92</v>
      </c>
      <c r="L9">
        <v>14271.073390942303</v>
      </c>
      <c r="M9">
        <v>14391.92</v>
      </c>
      <c r="N9">
        <v>14362.18973292191</v>
      </c>
      <c r="O9">
        <v>14391.92</v>
      </c>
      <c r="P9">
        <v>14548.422415526275</v>
      </c>
      <c r="Q9">
        <v>14391.92</v>
      </c>
      <c r="R9">
        <v>14221.700994737343</v>
      </c>
    </row>
    <row r="10" spans="10:94" x14ac:dyDescent="0.15">
      <c r="J10" s="67" t="s">
        <v>239</v>
      </c>
      <c r="K10">
        <v>30387.81</v>
      </c>
      <c r="L10">
        <v>31392.089343439889</v>
      </c>
      <c r="M10">
        <v>30387.81</v>
      </c>
      <c r="N10">
        <v>31452.87082536846</v>
      </c>
      <c r="O10">
        <v>30387.81</v>
      </c>
      <c r="P10">
        <v>31859.40839321231</v>
      </c>
      <c r="Q10">
        <v>30387.81</v>
      </c>
      <c r="R10">
        <v>31346.255459902542</v>
      </c>
    </row>
    <row r="11" spans="10:94" x14ac:dyDescent="0.15">
      <c r="J11" s="67" t="s">
        <v>240</v>
      </c>
      <c r="K11">
        <v>9864.0400000000009</v>
      </c>
      <c r="L11">
        <v>9927.2328696004897</v>
      </c>
      <c r="M11">
        <v>9864.0400000000009</v>
      </c>
      <c r="N11">
        <v>9991.3127702069742</v>
      </c>
      <c r="O11">
        <v>9864.0400000000009</v>
      </c>
      <c r="P11">
        <v>9991.3127702069687</v>
      </c>
      <c r="Q11">
        <v>9864.0400000000009</v>
      </c>
      <c r="R11">
        <v>9991.3127702069669</v>
      </c>
    </row>
    <row r="12" spans="10:94" x14ac:dyDescent="0.15">
      <c r="J12" s="67" t="s">
        <v>241</v>
      </c>
      <c r="K12">
        <v>774.13295199999993</v>
      </c>
      <c r="L12">
        <v>776.71927675409313</v>
      </c>
      <c r="M12">
        <v>774.13295199999993</v>
      </c>
      <c r="N12">
        <v>774.82639675311975</v>
      </c>
      <c r="O12">
        <v>774.13295199999993</v>
      </c>
      <c r="P12">
        <v>775.49155729566655</v>
      </c>
      <c r="Q12">
        <v>774.13295199999993</v>
      </c>
      <c r="R12">
        <v>774.32481041429583</v>
      </c>
    </row>
    <row r="13" spans="10:94" x14ac:dyDescent="0.15">
      <c r="J13" s="67" t="s">
        <v>242</v>
      </c>
      <c r="K13">
        <v>1280</v>
      </c>
      <c r="L13">
        <v>1305.2695267961401</v>
      </c>
      <c r="M13">
        <v>1280</v>
      </c>
      <c r="N13">
        <v>1302.2317991487919</v>
      </c>
      <c r="O13">
        <v>1280</v>
      </c>
      <c r="P13">
        <v>1302.4434542895456</v>
      </c>
      <c r="Q13">
        <v>1280</v>
      </c>
      <c r="R13">
        <v>1302.0724843316254</v>
      </c>
    </row>
    <row r="14" spans="10:94" x14ac:dyDescent="0.15">
      <c r="J14" s="67" t="s">
        <v>243</v>
      </c>
      <c r="K14">
        <v>13267.199999999999</v>
      </c>
      <c r="L14">
        <v>12795.130813053824</v>
      </c>
      <c r="M14">
        <v>13267.199999999999</v>
      </c>
      <c r="N14">
        <v>12776.561623567351</v>
      </c>
      <c r="O14">
        <v>13267.199999999999</v>
      </c>
      <c r="P14">
        <v>12776.561623567319</v>
      </c>
      <c r="Q14">
        <v>13267.199999999999</v>
      </c>
      <c r="R14">
        <v>12776.561623567321</v>
      </c>
    </row>
    <row r="15" spans="10:94" x14ac:dyDescent="0.15">
      <c r="J15" s="67" t="s">
        <v>244</v>
      </c>
      <c r="K15">
        <v>1870.9999999999998</v>
      </c>
      <c r="L15">
        <v>1898.2203465284226</v>
      </c>
      <c r="M15">
        <v>1870.9999999999998</v>
      </c>
      <c r="N15">
        <v>1910.973861187573</v>
      </c>
      <c r="O15">
        <v>1870.9999999999998</v>
      </c>
      <c r="P15">
        <v>1910.9738611875707</v>
      </c>
      <c r="Q15">
        <v>1870.9999999999998</v>
      </c>
      <c r="R15">
        <v>1910.9738611875714</v>
      </c>
    </row>
    <row r="16" spans="10:94" x14ac:dyDescent="0.15">
      <c r="J16" s="67" t="s">
        <v>245</v>
      </c>
      <c r="K16">
        <v>8100</v>
      </c>
      <c r="L16">
        <v>8134.908253633188</v>
      </c>
      <c r="M16">
        <v>8100</v>
      </c>
      <c r="N16">
        <v>8122.6091643527589</v>
      </c>
      <c r="O16">
        <v>8100</v>
      </c>
      <c r="P16">
        <v>8122.6091643527498</v>
      </c>
      <c r="Q16">
        <v>8100</v>
      </c>
      <c r="R16">
        <v>8122.6091643527516</v>
      </c>
    </row>
    <row r="17" spans="10:18" x14ac:dyDescent="0.15">
      <c r="J17" s="67" t="s">
        <v>246</v>
      </c>
      <c r="K17">
        <v>1987.8267000000001</v>
      </c>
      <c r="L17">
        <v>2151.8531686504771</v>
      </c>
      <c r="M17">
        <v>1987.8267000000001</v>
      </c>
      <c r="N17">
        <v>2148.0033637407873</v>
      </c>
      <c r="O17">
        <v>1987.8267000000001</v>
      </c>
      <c r="P17">
        <v>2148.0033637407819</v>
      </c>
      <c r="Q17">
        <v>1987.8267000000001</v>
      </c>
      <c r="R17">
        <v>2148.0033637407842</v>
      </c>
    </row>
    <row r="18" spans="10:18" x14ac:dyDescent="0.15">
      <c r="J18" s="67" t="s">
        <v>247</v>
      </c>
      <c r="K18">
        <v>980.76000000000022</v>
      </c>
      <c r="L18">
        <v>1008.7481483685565</v>
      </c>
      <c r="M18">
        <v>980.76000000000022</v>
      </c>
      <c r="N18">
        <v>1015.5681782110315</v>
      </c>
      <c r="O18">
        <v>980.76000000000022</v>
      </c>
      <c r="P18">
        <v>1015.5681782110302</v>
      </c>
      <c r="Q18">
        <v>980.76000000000022</v>
      </c>
      <c r="R18">
        <v>1015.56817821103</v>
      </c>
    </row>
    <row r="19" spans="10:18" x14ac:dyDescent="0.15">
      <c r="J19" s="67" t="s">
        <v>248</v>
      </c>
      <c r="K19">
        <v>1445.12</v>
      </c>
      <c r="L19">
        <v>1449.7550302565539</v>
      </c>
      <c r="M19">
        <v>1445.12</v>
      </c>
      <c r="N19">
        <v>1447.6174869826575</v>
      </c>
      <c r="O19">
        <v>1445.12</v>
      </c>
      <c r="P19">
        <v>1447.6174869826557</v>
      </c>
      <c r="Q19">
        <v>1445.12</v>
      </c>
      <c r="R19">
        <v>1447.6174869826568</v>
      </c>
    </row>
    <row r="20" spans="10:18" x14ac:dyDescent="0.15">
      <c r="J20" s="67" t="s">
        <v>249</v>
      </c>
      <c r="K20">
        <v>1910.9399999999998</v>
      </c>
      <c r="L20">
        <v>1972.1377093917065</v>
      </c>
      <c r="M20">
        <v>1910.9399999999998</v>
      </c>
      <c r="N20">
        <v>1984.8677813120614</v>
      </c>
      <c r="O20">
        <v>1910.9399999999998</v>
      </c>
      <c r="P20">
        <v>1984.8677813120612</v>
      </c>
      <c r="Q20">
        <v>1910.9399999999998</v>
      </c>
      <c r="R20">
        <v>1984.8677813120621</v>
      </c>
    </row>
    <row r="21" spans="10:18" x14ac:dyDescent="0.15">
      <c r="J21" s="67" t="s">
        <v>250</v>
      </c>
      <c r="K21">
        <v>359.09</v>
      </c>
      <c r="L21">
        <v>376.10593747424912</v>
      </c>
      <c r="M21">
        <v>359.09</v>
      </c>
      <c r="N21">
        <v>378.05272895678075</v>
      </c>
      <c r="O21">
        <v>359.09</v>
      </c>
      <c r="P21">
        <v>378.05272895678081</v>
      </c>
      <c r="Q21">
        <v>359.09</v>
      </c>
      <c r="R21">
        <v>378.05272895678081</v>
      </c>
    </row>
    <row r="22" spans="10:18" x14ac:dyDescent="0.15">
      <c r="J22" s="67" t="s">
        <v>251</v>
      </c>
      <c r="K22">
        <v>398</v>
      </c>
      <c r="L22">
        <v>404.93371536848525</v>
      </c>
      <c r="M22">
        <v>398</v>
      </c>
      <c r="N22">
        <v>404.32933966707321</v>
      </c>
      <c r="O22">
        <v>398</v>
      </c>
      <c r="P22">
        <v>404.32933966707287</v>
      </c>
      <c r="Q22">
        <v>398</v>
      </c>
      <c r="R22">
        <v>404.3293396670731</v>
      </c>
    </row>
    <row r="23" spans="10:18" x14ac:dyDescent="0.15">
      <c r="J23" s="67" t="s">
        <v>252</v>
      </c>
      <c r="K23">
        <v>768.1</v>
      </c>
      <c r="L23">
        <v>817.58307352566919</v>
      </c>
      <c r="M23">
        <v>768.1</v>
      </c>
      <c r="N23">
        <v>815.0406943249651</v>
      </c>
      <c r="O23">
        <v>768.1</v>
      </c>
      <c r="P23">
        <v>815.04069432496487</v>
      </c>
      <c r="Q23">
        <v>768.1</v>
      </c>
      <c r="R23">
        <v>815.04069432496522</v>
      </c>
    </row>
    <row r="24" spans="10:18" x14ac:dyDescent="0.15">
      <c r="J24" s="67" t="s">
        <v>253</v>
      </c>
      <c r="K24">
        <v>1562</v>
      </c>
      <c r="L24">
        <v>1607.8327555108319</v>
      </c>
      <c r="M24">
        <v>1562</v>
      </c>
      <c r="N24">
        <v>1604.1497105238229</v>
      </c>
      <c r="O24">
        <v>1562</v>
      </c>
      <c r="P24">
        <v>1604.1497105238232</v>
      </c>
      <c r="Q24">
        <v>1562</v>
      </c>
      <c r="R24">
        <v>1604.1497105238232</v>
      </c>
    </row>
    <row r="25" spans="10:18" x14ac:dyDescent="0.15">
      <c r="J25" s="67" t="s">
        <v>254</v>
      </c>
      <c r="K25">
        <v>960</v>
      </c>
      <c r="L25">
        <v>977.11868260725657</v>
      </c>
      <c r="M25">
        <v>960</v>
      </c>
      <c r="N25">
        <v>981.90997713315789</v>
      </c>
      <c r="O25">
        <v>960</v>
      </c>
      <c r="P25">
        <v>981.90997713315767</v>
      </c>
      <c r="Q25">
        <v>960</v>
      </c>
      <c r="R25">
        <v>981.90997713315824</v>
      </c>
    </row>
    <row r="26" spans="10:18" x14ac:dyDescent="0.15">
      <c r="J26" s="67" t="s">
        <v>255</v>
      </c>
      <c r="K26">
        <v>156</v>
      </c>
      <c r="L26">
        <v>156.27590582439558</v>
      </c>
      <c r="M26">
        <v>156</v>
      </c>
      <c r="N26">
        <v>157.29057895655666</v>
      </c>
      <c r="O26">
        <v>156</v>
      </c>
      <c r="P26">
        <v>157.29057895655666</v>
      </c>
      <c r="Q26">
        <v>156</v>
      </c>
      <c r="R26">
        <v>157.29057895655663</v>
      </c>
    </row>
    <row r="27" spans="10:18" x14ac:dyDescent="0.15">
      <c r="J27" s="67" t="s">
        <v>256</v>
      </c>
      <c r="K27">
        <v>32330.809999999998</v>
      </c>
      <c r="L27">
        <v>32508.640463352112</v>
      </c>
      <c r="M27">
        <v>32330.809999999998</v>
      </c>
      <c r="N27">
        <v>32689.4716343043</v>
      </c>
      <c r="O27">
        <v>32330.809999999998</v>
      </c>
      <c r="P27">
        <v>32689.4716343043</v>
      </c>
      <c r="Q27">
        <v>32330.809999999998</v>
      </c>
      <c r="R27">
        <v>32689.471634304307</v>
      </c>
    </row>
    <row r="28" spans="10:18" x14ac:dyDescent="0.15">
      <c r="J28" s="67" t="s">
        <v>257</v>
      </c>
      <c r="K28">
        <v>86200.093980000034</v>
      </c>
      <c r="L28">
        <v>87244.861870028195</v>
      </c>
      <c r="M28">
        <v>86200.093980000034</v>
      </c>
      <c r="N28">
        <v>88236.099990161994</v>
      </c>
      <c r="O28">
        <v>86200.093980000034</v>
      </c>
      <c r="P28">
        <v>88236.099990161965</v>
      </c>
      <c r="Q28">
        <v>86200.093980000034</v>
      </c>
      <c r="R28">
        <v>88236.09999016198</v>
      </c>
    </row>
    <row r="29" spans="10:18" x14ac:dyDescent="0.15">
      <c r="J29" s="67" t="s">
        <v>258</v>
      </c>
      <c r="K29">
        <v>6031.0399999999945</v>
      </c>
      <c r="L29">
        <v>5830.0989974094464</v>
      </c>
      <c r="M29">
        <v>6031.0399999999945</v>
      </c>
      <c r="N29">
        <v>6065.3113634779293</v>
      </c>
      <c r="O29">
        <v>6031.0399999999945</v>
      </c>
      <c r="P29">
        <v>6065.3113634779284</v>
      </c>
      <c r="Q29">
        <v>6031.0399999999945</v>
      </c>
      <c r="R29">
        <v>6065.3113634779311</v>
      </c>
    </row>
    <row r="30" spans="10:18" x14ac:dyDescent="0.15">
      <c r="J30" s="67" t="s">
        <v>259</v>
      </c>
      <c r="K30">
        <v>1080.8800000000001</v>
      </c>
      <c r="L30">
        <v>1050.4859007578575</v>
      </c>
      <c r="M30">
        <v>1080.8800000000001</v>
      </c>
      <c r="N30">
        <v>1121.5202613829731</v>
      </c>
      <c r="O30">
        <v>1080.8800000000001</v>
      </c>
      <c r="P30">
        <v>1121.5202613829717</v>
      </c>
      <c r="Q30">
        <v>1080.8800000000001</v>
      </c>
      <c r="R30">
        <v>1121.5202613829711</v>
      </c>
    </row>
    <row r="31" spans="10:18" x14ac:dyDescent="0.15">
      <c r="J31" s="67" t="s">
        <v>260</v>
      </c>
      <c r="K31">
        <v>529.67800000000011</v>
      </c>
      <c r="L31">
        <v>555.71431395573757</v>
      </c>
      <c r="M31">
        <v>529.67800000000011</v>
      </c>
      <c r="N31">
        <v>557.1031720138111</v>
      </c>
      <c r="O31">
        <v>529.67800000000011</v>
      </c>
      <c r="P31">
        <v>557.10317201381019</v>
      </c>
      <c r="Q31">
        <v>529.67800000000011</v>
      </c>
      <c r="R31">
        <v>557.10317201381054</v>
      </c>
    </row>
    <row r="32" spans="10:18" x14ac:dyDescent="0.15">
      <c r="J32" s="67" t="s">
        <v>261</v>
      </c>
      <c r="K32">
        <v>2803.400000000001</v>
      </c>
      <c r="L32">
        <v>3047.0763112147843</v>
      </c>
      <c r="M32">
        <v>2803.400000000001</v>
      </c>
      <c r="N32">
        <v>3015.7375113710741</v>
      </c>
      <c r="O32">
        <v>2803.400000000001</v>
      </c>
      <c r="P32">
        <v>3015.7375113710727</v>
      </c>
      <c r="Q32">
        <v>2803.400000000001</v>
      </c>
      <c r="R32">
        <v>3015.737511371075</v>
      </c>
    </row>
    <row r="33" spans="10:18" x14ac:dyDescent="0.15">
      <c r="J33" s="67" t="s">
        <v>262</v>
      </c>
      <c r="K33">
        <v>2973.3</v>
      </c>
      <c r="L33">
        <v>3087.1510270514186</v>
      </c>
      <c r="M33">
        <v>2973.3</v>
      </c>
      <c r="N33">
        <v>3082.4252670026253</v>
      </c>
      <c r="O33">
        <v>2973.3</v>
      </c>
      <c r="P33">
        <v>3082.4252670026267</v>
      </c>
      <c r="Q33">
        <v>2973.3</v>
      </c>
      <c r="R33">
        <v>3082.4252670026262</v>
      </c>
    </row>
    <row r="34" spans="10:18" x14ac:dyDescent="0.15">
      <c r="J34" s="67" t="s">
        <v>263</v>
      </c>
      <c r="K34">
        <v>5681.7999999999965</v>
      </c>
      <c r="L34">
        <v>5999.8986342310054</v>
      </c>
      <c r="M34">
        <v>5681.7999999999965</v>
      </c>
      <c r="N34">
        <v>6079.6141438016721</v>
      </c>
      <c r="O34">
        <v>5681.7999999999965</v>
      </c>
      <c r="P34">
        <v>6079.6141438016566</v>
      </c>
      <c r="Q34">
        <v>5681.7999999999965</v>
      </c>
      <c r="R34">
        <v>6079.6141438016612</v>
      </c>
    </row>
    <row r="35" spans="10:18" x14ac:dyDescent="0.15">
      <c r="J35" s="67" t="s">
        <v>264</v>
      </c>
      <c r="K35">
        <v>7906.35</v>
      </c>
      <c r="L35">
        <v>8326.5485683491133</v>
      </c>
      <c r="M35">
        <v>7906.35</v>
      </c>
      <c r="N35">
        <v>8334.222347206327</v>
      </c>
      <c r="O35">
        <v>7906.35</v>
      </c>
      <c r="P35">
        <v>8334.2223472063215</v>
      </c>
      <c r="Q35">
        <v>7906.35</v>
      </c>
      <c r="R35">
        <v>8334.2223472063215</v>
      </c>
    </row>
    <row r="36" spans="10:18" x14ac:dyDescent="0.15">
      <c r="J36" s="67" t="s">
        <v>265</v>
      </c>
      <c r="K36">
        <v>4865.9770479999997</v>
      </c>
      <c r="L36">
        <v>4911.7970377154415</v>
      </c>
      <c r="M36">
        <v>4865.9770479999997</v>
      </c>
      <c r="N36">
        <v>4902.4676510876297</v>
      </c>
      <c r="O36">
        <v>4865.9770479999997</v>
      </c>
      <c r="P36">
        <v>4901.7803317857579</v>
      </c>
      <c r="Q36">
        <v>4865.9770479999997</v>
      </c>
      <c r="R36">
        <v>4902.9904683096538</v>
      </c>
    </row>
  </sheetData>
  <phoneticPr fontId="14" type="noConversion"/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dimension ref="J4:CP29"/>
  <sheetViews>
    <sheetView topLeftCell="Q1" workbookViewId="0">
      <selection activeCell="W32" sqref="W32"/>
    </sheetView>
  </sheetViews>
  <sheetFormatPr defaultColWidth="9" defaultRowHeight="13.5" x14ac:dyDescent="0.15"/>
  <sheetData>
    <row r="4" spans="10:94" x14ac:dyDescent="0.15">
      <c r="K4">
        <f>K15+K18+K16</f>
        <v>3208.74</v>
      </c>
    </row>
    <row r="6" spans="10:94" x14ac:dyDescent="0.15">
      <c r="K6" s="67" t="s">
        <v>73</v>
      </c>
      <c r="L6" s="67" t="s">
        <v>73</v>
      </c>
      <c r="M6" s="67" t="s">
        <v>315</v>
      </c>
      <c r="N6" s="67" t="s">
        <v>315</v>
      </c>
      <c r="O6" s="67" t="s">
        <v>316</v>
      </c>
      <c r="P6" s="67" t="s">
        <v>316</v>
      </c>
      <c r="Q6" s="67" t="s">
        <v>317</v>
      </c>
      <c r="R6" s="67" t="s">
        <v>317</v>
      </c>
      <c r="S6" s="67"/>
      <c r="T6" s="67"/>
      <c r="U6" s="67"/>
      <c r="V6" s="67"/>
      <c r="W6" s="67"/>
      <c r="X6" s="67"/>
      <c r="Y6" s="67"/>
      <c r="Z6" s="67"/>
      <c r="AA6" s="67"/>
      <c r="AB6" s="67"/>
      <c r="AC6" s="67"/>
      <c r="AD6" s="67"/>
      <c r="AE6" s="67"/>
      <c r="AF6" s="67"/>
      <c r="AG6" s="67"/>
      <c r="AH6" s="67"/>
      <c r="AI6" s="67"/>
      <c r="AJ6" s="67"/>
      <c r="AK6" s="67"/>
      <c r="AL6" s="67"/>
      <c r="AM6" s="67"/>
      <c r="AN6" s="67"/>
      <c r="AO6" s="67"/>
      <c r="AP6" s="67"/>
      <c r="AQ6" s="67"/>
      <c r="AR6" s="67"/>
      <c r="AS6" s="67"/>
      <c r="AT6" s="67"/>
      <c r="AU6" s="67"/>
      <c r="AV6" s="67"/>
      <c r="AW6" s="67"/>
      <c r="AX6" s="67"/>
      <c r="AY6" s="67"/>
      <c r="AZ6" s="67"/>
      <c r="BA6" s="67"/>
      <c r="BB6" s="67"/>
      <c r="BC6" s="67"/>
      <c r="BD6" s="67"/>
      <c r="BE6" s="67"/>
      <c r="BF6" s="67"/>
      <c r="BG6" s="67"/>
      <c r="BH6" s="67"/>
      <c r="BI6" s="67"/>
      <c r="BJ6" s="67"/>
      <c r="BK6" s="67"/>
      <c r="BL6" s="67"/>
      <c r="BM6" s="67"/>
      <c r="BN6" s="67"/>
      <c r="BO6" s="67"/>
      <c r="BP6" s="67"/>
      <c r="BQ6" s="67"/>
      <c r="BR6" s="67"/>
      <c r="BS6" s="67"/>
      <c r="BT6" s="67"/>
      <c r="BU6" s="67"/>
      <c r="BV6" s="67"/>
      <c r="BW6" s="67"/>
      <c r="BX6" s="67"/>
      <c r="BY6" s="67"/>
      <c r="BZ6" s="67"/>
      <c r="CA6" s="67"/>
      <c r="CB6" s="67"/>
      <c r="CC6" s="67"/>
      <c r="CD6" s="67"/>
      <c r="CE6" s="67"/>
      <c r="CF6" s="67"/>
      <c r="CG6" s="67"/>
      <c r="CH6" s="67"/>
      <c r="CI6" s="67"/>
      <c r="CJ6" s="67"/>
      <c r="CK6" s="67"/>
      <c r="CL6" s="67"/>
      <c r="CM6" s="67"/>
      <c r="CN6" s="67"/>
      <c r="CO6" s="67"/>
      <c r="CP6" s="67"/>
    </row>
    <row r="7" spans="10:94" x14ac:dyDescent="0.15">
      <c r="K7" s="67" t="s">
        <v>76</v>
      </c>
      <c r="L7" s="67" t="s">
        <v>77</v>
      </c>
      <c r="M7" s="67" t="s">
        <v>76</v>
      </c>
      <c r="N7" s="67" t="s">
        <v>77</v>
      </c>
      <c r="O7" s="67" t="s">
        <v>76</v>
      </c>
      <c r="P7" s="67" t="s">
        <v>77</v>
      </c>
      <c r="Q7" s="67" t="s">
        <v>76</v>
      </c>
      <c r="R7" s="67" t="s">
        <v>77</v>
      </c>
      <c r="S7" s="67"/>
      <c r="T7" s="67"/>
      <c r="U7" s="67"/>
      <c r="V7" s="67"/>
      <c r="W7" s="67"/>
      <c r="X7" s="67"/>
      <c r="Y7" s="67"/>
      <c r="Z7" s="67"/>
      <c r="AA7" s="67"/>
      <c r="AB7" s="67"/>
      <c r="AC7" s="67"/>
      <c r="AD7" s="67"/>
      <c r="AE7" s="67"/>
      <c r="AF7" s="67"/>
      <c r="AG7" s="67"/>
      <c r="AH7" s="67"/>
      <c r="AI7" s="67"/>
      <c r="AJ7" s="67"/>
      <c r="AK7" s="67"/>
      <c r="AL7" s="67"/>
      <c r="AM7" s="67"/>
      <c r="AN7" s="67"/>
      <c r="AO7" s="67"/>
      <c r="AP7" s="67"/>
      <c r="AQ7" s="67"/>
      <c r="AR7" s="67"/>
      <c r="AS7" s="67"/>
      <c r="AT7" s="67"/>
      <c r="AU7" s="67"/>
      <c r="AV7" s="67"/>
      <c r="AW7" s="67"/>
      <c r="AX7" s="67"/>
      <c r="AY7" s="67"/>
      <c r="AZ7" s="67"/>
      <c r="BA7" s="67"/>
      <c r="BB7" s="67"/>
      <c r="BC7" s="67"/>
      <c r="BD7" s="67"/>
      <c r="BE7" s="67"/>
      <c r="BF7" s="67"/>
      <c r="BG7" s="67"/>
      <c r="BH7" s="67"/>
      <c r="BI7" s="67"/>
      <c r="BJ7" s="67"/>
      <c r="BK7" s="67"/>
      <c r="BL7" s="67"/>
      <c r="BM7" s="67"/>
      <c r="BN7" s="67"/>
      <c r="BO7" s="67"/>
      <c r="BP7" s="67"/>
      <c r="BQ7" s="67"/>
      <c r="BR7" s="67"/>
      <c r="BS7" s="67"/>
      <c r="BT7" s="67"/>
      <c r="BU7" s="67"/>
      <c r="BV7" s="67"/>
      <c r="BW7" s="67"/>
      <c r="BX7" s="67"/>
      <c r="BY7" s="67"/>
      <c r="BZ7" s="67"/>
      <c r="CA7" s="67"/>
      <c r="CB7" s="67"/>
      <c r="CC7" s="67"/>
      <c r="CD7" s="67"/>
      <c r="CE7" s="67"/>
      <c r="CF7" s="67"/>
      <c r="CG7" s="67"/>
      <c r="CH7" s="67"/>
      <c r="CI7" s="67"/>
      <c r="CJ7" s="67"/>
      <c r="CK7" s="67"/>
      <c r="CL7" s="67"/>
      <c r="CM7" s="67"/>
      <c r="CN7" s="67"/>
      <c r="CO7" s="67"/>
      <c r="CP7" s="67"/>
    </row>
    <row r="8" spans="10:94" x14ac:dyDescent="0.15">
      <c r="J8" s="67" t="s">
        <v>237</v>
      </c>
      <c r="K8">
        <v>15550</v>
      </c>
      <c r="L8">
        <v>14834.3030135313</v>
      </c>
      <c r="M8">
        <v>15550</v>
      </c>
      <c r="N8">
        <v>14673.383014024168</v>
      </c>
      <c r="O8">
        <v>15550</v>
      </c>
      <c r="P8">
        <v>14673.383014024175</v>
      </c>
      <c r="Q8">
        <v>15550</v>
      </c>
      <c r="R8">
        <v>14673.383014024181</v>
      </c>
    </row>
    <row r="9" spans="10:94" x14ac:dyDescent="0.15">
      <c r="J9" s="67" t="s">
        <v>238</v>
      </c>
      <c r="K9">
        <v>8850</v>
      </c>
      <c r="L9">
        <v>8423.2982721211993</v>
      </c>
      <c r="M9">
        <v>8850</v>
      </c>
      <c r="N9">
        <v>8360.892198793319</v>
      </c>
      <c r="O9">
        <v>8850</v>
      </c>
      <c r="P9">
        <v>8360.8921987933209</v>
      </c>
      <c r="Q9">
        <v>8850</v>
      </c>
      <c r="R9">
        <v>8360.8921987933209</v>
      </c>
    </row>
    <row r="10" spans="10:94" x14ac:dyDescent="0.15">
      <c r="J10" s="67" t="s">
        <v>239</v>
      </c>
      <c r="K10">
        <v>1920</v>
      </c>
      <c r="L10">
        <v>1877.1671875894956</v>
      </c>
      <c r="M10">
        <v>1920</v>
      </c>
      <c r="N10">
        <v>1876.5633796765851</v>
      </c>
      <c r="O10">
        <v>1920</v>
      </c>
      <c r="P10">
        <v>1876.5633796765842</v>
      </c>
      <c r="Q10">
        <v>1920</v>
      </c>
      <c r="R10">
        <v>1876.5633796765853</v>
      </c>
    </row>
    <row r="11" spans="10:94" x14ac:dyDescent="0.15">
      <c r="J11" s="67" t="s">
        <v>240</v>
      </c>
      <c r="K11">
        <v>6291.84</v>
      </c>
      <c r="L11">
        <v>6208.0967322896804</v>
      </c>
      <c r="M11">
        <v>6291.84</v>
      </c>
      <c r="N11">
        <v>6198.1186992875291</v>
      </c>
      <c r="O11">
        <v>6291.84</v>
      </c>
      <c r="P11">
        <v>6198.1186992875309</v>
      </c>
      <c r="Q11">
        <v>6291.84</v>
      </c>
      <c r="R11">
        <v>6198.1186992875337</v>
      </c>
    </row>
    <row r="12" spans="10:94" x14ac:dyDescent="0.15">
      <c r="J12" s="67" t="s">
        <v>241</v>
      </c>
      <c r="K12">
        <v>400</v>
      </c>
      <c r="L12">
        <v>400.2599741247854</v>
      </c>
      <c r="M12">
        <v>400</v>
      </c>
      <c r="N12">
        <v>397.961651314535</v>
      </c>
      <c r="O12">
        <v>400</v>
      </c>
      <c r="P12">
        <v>397.96165131453517</v>
      </c>
      <c r="Q12">
        <v>400</v>
      </c>
      <c r="R12">
        <v>397.96165131453506</v>
      </c>
    </row>
    <row r="13" spans="10:94" x14ac:dyDescent="0.15">
      <c r="J13" s="67" t="s">
        <v>242</v>
      </c>
      <c r="K13">
        <v>38.4</v>
      </c>
      <c r="L13">
        <v>37.509036088098647</v>
      </c>
      <c r="M13">
        <v>38.4</v>
      </c>
      <c r="N13">
        <v>37.448749269753925</v>
      </c>
      <c r="O13">
        <v>38.4</v>
      </c>
      <c r="P13">
        <v>37.448749269753975</v>
      </c>
      <c r="Q13">
        <v>38.4</v>
      </c>
      <c r="R13">
        <v>37.448749269753989</v>
      </c>
    </row>
    <row r="14" spans="10:94" x14ac:dyDescent="0.15">
      <c r="J14" s="67" t="s">
        <v>243</v>
      </c>
      <c r="K14">
        <v>1700</v>
      </c>
      <c r="L14">
        <v>1729.5765215042563</v>
      </c>
      <c r="M14">
        <v>1700</v>
      </c>
      <c r="N14">
        <v>1723.965764288869</v>
      </c>
      <c r="O14">
        <v>1700</v>
      </c>
      <c r="P14">
        <v>1723.9657642888681</v>
      </c>
      <c r="Q14">
        <v>1700</v>
      </c>
      <c r="R14">
        <v>1723.9657642888685</v>
      </c>
    </row>
    <row r="15" spans="10:94" x14ac:dyDescent="0.15">
      <c r="J15" s="67" t="s">
        <v>244</v>
      </c>
      <c r="K15">
        <v>1848.74</v>
      </c>
      <c r="L15">
        <v>1876.6503465284227</v>
      </c>
      <c r="M15">
        <v>1848.74</v>
      </c>
      <c r="N15">
        <v>1889.4038611875731</v>
      </c>
      <c r="O15">
        <v>1848.74</v>
      </c>
      <c r="P15">
        <v>1889.4038611875719</v>
      </c>
      <c r="Q15">
        <v>1848.74</v>
      </c>
      <c r="R15">
        <v>1889.4038611875724</v>
      </c>
    </row>
    <row r="16" spans="10:94" x14ac:dyDescent="0.15">
      <c r="J16" s="67" t="s">
        <v>247</v>
      </c>
      <c r="K16">
        <v>1000</v>
      </c>
      <c r="L16">
        <v>1029.194944977422</v>
      </c>
      <c r="M16">
        <v>1000</v>
      </c>
      <c r="N16">
        <v>1036.1892435382476</v>
      </c>
      <c r="O16">
        <v>1000</v>
      </c>
      <c r="P16">
        <v>1036.1892435382472</v>
      </c>
      <c r="Q16">
        <v>1000</v>
      </c>
      <c r="R16">
        <v>1036.1892435382472</v>
      </c>
    </row>
    <row r="17" spans="10:18" x14ac:dyDescent="0.15">
      <c r="J17" s="67" t="s">
        <v>249</v>
      </c>
      <c r="K17">
        <v>835</v>
      </c>
      <c r="L17">
        <v>904.18086795458328</v>
      </c>
      <c r="M17">
        <v>835</v>
      </c>
      <c r="N17">
        <v>895.4963004031863</v>
      </c>
      <c r="O17">
        <v>835</v>
      </c>
      <c r="P17">
        <v>895.49630040318561</v>
      </c>
      <c r="Q17">
        <v>835</v>
      </c>
      <c r="R17">
        <v>895.49630040318618</v>
      </c>
    </row>
    <row r="18" spans="10:18" x14ac:dyDescent="0.15">
      <c r="J18" s="67" t="s">
        <v>250</v>
      </c>
      <c r="K18">
        <v>360</v>
      </c>
      <c r="L18">
        <v>377.06705973787865</v>
      </c>
      <c r="M18">
        <v>360</v>
      </c>
      <c r="N18">
        <v>379.01940319712253</v>
      </c>
      <c r="O18">
        <v>360</v>
      </c>
      <c r="P18">
        <v>379.01940319712276</v>
      </c>
      <c r="Q18">
        <v>360</v>
      </c>
      <c r="R18">
        <v>379.01940319712281</v>
      </c>
    </row>
    <row r="19" spans="10:18" x14ac:dyDescent="0.15">
      <c r="J19" s="67" t="s">
        <v>253</v>
      </c>
      <c r="K19">
        <v>710.1</v>
      </c>
      <c r="L19">
        <v>713.78104720360682</v>
      </c>
      <c r="M19">
        <v>710.1</v>
      </c>
      <c r="N19">
        <v>713.09248621981794</v>
      </c>
      <c r="O19">
        <v>710.1</v>
      </c>
      <c r="P19">
        <v>713.09248621981806</v>
      </c>
      <c r="Q19">
        <v>710.1</v>
      </c>
      <c r="R19">
        <v>713.09248621981828</v>
      </c>
    </row>
    <row r="20" spans="10:18" x14ac:dyDescent="0.15">
      <c r="J20" s="67" t="s">
        <v>256</v>
      </c>
      <c r="K20">
        <v>18868.48</v>
      </c>
      <c r="L20">
        <v>18951.224543757977</v>
      </c>
      <c r="M20">
        <v>18868.48</v>
      </c>
      <c r="N20">
        <v>19140.880562998878</v>
      </c>
      <c r="O20">
        <v>18868.48</v>
      </c>
      <c r="P20">
        <v>19140.880562998875</v>
      </c>
      <c r="Q20">
        <v>18868.48</v>
      </c>
      <c r="R20">
        <v>19140.880562998882</v>
      </c>
    </row>
    <row r="21" spans="10:18" x14ac:dyDescent="0.15">
      <c r="J21" s="67" t="s">
        <v>257</v>
      </c>
      <c r="K21">
        <v>18766.204801666601</v>
      </c>
      <c r="L21">
        <v>18892.834484194922</v>
      </c>
      <c r="M21">
        <v>18766.204801666601</v>
      </c>
      <c r="N21">
        <v>18910.280470488819</v>
      </c>
      <c r="O21">
        <v>18766.204801666601</v>
      </c>
      <c r="P21">
        <v>18910.280470488819</v>
      </c>
      <c r="Q21">
        <v>18766.204801666601</v>
      </c>
      <c r="R21">
        <v>18910.280470488819</v>
      </c>
    </row>
    <row r="22" spans="10:18" x14ac:dyDescent="0.15">
      <c r="J22" s="67" t="s">
        <v>258</v>
      </c>
      <c r="K22">
        <v>4613</v>
      </c>
      <c r="L22">
        <v>4450.1927929848889</v>
      </c>
      <c r="M22">
        <v>4613</v>
      </c>
      <c r="N22">
        <v>4689.4586228294584</v>
      </c>
      <c r="O22">
        <v>4613</v>
      </c>
      <c r="P22">
        <v>4689.4586228294593</v>
      </c>
      <c r="Q22">
        <v>4613</v>
      </c>
      <c r="R22">
        <v>4689.458622829462</v>
      </c>
    </row>
    <row r="23" spans="10:18" x14ac:dyDescent="0.15">
      <c r="J23" s="67" t="s">
        <v>259</v>
      </c>
      <c r="K23">
        <v>967.61</v>
      </c>
      <c r="L23">
        <v>942.87806342224701</v>
      </c>
      <c r="M23">
        <v>967.61</v>
      </c>
      <c r="N23">
        <v>1014.0771483560086</v>
      </c>
      <c r="O23">
        <v>967.61</v>
      </c>
      <c r="P23">
        <v>1014.0771483560083</v>
      </c>
      <c r="Q23">
        <v>967.61</v>
      </c>
      <c r="R23">
        <v>1014.0771483560075</v>
      </c>
    </row>
    <row r="24" spans="10:18" x14ac:dyDescent="0.15">
      <c r="J24" s="67" t="s">
        <v>260</v>
      </c>
      <c r="K24">
        <v>472.35275999999999</v>
      </c>
      <c r="L24">
        <v>495.34295957670906</v>
      </c>
      <c r="M24">
        <v>472.35275999999999</v>
      </c>
      <c r="N24">
        <v>496.76427459332928</v>
      </c>
      <c r="O24">
        <v>472.35275999999999</v>
      </c>
      <c r="P24">
        <v>496.76427459332882</v>
      </c>
      <c r="Q24">
        <v>472.35275999999999</v>
      </c>
      <c r="R24">
        <v>496.76427459332916</v>
      </c>
    </row>
    <row r="25" spans="10:18" x14ac:dyDescent="0.15">
      <c r="J25" s="67" t="s">
        <v>261</v>
      </c>
      <c r="K25">
        <v>2616.9180970868001</v>
      </c>
      <c r="L25">
        <v>2812.0465868366018</v>
      </c>
      <c r="M25">
        <v>2616.9180970868001</v>
      </c>
      <c r="N25">
        <v>2768.5831691047929</v>
      </c>
      <c r="O25">
        <v>2616.9180970868001</v>
      </c>
      <c r="P25">
        <v>2768.5831691047943</v>
      </c>
      <c r="Q25">
        <v>2616.9180970868001</v>
      </c>
      <c r="R25">
        <v>2768.5831691047961</v>
      </c>
    </row>
    <row r="26" spans="10:18" x14ac:dyDescent="0.15">
      <c r="J26" s="67" t="s">
        <v>262</v>
      </c>
      <c r="K26">
        <v>2301.1999999999998</v>
      </c>
      <c r="L26">
        <v>2341.6697256736006</v>
      </c>
      <c r="M26">
        <v>2301.1999999999998</v>
      </c>
      <c r="N26">
        <v>2337.9812649640658</v>
      </c>
      <c r="O26">
        <v>2301.1999999999998</v>
      </c>
      <c r="P26">
        <v>2337.9812649640667</v>
      </c>
      <c r="Q26">
        <v>2301.1999999999998</v>
      </c>
      <c r="R26">
        <v>2337.9812649640662</v>
      </c>
    </row>
    <row r="27" spans="10:18" x14ac:dyDescent="0.15">
      <c r="J27" s="67" t="s">
        <v>263</v>
      </c>
      <c r="K27">
        <v>2939.6467948681998</v>
      </c>
      <c r="L27">
        <v>3118.8447528360102</v>
      </c>
      <c r="M27">
        <v>2939.6467948681998</v>
      </c>
      <c r="N27">
        <v>3206.5756166389306</v>
      </c>
      <c r="O27">
        <v>2939.6467948681998</v>
      </c>
      <c r="P27">
        <v>3206.5756166389233</v>
      </c>
      <c r="Q27">
        <v>2939.6467948681998</v>
      </c>
      <c r="R27">
        <v>3206.5756166389265</v>
      </c>
    </row>
    <row r="28" spans="10:18" x14ac:dyDescent="0.15">
      <c r="J28" s="67" t="s">
        <v>264</v>
      </c>
      <c r="K28">
        <v>3579.2172</v>
      </c>
      <c r="L28">
        <v>3674.9051895635348</v>
      </c>
      <c r="M28">
        <v>3579.2172</v>
      </c>
      <c r="N28">
        <v>3694.6496189466725</v>
      </c>
      <c r="O28">
        <v>3579.2172</v>
      </c>
      <c r="P28">
        <v>3694.649618946672</v>
      </c>
      <c r="Q28">
        <v>3579.2172</v>
      </c>
      <c r="R28">
        <v>3694.6496189466707</v>
      </c>
    </row>
    <row r="29" spans="10:18" x14ac:dyDescent="0.15">
      <c r="J29" s="67" t="s">
        <v>265</v>
      </c>
      <c r="K29">
        <v>124.22388480414899</v>
      </c>
      <c r="L29">
        <v>121.67704146691128</v>
      </c>
      <c r="M29">
        <v>124.22388480414899</v>
      </c>
      <c r="N29">
        <v>121.51665348903349</v>
      </c>
      <c r="O29">
        <v>124.22388480414899</v>
      </c>
      <c r="P29">
        <v>121.51665348903359</v>
      </c>
      <c r="Q29">
        <v>124.22388480414899</v>
      </c>
      <c r="R29">
        <v>121.51665348903362</v>
      </c>
    </row>
  </sheetData>
  <phoneticPr fontId="14" type="noConversion"/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dimension ref="B4:HW153"/>
  <sheetViews>
    <sheetView topLeftCell="H4" zoomScale="85" zoomScaleNormal="85" workbookViewId="0">
      <pane xSplit="3" ySplit="4" topLeftCell="K8" activePane="bottomRight" state="frozen"/>
      <selection pane="topRight"/>
      <selection pane="bottomLeft"/>
      <selection pane="bottomRight" activeCell="X16" sqref="X16"/>
    </sheetView>
  </sheetViews>
  <sheetFormatPr defaultColWidth="8.875" defaultRowHeight="13.5" x14ac:dyDescent="0.15"/>
  <cols>
    <col min="1" max="1" width="8.875" customWidth="1"/>
    <col min="2" max="2" width="12.875" customWidth="1"/>
    <col min="3" max="3" width="8.875" customWidth="1"/>
    <col min="4" max="4" width="7.375" customWidth="1"/>
    <col min="5" max="5" width="7" customWidth="1"/>
    <col min="6" max="6" width="12.625" customWidth="1"/>
    <col min="7" max="7" width="10.875" customWidth="1"/>
    <col min="8" max="8" width="13.25" customWidth="1"/>
    <col min="9" max="9" width="11.5" customWidth="1"/>
    <col min="10" max="10" width="5.375" customWidth="1"/>
    <col min="11" max="12" width="12.625" customWidth="1"/>
    <col min="13" max="13" width="12.625" style="4" customWidth="1"/>
    <col min="14" max="34" width="12.625" customWidth="1"/>
    <col min="35" max="46" width="2.375" customWidth="1"/>
    <col min="47" max="55" width="2.375" style="4" customWidth="1"/>
    <col min="56" max="64" width="2.375" customWidth="1"/>
    <col min="65" max="65" width="8.875" customWidth="1"/>
  </cols>
  <sheetData>
    <row r="4" spans="2:231" x14ac:dyDescent="0.15">
      <c r="K4" s="15">
        <f>K22+K23+K24+K25</f>
        <v>61.712168618801471</v>
      </c>
      <c r="L4" s="15">
        <f t="shared" ref="L4:V4" si="0">L22+L23+L24+L25</f>
        <v>62.557613971931147</v>
      </c>
      <c r="M4" s="15">
        <f t="shared" si="0"/>
        <v>61.712168618801471</v>
      </c>
      <c r="N4" s="15">
        <f t="shared" si="0"/>
        <v>64.487614211098133</v>
      </c>
      <c r="O4" s="15">
        <f t="shared" si="0"/>
        <v>61.712168618801471</v>
      </c>
      <c r="P4" s="15">
        <f t="shared" si="0"/>
        <v>64.487614211098133</v>
      </c>
      <c r="Q4" s="15">
        <f t="shared" si="0"/>
        <v>61.712168618801471</v>
      </c>
      <c r="R4" s="15">
        <f t="shared" si="0"/>
        <v>64.487614211098162</v>
      </c>
      <c r="S4" s="15">
        <f t="shared" si="0"/>
        <v>0</v>
      </c>
      <c r="T4" s="15">
        <f t="shared" si="0"/>
        <v>0</v>
      </c>
      <c r="U4" s="15">
        <f t="shared" si="0"/>
        <v>0</v>
      </c>
      <c r="V4" s="15">
        <f t="shared" si="0"/>
        <v>0</v>
      </c>
      <c r="W4">
        <f t="shared" ref="W4:AM4" si="1">W22+W23+W24+W25</f>
        <v>0</v>
      </c>
      <c r="X4">
        <f t="shared" si="1"/>
        <v>0</v>
      </c>
      <c r="Y4">
        <f t="shared" si="1"/>
        <v>0</v>
      </c>
      <c r="Z4">
        <f t="shared" si="1"/>
        <v>0</v>
      </c>
      <c r="AA4">
        <f t="shared" si="1"/>
        <v>0</v>
      </c>
      <c r="AB4">
        <f t="shared" si="1"/>
        <v>0</v>
      </c>
      <c r="AC4">
        <f t="shared" si="1"/>
        <v>0</v>
      </c>
      <c r="AD4">
        <f t="shared" si="1"/>
        <v>0</v>
      </c>
      <c r="AE4">
        <f t="shared" si="1"/>
        <v>0</v>
      </c>
      <c r="AF4">
        <f t="shared" si="1"/>
        <v>0</v>
      </c>
      <c r="AG4">
        <f t="shared" si="1"/>
        <v>0</v>
      </c>
      <c r="AH4">
        <f t="shared" si="1"/>
        <v>0</v>
      </c>
      <c r="AI4">
        <f t="shared" si="1"/>
        <v>0</v>
      </c>
      <c r="AJ4">
        <f t="shared" si="1"/>
        <v>0</v>
      </c>
      <c r="AK4">
        <f t="shared" si="1"/>
        <v>0</v>
      </c>
      <c r="AL4">
        <f t="shared" si="1"/>
        <v>0</v>
      </c>
      <c r="AM4">
        <f t="shared" si="1"/>
        <v>0</v>
      </c>
      <c r="AN4">
        <f t="shared" ref="AN4:BL4" si="2">AN22+AN23+AN24+AN25</f>
        <v>0</v>
      </c>
      <c r="AO4">
        <f t="shared" si="2"/>
        <v>0</v>
      </c>
      <c r="AP4">
        <f t="shared" si="2"/>
        <v>0</v>
      </c>
      <c r="AQ4">
        <f t="shared" si="2"/>
        <v>0</v>
      </c>
      <c r="AR4">
        <f t="shared" si="2"/>
        <v>0</v>
      </c>
      <c r="AS4">
        <f t="shared" si="2"/>
        <v>0</v>
      </c>
      <c r="AT4">
        <f t="shared" si="2"/>
        <v>0</v>
      </c>
      <c r="AU4" s="4">
        <f t="shared" si="2"/>
        <v>0</v>
      </c>
      <c r="AV4" s="4">
        <f t="shared" si="2"/>
        <v>0</v>
      </c>
      <c r="AW4" s="4">
        <f t="shared" si="2"/>
        <v>0</v>
      </c>
      <c r="AX4" s="4">
        <f t="shared" si="2"/>
        <v>0</v>
      </c>
      <c r="AY4" s="4">
        <f t="shared" si="2"/>
        <v>0</v>
      </c>
      <c r="AZ4" s="4">
        <f t="shared" si="2"/>
        <v>0</v>
      </c>
      <c r="BA4" s="4">
        <f t="shared" si="2"/>
        <v>0</v>
      </c>
      <c r="BB4" s="4">
        <f t="shared" si="2"/>
        <v>0</v>
      </c>
      <c r="BC4" s="4">
        <f t="shared" si="2"/>
        <v>0</v>
      </c>
      <c r="BD4">
        <f t="shared" si="2"/>
        <v>0</v>
      </c>
      <c r="BE4">
        <f t="shared" si="2"/>
        <v>0</v>
      </c>
      <c r="BF4">
        <f t="shared" si="2"/>
        <v>0</v>
      </c>
      <c r="BG4">
        <f t="shared" si="2"/>
        <v>0</v>
      </c>
      <c r="BH4">
        <f t="shared" si="2"/>
        <v>0</v>
      </c>
      <c r="BI4">
        <f t="shared" si="2"/>
        <v>0</v>
      </c>
      <c r="BJ4">
        <f t="shared" si="2"/>
        <v>0</v>
      </c>
      <c r="BK4">
        <f t="shared" si="2"/>
        <v>0</v>
      </c>
      <c r="BL4">
        <f t="shared" si="2"/>
        <v>0</v>
      </c>
    </row>
    <row r="5" spans="2:231" x14ac:dyDescent="0.15">
      <c r="H5" t="s">
        <v>266</v>
      </c>
      <c r="K5">
        <f>K18+K15+K16</f>
        <v>22.839795286463708</v>
      </c>
      <c r="M5" s="4">
        <f>M15+M18+M16</f>
        <v>22.839795286463708</v>
      </c>
      <c r="P5" s="4">
        <f>P15+P18+P16</f>
        <v>23.760659094597219</v>
      </c>
    </row>
    <row r="6" spans="2:231" x14ac:dyDescent="0.15">
      <c r="H6" t="s">
        <v>267</v>
      </c>
      <c r="K6" s="67" t="s">
        <v>73</v>
      </c>
      <c r="L6" s="67" t="s">
        <v>73</v>
      </c>
      <c r="M6" s="69" t="s">
        <v>315</v>
      </c>
      <c r="N6" s="67" t="s">
        <v>315</v>
      </c>
      <c r="O6" s="67" t="s">
        <v>316</v>
      </c>
      <c r="P6" s="67" t="s">
        <v>316</v>
      </c>
      <c r="Q6" s="67" t="s">
        <v>317</v>
      </c>
      <c r="R6" s="67" t="s">
        <v>317</v>
      </c>
      <c r="S6" s="67"/>
      <c r="T6" s="67"/>
      <c r="U6" s="67"/>
      <c r="V6" s="67"/>
      <c r="W6" s="67"/>
      <c r="X6" s="67"/>
      <c r="Y6" s="67"/>
      <c r="Z6" s="67"/>
      <c r="AA6" s="67"/>
      <c r="AB6" s="67"/>
      <c r="AC6" s="67"/>
      <c r="AD6" s="67"/>
      <c r="AE6" s="67"/>
      <c r="AF6" s="67"/>
      <c r="AG6" s="67"/>
      <c r="AH6" s="67"/>
      <c r="AI6" s="67"/>
      <c r="AJ6" s="67"/>
      <c r="AK6" s="67"/>
      <c r="AL6" s="67"/>
      <c r="AM6" s="67"/>
      <c r="AN6" s="67"/>
      <c r="AO6" s="67"/>
      <c r="AP6" s="67"/>
      <c r="AQ6" s="67"/>
      <c r="AR6" s="67"/>
      <c r="AS6" s="67"/>
      <c r="AT6" s="67"/>
      <c r="AU6" s="69"/>
      <c r="AV6" s="69"/>
      <c r="AW6" s="69"/>
      <c r="AX6" s="69"/>
      <c r="AY6" s="69"/>
      <c r="AZ6" s="69"/>
      <c r="BA6" s="69"/>
      <c r="BB6" s="69"/>
      <c r="BC6" s="69"/>
      <c r="BD6" s="67"/>
      <c r="BE6" s="67"/>
      <c r="BF6" s="67"/>
      <c r="BG6" s="67"/>
      <c r="BH6" s="67"/>
      <c r="BI6" s="67"/>
      <c r="BJ6" s="67"/>
      <c r="BK6" s="67"/>
      <c r="BL6" s="67"/>
      <c r="BM6" s="67"/>
      <c r="BN6" s="67"/>
      <c r="BO6" s="67"/>
      <c r="BP6" s="67"/>
      <c r="BQ6" s="67"/>
      <c r="BR6" s="67"/>
      <c r="BS6" s="67"/>
      <c r="BT6" s="67"/>
      <c r="BU6" s="67"/>
      <c r="BV6" s="67"/>
      <c r="BW6" s="67"/>
      <c r="BX6" s="67"/>
      <c r="BY6" s="67"/>
      <c r="BZ6" s="67"/>
      <c r="CA6" s="67"/>
      <c r="CB6" s="67"/>
      <c r="CC6" s="67"/>
      <c r="CD6" s="67"/>
      <c r="CE6" s="67"/>
      <c r="CF6" s="67"/>
      <c r="CG6" s="67"/>
      <c r="CH6" s="67"/>
      <c r="CI6" s="67"/>
      <c r="CJ6" s="67"/>
      <c r="CK6" s="67"/>
      <c r="CL6" s="67"/>
      <c r="CM6" s="67"/>
      <c r="CN6" s="67"/>
      <c r="CO6" s="67"/>
      <c r="CP6" s="67"/>
    </row>
    <row r="7" spans="2:231" x14ac:dyDescent="0.15">
      <c r="D7" t="s">
        <v>268</v>
      </c>
      <c r="E7" t="s">
        <v>141</v>
      </c>
      <c r="F7" t="s">
        <v>143</v>
      </c>
      <c r="G7" t="s">
        <v>145</v>
      </c>
      <c r="H7" t="s">
        <v>269</v>
      </c>
      <c r="K7" s="67" t="s">
        <v>76</v>
      </c>
      <c r="L7" s="67" t="s">
        <v>77</v>
      </c>
      <c r="M7" s="69" t="s">
        <v>76</v>
      </c>
      <c r="N7" s="67" t="s">
        <v>77</v>
      </c>
      <c r="O7" s="67" t="s">
        <v>76</v>
      </c>
      <c r="P7" s="67" t="s">
        <v>77</v>
      </c>
      <c r="Q7" s="67" t="s">
        <v>76</v>
      </c>
      <c r="R7" s="67" t="s">
        <v>77</v>
      </c>
      <c r="S7" s="67"/>
      <c r="T7" s="67"/>
      <c r="U7" s="67"/>
      <c r="V7" s="67"/>
      <c r="W7" s="67"/>
      <c r="X7" s="67"/>
      <c r="Y7" s="67"/>
      <c r="Z7" s="67"/>
      <c r="AA7" s="67"/>
      <c r="AB7" s="67"/>
      <c r="AC7" s="67"/>
      <c r="AD7" s="67"/>
      <c r="AE7" s="67"/>
      <c r="AF7" s="67"/>
      <c r="AG7" s="67"/>
      <c r="AH7" s="67"/>
      <c r="AI7" s="67"/>
      <c r="AJ7" s="67"/>
      <c r="AK7" s="67"/>
      <c r="AL7" s="67"/>
      <c r="AM7" s="67"/>
      <c r="AN7" s="67"/>
      <c r="AO7" s="67"/>
      <c r="AP7" s="67"/>
      <c r="AQ7" s="67"/>
      <c r="AR7" s="67"/>
      <c r="AS7" s="67"/>
      <c r="AT7" s="67"/>
      <c r="AU7" s="69"/>
      <c r="AV7" s="69"/>
      <c r="AW7" s="69"/>
      <c r="AX7" s="69"/>
      <c r="AY7" s="69"/>
      <c r="AZ7" s="69"/>
      <c r="BA7" s="69"/>
      <c r="BB7" s="69"/>
      <c r="BC7" s="69"/>
      <c r="BD7" s="67"/>
      <c r="BE7" s="67"/>
      <c r="BF7" s="67"/>
      <c r="BG7" s="67"/>
      <c r="BH7" s="67"/>
      <c r="BI7" s="67"/>
      <c r="BJ7" s="67"/>
      <c r="BK7" s="67"/>
      <c r="BL7" s="67"/>
      <c r="BM7" s="67"/>
      <c r="BN7" s="67"/>
      <c r="BO7" s="67"/>
      <c r="BP7" s="67"/>
      <c r="BQ7" s="67"/>
      <c r="BR7" s="67"/>
      <c r="BS7" s="67"/>
      <c r="BT7" s="67"/>
      <c r="BU7" s="67"/>
      <c r="BV7" s="67"/>
      <c r="BW7" s="67"/>
      <c r="BX7" s="67"/>
      <c r="BY7" s="67"/>
      <c r="BZ7" s="67"/>
      <c r="CA7" s="67"/>
      <c r="CB7" s="67"/>
      <c r="CC7" s="67"/>
      <c r="CD7" s="67"/>
      <c r="CE7" s="67"/>
      <c r="CF7" s="67"/>
      <c r="CG7" s="67"/>
      <c r="CH7" s="67"/>
      <c r="CI7" s="67"/>
      <c r="CJ7" s="67"/>
      <c r="CK7" s="67"/>
      <c r="CL7" s="67"/>
      <c r="CM7" s="67"/>
      <c r="CN7" s="67"/>
      <c r="CO7" s="67"/>
      <c r="CP7" s="67"/>
    </row>
    <row r="8" spans="2:231" x14ac:dyDescent="0.15">
      <c r="B8" t="s">
        <v>237</v>
      </c>
      <c r="C8" t="s">
        <v>270</v>
      </c>
      <c r="D8">
        <v>242.9</v>
      </c>
      <c r="E8">
        <v>5.18</v>
      </c>
      <c r="F8">
        <v>0.56000000000000005</v>
      </c>
      <c r="G8">
        <v>54.53</v>
      </c>
      <c r="H8">
        <v>70</v>
      </c>
      <c r="J8" s="67" t="s">
        <v>237</v>
      </c>
      <c r="K8" s="15">
        <v>110.68482229925475</v>
      </c>
      <c r="L8" s="15">
        <v>106.66086143697805</v>
      </c>
      <c r="M8" s="16">
        <v>110.68482229925475</v>
      </c>
      <c r="N8" s="15">
        <v>105.50382252829374</v>
      </c>
      <c r="O8" s="15">
        <v>110.68482229925475</v>
      </c>
      <c r="P8" s="15">
        <v>105.50382252829378</v>
      </c>
      <c r="Q8" s="15">
        <v>110.68482229925475</v>
      </c>
      <c r="R8" s="15">
        <v>105.50382252829382</v>
      </c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/>
      <c r="AL8" s="15"/>
      <c r="AM8" s="15"/>
      <c r="AN8" s="15"/>
      <c r="AO8" s="15"/>
      <c r="AP8" s="15"/>
      <c r="AQ8" s="15"/>
      <c r="AR8" s="15"/>
      <c r="AS8" s="15"/>
      <c r="AT8" s="15"/>
      <c r="AU8" s="16"/>
      <c r="AV8" s="16"/>
      <c r="AW8" s="16"/>
      <c r="AX8" s="16"/>
      <c r="AY8" s="16"/>
      <c r="AZ8" s="16"/>
      <c r="BA8" s="16"/>
      <c r="BB8" s="16"/>
      <c r="BC8" s="16"/>
      <c r="BD8" s="15"/>
      <c r="BE8" s="15"/>
      <c r="BF8" s="15"/>
      <c r="BG8" s="15"/>
      <c r="BH8" s="15"/>
      <c r="BI8" s="15"/>
      <c r="BJ8" s="15"/>
      <c r="BK8" s="15"/>
      <c r="BL8" s="15"/>
      <c r="BM8" s="15"/>
      <c r="BN8" s="15"/>
      <c r="BO8" s="15"/>
      <c r="BP8" s="15"/>
      <c r="BQ8" s="15"/>
      <c r="BR8" s="15"/>
      <c r="BS8" s="15"/>
      <c r="BT8" s="15"/>
      <c r="BU8" s="15"/>
      <c r="BV8" s="15"/>
      <c r="BW8" s="15"/>
      <c r="BX8" s="15"/>
      <c r="BY8" s="15"/>
      <c r="BZ8" s="15"/>
      <c r="CA8" s="15"/>
      <c r="CB8" s="15"/>
      <c r="CC8" s="15"/>
      <c r="CD8" s="15"/>
      <c r="CE8" s="15"/>
      <c r="CF8" s="15"/>
      <c r="CG8" s="15"/>
      <c r="CH8" s="15"/>
      <c r="CI8" s="15"/>
      <c r="CJ8" s="15"/>
      <c r="CK8" s="15"/>
      <c r="CL8" s="15"/>
      <c r="CM8" s="15"/>
      <c r="CN8" s="15"/>
      <c r="CO8" s="15"/>
      <c r="CP8" s="15"/>
      <c r="CQ8" s="15"/>
      <c r="CR8" s="15"/>
      <c r="CS8" s="15"/>
      <c r="CT8" s="15"/>
      <c r="CU8" s="15"/>
      <c r="CV8" s="15"/>
      <c r="CW8" s="15"/>
      <c r="CX8" s="15"/>
      <c r="CY8" s="15"/>
      <c r="CZ8" s="15"/>
      <c r="DA8" s="15"/>
      <c r="DB8" s="15"/>
      <c r="DC8" s="15"/>
      <c r="DD8" s="15"/>
      <c r="DE8" s="15"/>
      <c r="DF8" s="15"/>
      <c r="DG8" s="15"/>
      <c r="DH8" s="15"/>
      <c r="DI8" s="15"/>
      <c r="DJ8" s="15"/>
      <c r="DK8" s="15"/>
      <c r="DL8" s="15"/>
      <c r="DM8" s="15"/>
      <c r="DN8" s="15"/>
      <c r="DO8" s="15"/>
      <c r="DP8" s="15"/>
      <c r="DQ8" s="15"/>
      <c r="DR8" s="15"/>
      <c r="DS8" s="15"/>
      <c r="DT8" s="15"/>
      <c r="DU8" s="15"/>
      <c r="DV8" s="15"/>
      <c r="DW8" s="15"/>
      <c r="DX8" s="15"/>
      <c r="DY8" s="15"/>
      <c r="DZ8" s="15"/>
      <c r="EA8" s="15"/>
      <c r="EB8" s="15"/>
      <c r="EC8" s="15"/>
      <c r="ED8" s="15"/>
      <c r="EE8" s="15"/>
      <c r="EF8" s="15"/>
      <c r="EG8" s="15"/>
      <c r="EH8" s="15"/>
      <c r="EI8" s="15"/>
      <c r="EJ8" s="15"/>
      <c r="EK8" s="15"/>
      <c r="EL8" s="15"/>
      <c r="EM8" s="15"/>
      <c r="EN8" s="15"/>
      <c r="EO8" s="15"/>
      <c r="EP8" s="15"/>
      <c r="EQ8" s="15"/>
      <c r="ER8" s="15"/>
      <c r="ES8" s="15"/>
      <c r="ET8" s="15"/>
      <c r="EU8" s="15"/>
      <c r="EV8" s="15"/>
      <c r="EW8" s="15"/>
      <c r="EX8" s="15"/>
      <c r="EY8" s="15"/>
      <c r="EZ8" s="15"/>
      <c r="FA8" s="15"/>
      <c r="FB8" s="15"/>
      <c r="FC8" s="15"/>
      <c r="FD8" s="15"/>
      <c r="FE8" s="15"/>
      <c r="FF8" s="15"/>
      <c r="FG8" s="15"/>
      <c r="FH8" s="15"/>
      <c r="FI8" s="15"/>
      <c r="FJ8" s="15"/>
      <c r="FK8" s="15"/>
      <c r="FL8" s="15"/>
      <c r="FM8" s="15"/>
      <c r="FN8" s="15"/>
      <c r="FO8" s="15"/>
      <c r="FP8" s="15"/>
      <c r="FQ8" s="15"/>
      <c r="FR8" s="15"/>
      <c r="FS8" s="15"/>
      <c r="FT8" s="15"/>
      <c r="FU8" s="15"/>
      <c r="FV8" s="15"/>
      <c r="FW8" s="15"/>
      <c r="FX8" s="15"/>
      <c r="FY8" s="15"/>
      <c r="FZ8" s="15"/>
      <c r="GA8" s="15"/>
      <c r="GB8" s="15"/>
      <c r="GC8" s="15"/>
      <c r="GD8" s="15"/>
      <c r="GE8" s="15"/>
      <c r="GF8" s="15"/>
      <c r="GG8" s="15"/>
      <c r="GH8" s="15"/>
      <c r="GI8" s="15"/>
      <c r="GJ8" s="15"/>
      <c r="GK8" s="15"/>
      <c r="GL8" s="15"/>
      <c r="GM8" s="15"/>
      <c r="GN8" s="15"/>
      <c r="GO8" s="15"/>
      <c r="GP8" s="15"/>
      <c r="GQ8" s="15"/>
      <c r="GR8" s="15"/>
      <c r="GS8" s="15"/>
      <c r="GT8" s="15"/>
      <c r="GU8" s="15"/>
      <c r="GV8" s="15"/>
      <c r="GW8" s="15"/>
      <c r="GX8" s="15"/>
      <c r="GY8" s="15"/>
      <c r="GZ8" s="15"/>
      <c r="HA8" s="15"/>
      <c r="HB8" s="15"/>
      <c r="HC8" s="15"/>
      <c r="HD8" s="15"/>
      <c r="HE8" s="15"/>
      <c r="HF8" s="15"/>
      <c r="HG8" s="15"/>
      <c r="HH8" s="15"/>
      <c r="HI8" s="15"/>
      <c r="HJ8" s="15"/>
      <c r="HK8" s="15"/>
      <c r="HL8" s="15"/>
      <c r="HM8" s="15"/>
      <c r="HN8" s="15"/>
      <c r="HO8" s="15"/>
      <c r="HP8" s="15"/>
      <c r="HQ8" s="15"/>
      <c r="HR8" s="15"/>
      <c r="HS8" s="15"/>
      <c r="HT8" s="15"/>
      <c r="HU8" s="15"/>
      <c r="HV8" s="15"/>
      <c r="HW8" s="15"/>
    </row>
    <row r="9" spans="2:231" x14ac:dyDescent="0.15">
      <c r="B9" t="s">
        <v>238</v>
      </c>
      <c r="C9" t="s">
        <v>271</v>
      </c>
      <c r="D9">
        <v>244.3</v>
      </c>
      <c r="E9">
        <v>7.84</v>
      </c>
      <c r="F9">
        <v>1.05</v>
      </c>
      <c r="G9">
        <v>51.52</v>
      </c>
      <c r="H9">
        <v>70</v>
      </c>
      <c r="J9" s="67" t="s">
        <v>238</v>
      </c>
      <c r="K9" s="15">
        <v>62.994255778032446</v>
      </c>
      <c r="L9" s="15">
        <v>60.564776722272406</v>
      </c>
      <c r="M9" s="16">
        <v>62.994255778032446</v>
      </c>
      <c r="N9" s="15">
        <v>60.11606770412849</v>
      </c>
      <c r="O9" s="15">
        <v>62.994255778032446</v>
      </c>
      <c r="P9" s="15">
        <v>60.116067704128504</v>
      </c>
      <c r="Q9" s="15">
        <v>62.994255778032446</v>
      </c>
      <c r="R9" s="15">
        <v>60.116067704128504</v>
      </c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5"/>
      <c r="AH9" s="15"/>
      <c r="AI9" s="15"/>
      <c r="AJ9" s="15"/>
      <c r="AK9" s="15"/>
      <c r="AL9" s="15"/>
      <c r="AM9" s="15"/>
      <c r="AN9" s="15"/>
      <c r="AO9" s="15"/>
      <c r="AP9" s="15"/>
      <c r="AQ9" s="15"/>
      <c r="AR9" s="15"/>
      <c r="AS9" s="15"/>
      <c r="AT9" s="15"/>
      <c r="AU9" s="16"/>
      <c r="AV9" s="16"/>
      <c r="AW9" s="16"/>
      <c r="AX9" s="16"/>
      <c r="AY9" s="16"/>
      <c r="AZ9" s="16"/>
      <c r="BA9" s="16"/>
      <c r="BB9" s="16"/>
      <c r="BC9" s="16"/>
      <c r="BD9" s="15"/>
      <c r="BE9" s="15"/>
      <c r="BF9" s="15"/>
      <c r="BG9" s="15"/>
      <c r="BH9" s="15"/>
      <c r="BI9" s="15"/>
      <c r="BJ9" s="15"/>
      <c r="BK9" s="15"/>
      <c r="BL9" s="15"/>
      <c r="BM9" s="15"/>
      <c r="BN9" s="15"/>
      <c r="BO9" s="15"/>
      <c r="BP9" s="15"/>
      <c r="BQ9" s="15"/>
      <c r="BR9" s="15"/>
      <c r="BS9" s="15"/>
      <c r="BT9" s="15"/>
      <c r="BU9" s="15"/>
      <c r="BV9" s="15"/>
      <c r="BW9" s="15"/>
      <c r="BX9" s="15"/>
      <c r="BY9" s="15"/>
      <c r="BZ9" s="15"/>
      <c r="CA9" s="15"/>
      <c r="CB9" s="15"/>
      <c r="CC9" s="15"/>
      <c r="CD9" s="15"/>
      <c r="CE9" s="15"/>
      <c r="CF9" s="15"/>
      <c r="CG9" s="15"/>
      <c r="CH9" s="15"/>
      <c r="CI9" s="15"/>
      <c r="CJ9" s="15"/>
      <c r="CK9" s="15"/>
      <c r="CL9" s="15"/>
      <c r="CM9" s="15"/>
      <c r="CN9" s="15"/>
      <c r="CO9" s="15"/>
      <c r="CP9" s="15"/>
      <c r="CQ9" s="15"/>
      <c r="CR9" s="15"/>
      <c r="CS9" s="15"/>
      <c r="CT9" s="15"/>
      <c r="CU9" s="15"/>
      <c r="CV9" s="15"/>
      <c r="CW9" s="15"/>
      <c r="CX9" s="15"/>
      <c r="CY9" s="15"/>
      <c r="CZ9" s="15"/>
      <c r="DA9" s="15"/>
      <c r="DB9" s="15"/>
      <c r="DC9" s="15"/>
      <c r="DD9" s="15"/>
      <c r="DE9" s="15"/>
      <c r="DF9" s="15"/>
      <c r="DG9" s="15"/>
      <c r="DH9" s="15"/>
      <c r="DI9" s="15"/>
      <c r="DJ9" s="15"/>
      <c r="DK9" s="15"/>
      <c r="DL9" s="15"/>
      <c r="DM9" s="15"/>
      <c r="DN9" s="15"/>
      <c r="DO9" s="15"/>
      <c r="DP9" s="15"/>
      <c r="DQ9" s="15"/>
      <c r="DR9" s="15"/>
      <c r="DS9" s="15"/>
      <c r="DT9" s="15"/>
      <c r="DU9" s="15"/>
      <c r="DV9" s="15"/>
      <c r="DW9" s="15"/>
      <c r="DX9" s="15"/>
      <c r="DY9" s="15"/>
      <c r="DZ9" s="15"/>
      <c r="EA9" s="15"/>
      <c r="EB9" s="15"/>
      <c r="EC9" s="15"/>
      <c r="ED9" s="15"/>
      <c r="EE9" s="15"/>
      <c r="EF9" s="15"/>
      <c r="EG9" s="15"/>
      <c r="EH9" s="15"/>
      <c r="EI9" s="15"/>
      <c r="EJ9" s="15"/>
      <c r="EK9" s="15"/>
      <c r="EL9" s="15"/>
      <c r="EM9" s="15"/>
      <c r="EN9" s="15"/>
      <c r="EO9" s="15"/>
      <c r="EP9" s="15"/>
      <c r="EQ9" s="15"/>
      <c r="ER9" s="15"/>
      <c r="ES9" s="15"/>
      <c r="ET9" s="15"/>
      <c r="EU9" s="15"/>
      <c r="EV9" s="15"/>
      <c r="EW9" s="15"/>
      <c r="EX9" s="15"/>
      <c r="EY9" s="15"/>
      <c r="EZ9" s="15"/>
      <c r="FA9" s="15"/>
      <c r="FB9" s="15"/>
      <c r="FC9" s="15"/>
      <c r="FD9" s="15"/>
      <c r="FE9" s="15"/>
      <c r="FF9" s="15"/>
      <c r="FG9" s="15"/>
      <c r="FH9" s="15"/>
      <c r="FI9" s="15"/>
      <c r="FJ9" s="15"/>
      <c r="FK9" s="15"/>
      <c r="FL9" s="15"/>
      <c r="FM9" s="15"/>
      <c r="FN9" s="15"/>
      <c r="FO9" s="15"/>
      <c r="FP9" s="15"/>
      <c r="FQ9" s="15"/>
      <c r="FR9" s="15"/>
      <c r="FS9" s="15"/>
      <c r="FT9" s="15"/>
      <c r="FU9" s="15"/>
      <c r="FV9" s="15"/>
      <c r="FW9" s="15"/>
      <c r="FX9" s="15"/>
      <c r="FY9" s="15"/>
      <c r="FZ9" s="15"/>
      <c r="GA9" s="15"/>
      <c r="GB9" s="15"/>
      <c r="GC9" s="15"/>
      <c r="GD9" s="15"/>
      <c r="GE9" s="15"/>
      <c r="GF9" s="15"/>
      <c r="GG9" s="15"/>
      <c r="GH9" s="15"/>
      <c r="GI9" s="15"/>
      <c r="GJ9" s="15"/>
      <c r="GK9" s="15"/>
      <c r="GL9" s="15"/>
      <c r="GM9" s="15"/>
      <c r="GN9" s="15"/>
      <c r="GO9" s="15"/>
      <c r="GP9" s="15"/>
      <c r="GQ9" s="15"/>
      <c r="GR9" s="15"/>
      <c r="GS9" s="15"/>
      <c r="GT9" s="15"/>
      <c r="GU9" s="15"/>
      <c r="GV9" s="15"/>
      <c r="GW9" s="15"/>
      <c r="GX9" s="15"/>
      <c r="GY9" s="15"/>
      <c r="GZ9" s="15"/>
      <c r="HA9" s="15"/>
      <c r="HB9" s="15"/>
      <c r="HC9" s="15"/>
      <c r="HD9" s="15"/>
      <c r="HE9" s="15"/>
      <c r="HF9" s="15"/>
      <c r="HG9" s="15"/>
      <c r="HH9" s="15"/>
      <c r="HI9" s="15"/>
      <c r="HJ9" s="15"/>
      <c r="HK9" s="15"/>
      <c r="HL9" s="15"/>
      <c r="HM9" s="15"/>
      <c r="HN9" s="15"/>
      <c r="HO9" s="15"/>
      <c r="HP9" s="15"/>
      <c r="HQ9" s="15"/>
      <c r="HR9" s="15"/>
      <c r="HS9" s="15"/>
      <c r="HT9" s="15"/>
      <c r="HU9" s="15"/>
      <c r="HV9" s="15"/>
      <c r="HW9" s="15"/>
    </row>
    <row r="10" spans="2:231" x14ac:dyDescent="0.15">
      <c r="B10" t="s">
        <v>239</v>
      </c>
      <c r="C10" t="s">
        <v>272</v>
      </c>
      <c r="D10">
        <v>112</v>
      </c>
      <c r="E10">
        <v>16.5</v>
      </c>
      <c r="F10">
        <v>7.1</v>
      </c>
      <c r="G10">
        <v>71</v>
      </c>
      <c r="H10">
        <v>46</v>
      </c>
      <c r="J10" s="67" t="s">
        <v>239</v>
      </c>
      <c r="K10" s="15">
        <v>13.666550406081615</v>
      </c>
      <c r="L10" s="15">
        <v>13.49711335321191</v>
      </c>
      <c r="M10" s="16">
        <v>13.666550406081615</v>
      </c>
      <c r="N10" s="15">
        <v>13.492771883843599</v>
      </c>
      <c r="O10" s="15">
        <v>13.666550406081615</v>
      </c>
      <c r="P10" s="15">
        <v>13.492771883843591</v>
      </c>
      <c r="Q10" s="15">
        <v>13.666550406081615</v>
      </c>
      <c r="R10" s="15">
        <v>13.492771883843599</v>
      </c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5"/>
      <c r="AI10" s="15"/>
      <c r="AJ10" s="15"/>
      <c r="AK10" s="15"/>
      <c r="AL10" s="15"/>
      <c r="AM10" s="15"/>
      <c r="AN10" s="15"/>
      <c r="AO10" s="15"/>
      <c r="AP10" s="15"/>
      <c r="AQ10" s="15"/>
      <c r="AR10" s="15"/>
      <c r="AS10" s="15"/>
      <c r="AT10" s="15"/>
      <c r="AU10" s="16"/>
      <c r="AV10" s="16"/>
      <c r="AW10" s="16"/>
      <c r="AX10" s="16"/>
      <c r="AY10" s="16"/>
      <c r="AZ10" s="16"/>
      <c r="BA10" s="16"/>
      <c r="BB10" s="16"/>
      <c r="BC10" s="16"/>
      <c r="BD10" s="15"/>
      <c r="BE10" s="15"/>
      <c r="BF10" s="15"/>
      <c r="BG10" s="15"/>
      <c r="BH10" s="15"/>
      <c r="BI10" s="15"/>
      <c r="BJ10" s="15"/>
      <c r="BK10" s="15"/>
      <c r="BL10" s="15"/>
      <c r="BM10" s="15"/>
      <c r="BN10" s="15"/>
      <c r="BO10" s="15"/>
      <c r="BP10" s="15"/>
      <c r="BQ10" s="15"/>
      <c r="BR10" s="15"/>
      <c r="BS10" s="15"/>
      <c r="BT10" s="15"/>
      <c r="BU10" s="15"/>
      <c r="BV10" s="15"/>
      <c r="BW10" s="15"/>
      <c r="BX10" s="15"/>
      <c r="BY10" s="15"/>
      <c r="BZ10" s="15"/>
      <c r="CA10" s="15"/>
      <c r="CB10" s="15"/>
      <c r="CC10" s="15"/>
      <c r="CD10" s="15"/>
      <c r="CE10" s="15"/>
      <c r="CF10" s="15"/>
      <c r="CG10" s="15"/>
      <c r="CH10" s="15"/>
      <c r="CI10" s="15"/>
      <c r="CJ10" s="15"/>
      <c r="CK10" s="15"/>
      <c r="CL10" s="15"/>
      <c r="CM10" s="15"/>
      <c r="CN10" s="15"/>
      <c r="CO10" s="15"/>
      <c r="CP10" s="15"/>
      <c r="CQ10" s="15"/>
      <c r="CR10" s="15"/>
      <c r="CS10" s="15"/>
      <c r="CT10" s="15"/>
      <c r="CU10" s="15"/>
      <c r="CV10" s="15"/>
      <c r="CW10" s="15"/>
      <c r="CX10" s="15"/>
      <c r="CY10" s="15"/>
      <c r="CZ10" s="15"/>
      <c r="DA10" s="15"/>
      <c r="DB10" s="15"/>
      <c r="DC10" s="15"/>
      <c r="DD10" s="15"/>
      <c r="DE10" s="15"/>
      <c r="DF10" s="15"/>
      <c r="DG10" s="15"/>
      <c r="DH10" s="15"/>
      <c r="DI10" s="15"/>
      <c r="DJ10" s="15"/>
      <c r="DK10" s="15"/>
      <c r="DL10" s="15"/>
      <c r="DM10" s="15"/>
      <c r="DN10" s="15"/>
      <c r="DO10" s="15"/>
      <c r="DP10" s="15"/>
      <c r="DQ10" s="15"/>
      <c r="DR10" s="15"/>
      <c r="DS10" s="15"/>
      <c r="DT10" s="15"/>
      <c r="DU10" s="15"/>
      <c r="DV10" s="15"/>
      <c r="DW10" s="15"/>
      <c r="DX10" s="15"/>
      <c r="DY10" s="15"/>
      <c r="DZ10" s="15"/>
      <c r="EA10" s="15"/>
      <c r="EB10" s="15"/>
      <c r="EC10" s="15"/>
      <c r="ED10" s="15"/>
      <c r="EE10" s="15"/>
      <c r="EF10" s="15"/>
      <c r="EG10" s="15"/>
      <c r="EH10" s="15"/>
      <c r="EI10" s="15"/>
      <c r="EJ10" s="15"/>
      <c r="EK10" s="15"/>
      <c r="EL10" s="15"/>
      <c r="EM10" s="15"/>
      <c r="EN10" s="15"/>
      <c r="EO10" s="15"/>
      <c r="EP10" s="15"/>
      <c r="EQ10" s="15"/>
      <c r="ER10" s="15"/>
      <c r="ES10" s="15"/>
      <c r="ET10" s="15"/>
      <c r="EU10" s="15"/>
      <c r="EV10" s="15"/>
      <c r="EW10" s="15"/>
      <c r="EX10" s="15"/>
      <c r="EY10" s="15"/>
      <c r="EZ10" s="15"/>
      <c r="FA10" s="15"/>
      <c r="FB10" s="15"/>
      <c r="FC10" s="15"/>
      <c r="FD10" s="15"/>
      <c r="FE10" s="15"/>
      <c r="FF10" s="15"/>
      <c r="FG10" s="15"/>
      <c r="FH10" s="15"/>
      <c r="FI10" s="15"/>
      <c r="FJ10" s="15"/>
      <c r="FK10" s="15"/>
      <c r="FL10" s="15"/>
      <c r="FM10" s="15"/>
      <c r="FN10" s="15"/>
      <c r="FO10" s="15"/>
      <c r="FP10" s="15"/>
      <c r="FQ10" s="15"/>
      <c r="FR10" s="15"/>
      <c r="FS10" s="15"/>
      <c r="FT10" s="15"/>
      <c r="FU10" s="15"/>
      <c r="FV10" s="15"/>
      <c r="FW10" s="15"/>
      <c r="FX10" s="15"/>
      <c r="FY10" s="15"/>
      <c r="FZ10" s="15"/>
      <c r="GA10" s="15"/>
      <c r="GB10" s="15"/>
      <c r="GC10" s="15"/>
      <c r="GD10" s="15"/>
      <c r="GE10" s="15"/>
      <c r="GF10" s="15"/>
      <c r="GG10" s="15"/>
      <c r="GH10" s="15"/>
      <c r="GI10" s="15"/>
      <c r="GJ10" s="15"/>
      <c r="GK10" s="15"/>
      <c r="GL10" s="15"/>
      <c r="GM10" s="15"/>
      <c r="GN10" s="15"/>
      <c r="GO10" s="15"/>
      <c r="GP10" s="15"/>
      <c r="GQ10" s="15"/>
      <c r="GR10" s="15"/>
      <c r="GS10" s="15"/>
      <c r="GT10" s="15"/>
      <c r="GU10" s="15"/>
      <c r="GV10" s="15"/>
      <c r="GW10" s="15"/>
      <c r="GX10" s="15"/>
      <c r="GY10" s="15"/>
      <c r="GZ10" s="15"/>
      <c r="HA10" s="15"/>
      <c r="HB10" s="15"/>
      <c r="HC10" s="15"/>
      <c r="HD10" s="15"/>
      <c r="HE10" s="15"/>
      <c r="HF10" s="15"/>
      <c r="HG10" s="15"/>
      <c r="HH10" s="15"/>
      <c r="HI10" s="15"/>
      <c r="HJ10" s="15"/>
      <c r="HK10" s="15"/>
      <c r="HL10" s="15"/>
      <c r="HM10" s="15"/>
      <c r="HN10" s="15"/>
      <c r="HO10" s="15"/>
      <c r="HP10" s="15"/>
      <c r="HQ10" s="15"/>
      <c r="HR10" s="15"/>
      <c r="HS10" s="15"/>
      <c r="HT10" s="15"/>
      <c r="HU10" s="15"/>
      <c r="HV10" s="15"/>
      <c r="HW10" s="15"/>
    </row>
    <row r="11" spans="2:231" x14ac:dyDescent="0.15">
      <c r="B11" t="s">
        <v>240</v>
      </c>
      <c r="J11" s="67" t="s">
        <v>240</v>
      </c>
      <c r="K11" s="15">
        <v>44.785285680729451</v>
      </c>
      <c r="L11" s="15">
        <v>44.637145725424865</v>
      </c>
      <c r="M11" s="16">
        <v>44.785285680729451</v>
      </c>
      <c r="N11" s="15">
        <v>44.56540217303246</v>
      </c>
      <c r="O11" s="15">
        <v>44.785285680729451</v>
      </c>
      <c r="P11" s="15">
        <v>44.565402173032474</v>
      </c>
      <c r="Q11" s="15">
        <v>44.785285680729451</v>
      </c>
      <c r="R11" s="15">
        <v>44.565402173032496</v>
      </c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5"/>
      <c r="AL11" s="15"/>
      <c r="AM11" s="15"/>
      <c r="AN11" s="15"/>
      <c r="AO11" s="15"/>
      <c r="AP11" s="15"/>
      <c r="AQ11" s="15"/>
      <c r="AR11" s="15"/>
      <c r="AS11" s="15"/>
      <c r="AT11" s="15"/>
      <c r="AU11" s="16"/>
      <c r="AV11" s="16"/>
      <c r="AW11" s="16"/>
      <c r="AX11" s="16"/>
      <c r="AY11" s="16"/>
      <c r="AZ11" s="16"/>
      <c r="BA11" s="16"/>
      <c r="BB11" s="16"/>
      <c r="BC11" s="16"/>
      <c r="BD11" s="15"/>
      <c r="BE11" s="15"/>
      <c r="BF11" s="15"/>
      <c r="BG11" s="15"/>
      <c r="BH11" s="15"/>
      <c r="BI11" s="15"/>
      <c r="BJ11" s="15"/>
      <c r="BK11" s="15"/>
      <c r="BL11" s="15"/>
      <c r="BM11" s="15"/>
      <c r="BN11" s="15"/>
      <c r="BO11" s="15"/>
      <c r="BP11" s="15"/>
      <c r="BQ11" s="15"/>
      <c r="BR11" s="15"/>
      <c r="BS11" s="15"/>
      <c r="BT11" s="15"/>
      <c r="BU11" s="15"/>
      <c r="BV11" s="15"/>
      <c r="BW11" s="15"/>
      <c r="BX11" s="15"/>
      <c r="BY11" s="15"/>
      <c r="BZ11" s="15"/>
      <c r="CA11" s="15"/>
      <c r="CB11" s="15"/>
      <c r="CC11" s="15"/>
      <c r="CD11" s="15"/>
      <c r="CE11" s="15"/>
      <c r="CF11" s="15"/>
      <c r="CG11" s="15"/>
      <c r="CH11" s="15"/>
      <c r="CI11" s="15"/>
      <c r="CJ11" s="15"/>
      <c r="CK11" s="15"/>
      <c r="CL11" s="15"/>
      <c r="CM11" s="15"/>
      <c r="CN11" s="15"/>
      <c r="CO11" s="15"/>
      <c r="CP11" s="15"/>
      <c r="CQ11" s="15"/>
      <c r="CR11" s="15"/>
      <c r="CS11" s="15"/>
      <c r="CT11" s="15"/>
      <c r="CU11" s="15"/>
      <c r="CV11" s="15"/>
      <c r="CW11" s="15"/>
      <c r="CX11" s="15"/>
      <c r="CY11" s="15"/>
      <c r="CZ11" s="15"/>
      <c r="DA11" s="15"/>
      <c r="DB11" s="15"/>
      <c r="DC11" s="15"/>
      <c r="DD11" s="15"/>
      <c r="DE11" s="15"/>
      <c r="DF11" s="15"/>
      <c r="DG11" s="15"/>
      <c r="DH11" s="15"/>
      <c r="DI11" s="15"/>
      <c r="DJ11" s="15"/>
      <c r="DK11" s="15"/>
      <c r="DL11" s="15"/>
      <c r="DM11" s="15"/>
      <c r="DN11" s="15"/>
      <c r="DO11" s="15"/>
      <c r="DP11" s="15"/>
      <c r="DQ11" s="15"/>
      <c r="DR11" s="15"/>
      <c r="DS11" s="15"/>
      <c r="DT11" s="15"/>
      <c r="DU11" s="15"/>
      <c r="DV11" s="15"/>
      <c r="DW11" s="15"/>
      <c r="DX11" s="15"/>
      <c r="DY11" s="15"/>
      <c r="DZ11" s="15"/>
      <c r="EA11" s="15"/>
      <c r="EB11" s="15"/>
      <c r="EC11" s="15"/>
      <c r="ED11" s="15"/>
      <c r="EE11" s="15"/>
      <c r="EF11" s="15"/>
      <c r="EG11" s="15"/>
      <c r="EH11" s="15"/>
      <c r="EI11" s="15"/>
      <c r="EJ11" s="15"/>
      <c r="EK11" s="15"/>
      <c r="EL11" s="15"/>
      <c r="EM11" s="15"/>
      <c r="EN11" s="15"/>
      <c r="EO11" s="15"/>
      <c r="EP11" s="15"/>
      <c r="EQ11" s="15"/>
      <c r="ER11" s="15"/>
      <c r="ES11" s="15"/>
      <c r="ET11" s="15"/>
      <c r="EU11" s="15"/>
      <c r="EV11" s="15"/>
      <c r="EW11" s="15"/>
      <c r="EX11" s="15"/>
      <c r="EY11" s="15"/>
      <c r="EZ11" s="15"/>
      <c r="FA11" s="15"/>
      <c r="FB11" s="15"/>
      <c r="FC11" s="15"/>
      <c r="FD11" s="15"/>
      <c r="FE11" s="15"/>
      <c r="FF11" s="15"/>
      <c r="FG11" s="15"/>
      <c r="FH11" s="15"/>
      <c r="FI11" s="15"/>
      <c r="FJ11" s="15"/>
      <c r="FK11" s="15"/>
      <c r="FL11" s="15"/>
      <c r="FM11" s="15"/>
      <c r="FN11" s="15"/>
      <c r="FO11" s="15"/>
      <c r="FP11" s="15"/>
      <c r="FQ11" s="15"/>
      <c r="FR11" s="15"/>
      <c r="FS11" s="15"/>
      <c r="FT11" s="15"/>
      <c r="FU11" s="15"/>
      <c r="FV11" s="15"/>
      <c r="FW11" s="15"/>
      <c r="FX11" s="15"/>
      <c r="FY11" s="15"/>
      <c r="FZ11" s="15"/>
      <c r="GA11" s="15"/>
      <c r="GB11" s="15"/>
      <c r="GC11" s="15"/>
      <c r="GD11" s="15"/>
      <c r="GE11" s="15"/>
      <c r="GF11" s="15"/>
      <c r="GG11" s="15"/>
      <c r="GH11" s="15"/>
      <c r="GI11" s="15"/>
      <c r="GJ11" s="15"/>
      <c r="GK11" s="15"/>
      <c r="GL11" s="15"/>
      <c r="GM11" s="15"/>
      <c r="GN11" s="15"/>
      <c r="GO11" s="15"/>
      <c r="GP11" s="15"/>
      <c r="GQ11" s="15"/>
      <c r="GR11" s="15"/>
      <c r="GS11" s="15"/>
      <c r="GT11" s="15"/>
      <c r="GU11" s="15"/>
      <c r="GV11" s="15"/>
      <c r="GW11" s="15"/>
      <c r="GX11" s="15"/>
      <c r="GY11" s="15"/>
      <c r="GZ11" s="15"/>
      <c r="HA11" s="15"/>
      <c r="HB11" s="15"/>
      <c r="HC11" s="15"/>
      <c r="HD11" s="15"/>
      <c r="HE11" s="15"/>
      <c r="HF11" s="15"/>
      <c r="HG11" s="15"/>
      <c r="HH11" s="15"/>
      <c r="HI11" s="15"/>
      <c r="HJ11" s="15"/>
      <c r="HK11" s="15"/>
      <c r="HL11" s="15"/>
      <c r="HM11" s="15"/>
      <c r="HN11" s="15"/>
      <c r="HO11" s="15"/>
      <c r="HP11" s="15"/>
      <c r="HQ11" s="15"/>
      <c r="HR11" s="15"/>
      <c r="HS11" s="15"/>
      <c r="HT11" s="15"/>
      <c r="HU11" s="15"/>
      <c r="HV11" s="15"/>
      <c r="HW11" s="15"/>
    </row>
    <row r="12" spans="2:231" x14ac:dyDescent="0.15">
      <c r="B12" t="s">
        <v>242</v>
      </c>
      <c r="C12" t="s">
        <v>273</v>
      </c>
      <c r="D12">
        <v>228.9</v>
      </c>
      <c r="E12">
        <v>2.36</v>
      </c>
      <c r="F12">
        <v>0.21</v>
      </c>
      <c r="G12">
        <v>58.49</v>
      </c>
      <c r="H12">
        <v>94</v>
      </c>
      <c r="J12" s="67" t="s">
        <v>241</v>
      </c>
      <c r="K12" s="15">
        <v>2.8471980012670031</v>
      </c>
      <c r="L12" s="15">
        <v>2.8779291888503309</v>
      </c>
      <c r="M12" s="16">
        <v>2.8471980012670031</v>
      </c>
      <c r="N12" s="15">
        <v>2.8614039034642933</v>
      </c>
      <c r="O12" s="15">
        <v>2.8471980012670031</v>
      </c>
      <c r="P12" s="15">
        <v>2.8614039034642946</v>
      </c>
      <c r="Q12" s="15">
        <v>2.8471980012670031</v>
      </c>
      <c r="R12" s="15">
        <v>2.8614039034642937</v>
      </c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/>
      <c r="AL12" s="15"/>
      <c r="AM12" s="15"/>
      <c r="AN12" s="15"/>
      <c r="AO12" s="15"/>
      <c r="AP12" s="15"/>
      <c r="AQ12" s="15"/>
      <c r="AR12" s="15"/>
      <c r="AS12" s="15"/>
      <c r="AT12" s="15"/>
      <c r="AU12" s="16"/>
      <c r="AV12" s="16"/>
      <c r="AW12" s="16"/>
      <c r="AX12" s="16"/>
      <c r="AY12" s="16"/>
      <c r="AZ12" s="16"/>
      <c r="BA12" s="16"/>
      <c r="BB12" s="16"/>
      <c r="BC12" s="16"/>
      <c r="BD12" s="15"/>
      <c r="BE12" s="15"/>
      <c r="BF12" s="15"/>
      <c r="BG12" s="15"/>
      <c r="BH12" s="15"/>
      <c r="BI12" s="15"/>
      <c r="BJ12" s="15"/>
      <c r="BK12" s="15"/>
      <c r="BL12" s="15"/>
      <c r="BM12" s="15"/>
      <c r="BN12" s="15"/>
      <c r="BO12" s="15"/>
      <c r="BP12" s="15"/>
      <c r="BQ12" s="15"/>
      <c r="BR12" s="15"/>
      <c r="BS12" s="15"/>
      <c r="BT12" s="15"/>
      <c r="BU12" s="15"/>
      <c r="BV12" s="15"/>
      <c r="BW12" s="15"/>
      <c r="BX12" s="15"/>
      <c r="BY12" s="15"/>
      <c r="BZ12" s="15"/>
      <c r="CA12" s="15"/>
      <c r="CB12" s="15"/>
      <c r="CC12" s="15"/>
      <c r="CD12" s="15"/>
      <c r="CE12" s="15"/>
      <c r="CF12" s="15"/>
      <c r="CG12" s="15"/>
      <c r="CH12" s="15"/>
      <c r="CI12" s="15"/>
      <c r="CJ12" s="15"/>
      <c r="CK12" s="15"/>
      <c r="CL12" s="15"/>
      <c r="CM12" s="15"/>
      <c r="CN12" s="15"/>
      <c r="CO12" s="15"/>
      <c r="CP12" s="15"/>
      <c r="CQ12" s="15"/>
      <c r="CR12" s="15"/>
      <c r="CS12" s="15"/>
      <c r="CT12" s="15"/>
      <c r="CU12" s="15"/>
      <c r="CV12" s="15"/>
      <c r="CW12" s="15"/>
      <c r="CX12" s="15"/>
      <c r="CY12" s="15"/>
      <c r="CZ12" s="15"/>
      <c r="DA12" s="15"/>
      <c r="DB12" s="15"/>
      <c r="DC12" s="15"/>
      <c r="DD12" s="15"/>
      <c r="DE12" s="15"/>
      <c r="DF12" s="15"/>
      <c r="DG12" s="15"/>
      <c r="DH12" s="15"/>
      <c r="DI12" s="15"/>
      <c r="DJ12" s="15"/>
      <c r="DK12" s="15"/>
      <c r="DL12" s="15"/>
      <c r="DM12" s="15"/>
      <c r="DN12" s="15"/>
      <c r="DO12" s="15"/>
      <c r="DP12" s="15"/>
      <c r="DQ12" s="15"/>
      <c r="DR12" s="15"/>
      <c r="DS12" s="15"/>
      <c r="DT12" s="15"/>
      <c r="DU12" s="15"/>
      <c r="DV12" s="15"/>
      <c r="DW12" s="15"/>
      <c r="DX12" s="15"/>
      <c r="DY12" s="15"/>
      <c r="DZ12" s="15"/>
      <c r="EA12" s="15"/>
      <c r="EB12" s="15"/>
      <c r="EC12" s="15"/>
      <c r="ED12" s="15"/>
      <c r="EE12" s="15"/>
      <c r="EF12" s="15"/>
      <c r="EG12" s="15"/>
      <c r="EH12" s="15"/>
      <c r="EI12" s="15"/>
      <c r="EJ12" s="15"/>
      <c r="EK12" s="15"/>
      <c r="EL12" s="15"/>
      <c r="EM12" s="15"/>
      <c r="EN12" s="15"/>
      <c r="EO12" s="15"/>
      <c r="EP12" s="15"/>
      <c r="EQ12" s="15"/>
      <c r="ER12" s="15"/>
      <c r="ES12" s="15"/>
      <c r="ET12" s="15"/>
      <c r="EU12" s="15"/>
      <c r="EV12" s="15"/>
      <c r="EW12" s="15"/>
      <c r="EX12" s="15"/>
      <c r="EY12" s="15"/>
      <c r="EZ12" s="15"/>
      <c r="FA12" s="15"/>
      <c r="FB12" s="15"/>
      <c r="FC12" s="15"/>
      <c r="FD12" s="15"/>
      <c r="FE12" s="15"/>
      <c r="FF12" s="15"/>
      <c r="FG12" s="15"/>
      <c r="FH12" s="15"/>
      <c r="FI12" s="15"/>
      <c r="FJ12" s="15"/>
      <c r="FK12" s="15"/>
      <c r="FL12" s="15"/>
      <c r="FM12" s="15"/>
      <c r="FN12" s="15"/>
      <c r="FO12" s="15"/>
      <c r="FP12" s="15"/>
      <c r="FQ12" s="15"/>
      <c r="FR12" s="15"/>
      <c r="FS12" s="15"/>
      <c r="FT12" s="15"/>
      <c r="FU12" s="15"/>
      <c r="FV12" s="15"/>
      <c r="FW12" s="15"/>
      <c r="FX12" s="15"/>
      <c r="FY12" s="15"/>
      <c r="FZ12" s="15"/>
      <c r="GA12" s="15"/>
      <c r="GB12" s="15"/>
      <c r="GC12" s="15"/>
      <c r="GD12" s="15"/>
      <c r="GE12" s="15"/>
      <c r="GF12" s="15"/>
      <c r="GG12" s="15"/>
      <c r="GH12" s="15"/>
      <c r="GI12" s="15"/>
      <c r="GJ12" s="15"/>
      <c r="GK12" s="15"/>
      <c r="GL12" s="15"/>
      <c r="GM12" s="15"/>
      <c r="GN12" s="15"/>
      <c r="GO12" s="15"/>
      <c r="GP12" s="15"/>
      <c r="GQ12" s="15"/>
      <c r="GR12" s="15"/>
      <c r="GS12" s="15"/>
      <c r="GT12" s="15"/>
      <c r="GU12" s="15"/>
      <c r="GV12" s="15"/>
      <c r="GW12" s="15"/>
      <c r="GX12" s="15"/>
      <c r="GY12" s="15"/>
      <c r="GZ12" s="15"/>
      <c r="HA12" s="15"/>
      <c r="HB12" s="15"/>
      <c r="HC12" s="15"/>
      <c r="HD12" s="15"/>
      <c r="HE12" s="15"/>
      <c r="HF12" s="15"/>
      <c r="HG12" s="15"/>
      <c r="HH12" s="15"/>
      <c r="HI12" s="15"/>
      <c r="HJ12" s="15"/>
      <c r="HK12" s="15"/>
      <c r="HL12" s="15"/>
      <c r="HM12" s="15"/>
      <c r="HN12" s="15"/>
      <c r="HO12" s="15"/>
      <c r="HP12" s="15"/>
      <c r="HQ12" s="15"/>
      <c r="HR12" s="15"/>
      <c r="HS12" s="15"/>
      <c r="HT12" s="15"/>
      <c r="HU12" s="15"/>
      <c r="HV12" s="15"/>
      <c r="HW12" s="15"/>
    </row>
    <row r="13" spans="2:231" x14ac:dyDescent="0.15">
      <c r="B13" t="s">
        <v>243</v>
      </c>
      <c r="C13" t="s">
        <v>274</v>
      </c>
      <c r="D13">
        <v>390</v>
      </c>
      <c r="E13">
        <v>35</v>
      </c>
      <c r="F13">
        <v>16</v>
      </c>
      <c r="G13">
        <v>34.200000000000003</v>
      </c>
      <c r="H13">
        <v>100</v>
      </c>
      <c r="J13" s="67" t="s">
        <v>242</v>
      </c>
      <c r="K13" s="15">
        <v>0.2733310081216323</v>
      </c>
      <c r="L13" s="15">
        <v>0.26969558982164293</v>
      </c>
      <c r="M13" s="16">
        <v>0.2733310081216323</v>
      </c>
      <c r="N13" s="15">
        <v>0.26926211856437676</v>
      </c>
      <c r="O13" s="15">
        <v>0.2733310081216323</v>
      </c>
      <c r="P13" s="15">
        <v>0.26926211856437715</v>
      </c>
      <c r="Q13" s="15">
        <v>0.2733310081216323</v>
      </c>
      <c r="R13" s="15">
        <v>0.26926211856437721</v>
      </c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5"/>
      <c r="AD13" s="15"/>
      <c r="AE13" s="15"/>
      <c r="AF13" s="15"/>
      <c r="AG13" s="15"/>
      <c r="AH13" s="15"/>
      <c r="AI13" s="15"/>
      <c r="AJ13" s="15"/>
      <c r="AK13" s="15"/>
      <c r="AL13" s="15"/>
      <c r="AM13" s="15"/>
      <c r="AN13" s="15"/>
      <c r="AO13" s="15"/>
      <c r="AP13" s="15"/>
      <c r="AQ13" s="15"/>
      <c r="AR13" s="15"/>
      <c r="AS13" s="15"/>
      <c r="AT13" s="15"/>
      <c r="AU13" s="16"/>
      <c r="AV13" s="16"/>
      <c r="AW13" s="16"/>
      <c r="AX13" s="16"/>
      <c r="AY13" s="16"/>
      <c r="AZ13" s="16"/>
      <c r="BA13" s="16"/>
      <c r="BB13" s="16"/>
      <c r="BC13" s="16"/>
      <c r="BD13" s="15"/>
      <c r="BE13" s="15"/>
      <c r="BF13" s="15"/>
      <c r="BG13" s="15"/>
      <c r="BH13" s="15"/>
      <c r="BI13" s="15"/>
      <c r="BJ13" s="15"/>
      <c r="BK13" s="15"/>
      <c r="BL13" s="15"/>
      <c r="BM13" s="15"/>
      <c r="BN13" s="15"/>
      <c r="BO13" s="15"/>
      <c r="BP13" s="15"/>
      <c r="BQ13" s="15"/>
      <c r="BR13" s="15"/>
      <c r="BS13" s="15"/>
      <c r="BT13" s="15"/>
      <c r="BU13" s="15"/>
      <c r="BV13" s="15"/>
      <c r="BW13" s="15"/>
      <c r="BX13" s="15"/>
      <c r="BY13" s="15"/>
      <c r="BZ13" s="15"/>
      <c r="CA13" s="15"/>
      <c r="CB13" s="15"/>
      <c r="CC13" s="15"/>
      <c r="CD13" s="15"/>
      <c r="CE13" s="15"/>
      <c r="CF13" s="15"/>
      <c r="CG13" s="15"/>
      <c r="CH13" s="15"/>
      <c r="CI13" s="15"/>
      <c r="CJ13" s="15"/>
      <c r="CK13" s="15"/>
      <c r="CL13" s="15"/>
      <c r="CM13" s="15"/>
      <c r="CN13" s="15"/>
      <c r="CO13" s="15"/>
      <c r="CP13" s="15"/>
      <c r="CQ13" s="15"/>
      <c r="CR13" s="15"/>
      <c r="CS13" s="15"/>
      <c r="CT13" s="15"/>
      <c r="CU13" s="15"/>
      <c r="CV13" s="15"/>
      <c r="CW13" s="15"/>
      <c r="CX13" s="15"/>
      <c r="CY13" s="15"/>
      <c r="CZ13" s="15"/>
      <c r="DA13" s="15"/>
      <c r="DB13" s="15"/>
      <c r="DC13" s="15"/>
      <c r="DD13" s="15"/>
      <c r="DE13" s="15"/>
      <c r="DF13" s="15"/>
      <c r="DG13" s="15"/>
      <c r="DH13" s="15"/>
      <c r="DI13" s="15"/>
      <c r="DJ13" s="15"/>
      <c r="DK13" s="15"/>
      <c r="DL13" s="15"/>
      <c r="DM13" s="15"/>
      <c r="DN13" s="15"/>
      <c r="DO13" s="15"/>
      <c r="DP13" s="15"/>
      <c r="DQ13" s="15"/>
      <c r="DR13" s="15"/>
      <c r="DS13" s="15"/>
      <c r="DT13" s="15"/>
      <c r="DU13" s="15"/>
      <c r="DV13" s="15"/>
      <c r="DW13" s="15"/>
      <c r="DX13" s="15"/>
      <c r="DY13" s="15"/>
      <c r="DZ13" s="15"/>
      <c r="EA13" s="15"/>
      <c r="EB13" s="15"/>
      <c r="EC13" s="15"/>
      <c r="ED13" s="15"/>
      <c r="EE13" s="15"/>
      <c r="EF13" s="15"/>
      <c r="EG13" s="15"/>
      <c r="EH13" s="15"/>
      <c r="EI13" s="15"/>
      <c r="EJ13" s="15"/>
      <c r="EK13" s="15"/>
      <c r="EL13" s="15"/>
      <c r="EM13" s="15"/>
      <c r="EN13" s="15"/>
      <c r="EO13" s="15"/>
      <c r="EP13" s="15"/>
      <c r="EQ13" s="15"/>
      <c r="ER13" s="15"/>
      <c r="ES13" s="15"/>
      <c r="ET13" s="15"/>
      <c r="EU13" s="15"/>
      <c r="EV13" s="15"/>
      <c r="EW13" s="15"/>
      <c r="EX13" s="15"/>
      <c r="EY13" s="15"/>
      <c r="EZ13" s="15"/>
      <c r="FA13" s="15"/>
      <c r="FB13" s="15"/>
      <c r="FC13" s="15"/>
      <c r="FD13" s="15"/>
      <c r="FE13" s="15"/>
      <c r="FF13" s="15"/>
      <c r="FG13" s="15"/>
      <c r="FH13" s="15"/>
      <c r="FI13" s="15"/>
      <c r="FJ13" s="15"/>
      <c r="FK13" s="15"/>
      <c r="FL13" s="15"/>
      <c r="FM13" s="15"/>
      <c r="FN13" s="15"/>
      <c r="FO13" s="15"/>
      <c r="FP13" s="15"/>
      <c r="FQ13" s="15"/>
      <c r="FR13" s="15"/>
      <c r="FS13" s="15"/>
      <c r="FT13" s="15"/>
      <c r="FU13" s="15"/>
      <c r="FV13" s="15"/>
      <c r="FW13" s="15"/>
      <c r="FX13" s="15"/>
      <c r="FY13" s="15"/>
      <c r="FZ13" s="15"/>
      <c r="GA13" s="15"/>
      <c r="GB13" s="15"/>
      <c r="GC13" s="15"/>
      <c r="GD13" s="15"/>
      <c r="GE13" s="15"/>
      <c r="GF13" s="15"/>
      <c r="GG13" s="15"/>
      <c r="GH13" s="15"/>
      <c r="GI13" s="15"/>
      <c r="GJ13" s="15"/>
      <c r="GK13" s="15"/>
      <c r="GL13" s="15"/>
      <c r="GM13" s="15"/>
      <c r="GN13" s="15"/>
      <c r="GO13" s="15"/>
      <c r="GP13" s="15"/>
      <c r="GQ13" s="15"/>
      <c r="GR13" s="15"/>
      <c r="GS13" s="15"/>
      <c r="GT13" s="15"/>
      <c r="GU13" s="15"/>
      <c r="GV13" s="15"/>
      <c r="GW13" s="15"/>
      <c r="GX13" s="15"/>
      <c r="GY13" s="15"/>
      <c r="GZ13" s="15"/>
      <c r="HA13" s="15"/>
      <c r="HB13" s="15"/>
      <c r="HC13" s="15"/>
      <c r="HD13" s="15"/>
      <c r="HE13" s="15"/>
      <c r="HF13" s="15"/>
      <c r="HG13" s="15"/>
      <c r="HH13" s="15"/>
      <c r="HI13" s="15"/>
      <c r="HJ13" s="15"/>
      <c r="HK13" s="15"/>
      <c r="HL13" s="15"/>
      <c r="HM13" s="15"/>
      <c r="HN13" s="15"/>
      <c r="HO13" s="15"/>
      <c r="HP13" s="15"/>
      <c r="HQ13" s="15"/>
      <c r="HR13" s="15"/>
      <c r="HS13" s="15"/>
      <c r="HT13" s="15"/>
      <c r="HU13" s="15"/>
      <c r="HV13" s="15"/>
      <c r="HW13" s="15"/>
    </row>
    <row r="14" spans="2:231" x14ac:dyDescent="0.15">
      <c r="B14" t="s">
        <v>244</v>
      </c>
      <c r="C14" t="s">
        <v>275</v>
      </c>
      <c r="D14">
        <v>899</v>
      </c>
      <c r="E14">
        <v>0</v>
      </c>
      <c r="F14">
        <v>99.9</v>
      </c>
      <c r="G14">
        <v>0</v>
      </c>
      <c r="H14">
        <v>100</v>
      </c>
      <c r="J14" s="67" t="s">
        <v>243</v>
      </c>
      <c r="K14" s="15">
        <v>12.100591505384763</v>
      </c>
      <c r="L14" s="15">
        <v>12.435914349096272</v>
      </c>
      <c r="M14" s="16">
        <v>12.100591505384763</v>
      </c>
      <c r="N14" s="15">
        <v>12.395572164002637</v>
      </c>
      <c r="O14" s="15">
        <v>12.100591505384763</v>
      </c>
      <c r="P14" s="15">
        <v>12.395572164002632</v>
      </c>
      <c r="Q14" s="15">
        <v>12.100591505384763</v>
      </c>
      <c r="R14" s="15">
        <v>12.395572164002633</v>
      </c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5"/>
      <c r="AL14" s="15"/>
      <c r="AM14" s="15"/>
      <c r="AN14" s="15"/>
      <c r="AO14" s="15"/>
      <c r="AP14" s="15"/>
      <c r="AQ14" s="15"/>
      <c r="AR14" s="15"/>
      <c r="AS14" s="15"/>
      <c r="AT14" s="15"/>
      <c r="AU14" s="16"/>
      <c r="AV14" s="16"/>
      <c r="AW14" s="16"/>
      <c r="AX14" s="16"/>
      <c r="AY14" s="16"/>
      <c r="AZ14" s="16"/>
      <c r="BA14" s="16"/>
      <c r="BB14" s="16"/>
      <c r="BC14" s="16"/>
      <c r="BD14" s="15"/>
      <c r="BE14" s="15"/>
      <c r="BF14" s="15"/>
      <c r="BG14" s="15"/>
      <c r="BH14" s="15"/>
      <c r="BI14" s="15"/>
      <c r="BJ14" s="15"/>
      <c r="BK14" s="15"/>
      <c r="BL14" s="15"/>
      <c r="BM14" s="15"/>
      <c r="BN14" s="15"/>
      <c r="BO14" s="15"/>
      <c r="BP14" s="15"/>
      <c r="BQ14" s="15"/>
      <c r="BR14" s="15"/>
      <c r="BS14" s="15"/>
      <c r="BT14" s="15"/>
      <c r="BU14" s="15"/>
      <c r="BV14" s="15"/>
      <c r="BW14" s="15"/>
      <c r="BX14" s="15"/>
      <c r="BY14" s="15"/>
      <c r="BZ14" s="15"/>
      <c r="CA14" s="15"/>
      <c r="CB14" s="15"/>
      <c r="CC14" s="15"/>
      <c r="CD14" s="15"/>
      <c r="CE14" s="15"/>
      <c r="CF14" s="15"/>
      <c r="CG14" s="15"/>
      <c r="CH14" s="15"/>
      <c r="CI14" s="15"/>
      <c r="CJ14" s="15"/>
      <c r="CK14" s="15"/>
      <c r="CL14" s="15"/>
      <c r="CM14" s="15"/>
      <c r="CN14" s="15"/>
      <c r="CO14" s="15"/>
      <c r="CP14" s="15"/>
      <c r="CQ14" s="15"/>
      <c r="CR14" s="15"/>
      <c r="CS14" s="15"/>
      <c r="CT14" s="15"/>
      <c r="CU14" s="15"/>
      <c r="CV14" s="15"/>
      <c r="CW14" s="15"/>
      <c r="CX14" s="15"/>
      <c r="CY14" s="15"/>
      <c r="CZ14" s="15"/>
      <c r="DA14" s="15"/>
      <c r="DB14" s="15"/>
      <c r="DC14" s="15"/>
      <c r="DD14" s="15"/>
      <c r="DE14" s="15"/>
      <c r="DF14" s="15"/>
      <c r="DG14" s="15"/>
      <c r="DH14" s="15"/>
      <c r="DI14" s="15"/>
      <c r="DJ14" s="15"/>
      <c r="DK14" s="15"/>
      <c r="DL14" s="15"/>
      <c r="DM14" s="15"/>
      <c r="DN14" s="15"/>
      <c r="DO14" s="15"/>
      <c r="DP14" s="15"/>
      <c r="DQ14" s="15"/>
      <c r="DR14" s="15"/>
      <c r="DS14" s="15"/>
      <c r="DT14" s="15"/>
      <c r="DU14" s="15"/>
      <c r="DV14" s="15"/>
      <c r="DW14" s="15"/>
      <c r="DX14" s="15"/>
      <c r="DY14" s="15"/>
      <c r="DZ14" s="15"/>
      <c r="EA14" s="15"/>
      <c r="EB14" s="15"/>
      <c r="EC14" s="15"/>
      <c r="ED14" s="15"/>
      <c r="EE14" s="15"/>
      <c r="EF14" s="15"/>
      <c r="EG14" s="15"/>
      <c r="EH14" s="15"/>
      <c r="EI14" s="15"/>
      <c r="EJ14" s="15"/>
      <c r="EK14" s="15"/>
      <c r="EL14" s="15"/>
      <c r="EM14" s="15"/>
      <c r="EN14" s="15"/>
      <c r="EO14" s="15"/>
      <c r="EP14" s="15"/>
      <c r="EQ14" s="15"/>
      <c r="ER14" s="15"/>
      <c r="ES14" s="15"/>
      <c r="ET14" s="15"/>
      <c r="EU14" s="15"/>
      <c r="EV14" s="15"/>
      <c r="EW14" s="15"/>
      <c r="EX14" s="15"/>
      <c r="EY14" s="15"/>
      <c r="EZ14" s="15"/>
      <c r="FA14" s="15"/>
      <c r="FB14" s="15"/>
      <c r="FC14" s="15"/>
      <c r="FD14" s="15"/>
      <c r="FE14" s="15"/>
      <c r="FF14" s="15"/>
      <c r="FG14" s="15"/>
      <c r="FH14" s="15"/>
      <c r="FI14" s="15"/>
      <c r="FJ14" s="15"/>
      <c r="FK14" s="15"/>
      <c r="FL14" s="15"/>
      <c r="FM14" s="15"/>
      <c r="FN14" s="15"/>
      <c r="FO14" s="15"/>
      <c r="FP14" s="15"/>
      <c r="FQ14" s="15"/>
      <c r="FR14" s="15"/>
      <c r="FS14" s="15"/>
      <c r="FT14" s="15"/>
      <c r="FU14" s="15"/>
      <c r="FV14" s="15"/>
      <c r="FW14" s="15"/>
      <c r="FX14" s="15"/>
      <c r="FY14" s="15"/>
      <c r="FZ14" s="15"/>
      <c r="GA14" s="15"/>
      <c r="GB14" s="15"/>
      <c r="GC14" s="15"/>
      <c r="GD14" s="15"/>
      <c r="GE14" s="15"/>
      <c r="GF14" s="15"/>
      <c r="GG14" s="15"/>
      <c r="GH14" s="15"/>
      <c r="GI14" s="15"/>
      <c r="GJ14" s="15"/>
      <c r="GK14" s="15"/>
      <c r="GL14" s="15"/>
      <c r="GM14" s="15"/>
      <c r="GN14" s="15"/>
      <c r="GO14" s="15"/>
      <c r="GP14" s="15"/>
      <c r="GQ14" s="15"/>
      <c r="GR14" s="15"/>
      <c r="GS14" s="15"/>
      <c r="GT14" s="15"/>
      <c r="GU14" s="15"/>
      <c r="GV14" s="15"/>
      <c r="GW14" s="15"/>
      <c r="GX14" s="15"/>
      <c r="GY14" s="15"/>
      <c r="GZ14" s="15"/>
      <c r="HA14" s="15"/>
      <c r="HB14" s="15"/>
      <c r="HC14" s="15"/>
      <c r="HD14" s="15"/>
      <c r="HE14" s="15"/>
      <c r="HF14" s="15"/>
      <c r="HG14" s="15"/>
      <c r="HH14" s="15"/>
      <c r="HI14" s="15"/>
      <c r="HJ14" s="15"/>
      <c r="HK14" s="15"/>
      <c r="HL14" s="15"/>
      <c r="HM14" s="15"/>
      <c r="HN14" s="15"/>
      <c r="HO14" s="15"/>
      <c r="HP14" s="15"/>
      <c r="HQ14" s="15"/>
      <c r="HR14" s="15"/>
      <c r="HS14" s="15"/>
      <c r="HT14" s="15"/>
      <c r="HU14" s="15"/>
      <c r="HV14" s="15"/>
      <c r="HW14" s="15"/>
    </row>
    <row r="15" spans="2:231" x14ac:dyDescent="0.15">
      <c r="B15" t="s">
        <v>247</v>
      </c>
      <c r="C15" t="s">
        <v>276</v>
      </c>
      <c r="D15">
        <v>899</v>
      </c>
      <c r="E15">
        <v>0</v>
      </c>
      <c r="F15">
        <v>99.9</v>
      </c>
      <c r="G15">
        <v>0</v>
      </c>
      <c r="H15">
        <v>100</v>
      </c>
      <c r="J15" s="67" t="s">
        <v>244</v>
      </c>
      <c r="K15" s="15">
        <v>13.159322082155898</v>
      </c>
      <c r="L15" s="15">
        <v>13.49339718853941</v>
      </c>
      <c r="M15" s="16">
        <v>13.159322082155898</v>
      </c>
      <c r="N15" s="15">
        <v>13.585096869923381</v>
      </c>
      <c r="O15" s="15">
        <v>13.159322082155898</v>
      </c>
      <c r="P15" s="15">
        <v>13.585096869923373</v>
      </c>
      <c r="Q15" s="15">
        <v>13.159322082155898</v>
      </c>
      <c r="R15" s="15">
        <v>13.585096869923376</v>
      </c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5"/>
      <c r="AM15" s="15"/>
      <c r="AN15" s="15"/>
      <c r="AO15" s="15"/>
      <c r="AP15" s="15"/>
      <c r="AQ15" s="15"/>
      <c r="AR15" s="15"/>
      <c r="AS15" s="15"/>
      <c r="AT15" s="15"/>
      <c r="AU15" s="16"/>
      <c r="AV15" s="16"/>
      <c r="AW15" s="16"/>
      <c r="AX15" s="16"/>
      <c r="AY15" s="16"/>
      <c r="AZ15" s="16"/>
      <c r="BA15" s="16"/>
      <c r="BB15" s="16"/>
      <c r="BC15" s="16"/>
      <c r="BD15" s="15"/>
      <c r="BE15" s="15"/>
      <c r="BF15" s="15"/>
      <c r="BG15" s="15"/>
      <c r="BH15" s="15"/>
      <c r="BI15" s="15"/>
      <c r="BJ15" s="15"/>
      <c r="BK15" s="15"/>
      <c r="BL15" s="15"/>
      <c r="BM15" s="15"/>
      <c r="BN15" s="15"/>
      <c r="BO15" s="15"/>
      <c r="BP15" s="15"/>
      <c r="BQ15" s="15"/>
      <c r="BR15" s="15"/>
      <c r="BS15" s="15"/>
      <c r="BT15" s="15"/>
      <c r="BU15" s="15"/>
      <c r="BV15" s="15"/>
      <c r="BW15" s="15"/>
      <c r="BX15" s="15"/>
      <c r="BY15" s="15"/>
      <c r="BZ15" s="15"/>
      <c r="CA15" s="15"/>
      <c r="CB15" s="15"/>
      <c r="CC15" s="15"/>
      <c r="CD15" s="15"/>
      <c r="CE15" s="15"/>
      <c r="CF15" s="15"/>
      <c r="CG15" s="15"/>
      <c r="CH15" s="15"/>
      <c r="CI15" s="15"/>
      <c r="CJ15" s="15"/>
      <c r="CK15" s="15"/>
      <c r="CL15" s="15"/>
      <c r="CM15" s="15"/>
      <c r="CN15" s="15"/>
      <c r="CO15" s="15"/>
      <c r="CP15" s="15"/>
      <c r="CQ15" s="15"/>
      <c r="CR15" s="15"/>
      <c r="CS15" s="15"/>
      <c r="CT15" s="15"/>
      <c r="CU15" s="15"/>
      <c r="CV15" s="15"/>
      <c r="CW15" s="15"/>
      <c r="CX15" s="15"/>
      <c r="CY15" s="15"/>
      <c r="CZ15" s="15"/>
      <c r="DA15" s="15"/>
      <c r="DB15" s="15"/>
      <c r="DC15" s="15"/>
      <c r="DD15" s="15"/>
      <c r="DE15" s="15"/>
      <c r="DF15" s="15"/>
      <c r="DG15" s="15"/>
      <c r="DH15" s="15"/>
      <c r="DI15" s="15"/>
      <c r="DJ15" s="15"/>
      <c r="DK15" s="15"/>
      <c r="DL15" s="15"/>
      <c r="DM15" s="15"/>
      <c r="DN15" s="15"/>
      <c r="DO15" s="15"/>
      <c r="DP15" s="15"/>
      <c r="DQ15" s="15"/>
      <c r="DR15" s="15"/>
      <c r="DS15" s="15"/>
      <c r="DT15" s="15"/>
      <c r="DU15" s="15"/>
      <c r="DV15" s="15"/>
      <c r="DW15" s="15"/>
      <c r="DX15" s="15"/>
      <c r="DY15" s="15"/>
      <c r="DZ15" s="15"/>
      <c r="EA15" s="15"/>
      <c r="EB15" s="15"/>
      <c r="EC15" s="15"/>
      <c r="ED15" s="15"/>
      <c r="EE15" s="15"/>
      <c r="EF15" s="15"/>
      <c r="EG15" s="15"/>
      <c r="EH15" s="15"/>
      <c r="EI15" s="15"/>
      <c r="EJ15" s="15"/>
      <c r="EK15" s="15"/>
      <c r="EL15" s="15"/>
      <c r="EM15" s="15"/>
      <c r="EN15" s="15"/>
      <c r="EO15" s="15"/>
      <c r="EP15" s="15"/>
      <c r="EQ15" s="15"/>
      <c r="ER15" s="15"/>
      <c r="ES15" s="15"/>
      <c r="ET15" s="15"/>
      <c r="EU15" s="15"/>
      <c r="EV15" s="15"/>
      <c r="EW15" s="15"/>
      <c r="EX15" s="15"/>
      <c r="EY15" s="15"/>
      <c r="EZ15" s="15"/>
      <c r="FA15" s="15"/>
      <c r="FB15" s="15"/>
      <c r="FC15" s="15"/>
      <c r="FD15" s="15"/>
      <c r="FE15" s="15"/>
      <c r="FF15" s="15"/>
      <c r="FG15" s="15"/>
      <c r="FH15" s="15"/>
      <c r="FI15" s="15"/>
      <c r="FJ15" s="15"/>
      <c r="FK15" s="15"/>
      <c r="FL15" s="15"/>
      <c r="FM15" s="15"/>
      <c r="FN15" s="15"/>
      <c r="FO15" s="15"/>
      <c r="FP15" s="15"/>
      <c r="FQ15" s="15"/>
      <c r="FR15" s="15"/>
      <c r="FS15" s="15"/>
      <c r="FT15" s="15"/>
      <c r="FU15" s="15"/>
      <c r="FV15" s="15"/>
      <c r="FW15" s="15"/>
      <c r="FX15" s="15"/>
      <c r="FY15" s="15"/>
      <c r="FZ15" s="15"/>
      <c r="GA15" s="15"/>
      <c r="GB15" s="15"/>
      <c r="GC15" s="15"/>
      <c r="GD15" s="15"/>
      <c r="GE15" s="15"/>
      <c r="GF15" s="15"/>
      <c r="GG15" s="15"/>
      <c r="GH15" s="15"/>
      <c r="GI15" s="15"/>
      <c r="GJ15" s="15"/>
      <c r="GK15" s="15"/>
      <c r="GL15" s="15"/>
      <c r="GM15" s="15"/>
      <c r="GN15" s="15"/>
      <c r="GO15" s="15"/>
      <c r="GP15" s="15"/>
      <c r="GQ15" s="15"/>
      <c r="GR15" s="15"/>
      <c r="GS15" s="15"/>
      <c r="GT15" s="15"/>
      <c r="GU15" s="15"/>
      <c r="GV15" s="15"/>
      <c r="GW15" s="15"/>
      <c r="GX15" s="15"/>
      <c r="GY15" s="15"/>
      <c r="GZ15" s="15"/>
      <c r="HA15" s="15"/>
      <c r="HB15" s="15"/>
      <c r="HC15" s="15"/>
      <c r="HD15" s="15"/>
      <c r="HE15" s="15"/>
      <c r="HF15" s="15"/>
      <c r="HG15" s="15"/>
      <c r="HH15" s="15"/>
      <c r="HI15" s="15"/>
      <c r="HJ15" s="15"/>
      <c r="HK15" s="15"/>
      <c r="HL15" s="15"/>
      <c r="HM15" s="15"/>
      <c r="HN15" s="15"/>
      <c r="HO15" s="15"/>
      <c r="HP15" s="15"/>
      <c r="HQ15" s="15"/>
      <c r="HR15" s="15"/>
      <c r="HS15" s="15"/>
      <c r="HT15" s="15"/>
      <c r="HU15" s="15"/>
      <c r="HV15" s="15"/>
      <c r="HW15" s="15"/>
    </row>
    <row r="16" spans="2:231" x14ac:dyDescent="0.15">
      <c r="B16" t="s">
        <v>249</v>
      </c>
      <c r="C16" t="s">
        <v>277</v>
      </c>
      <c r="J16" s="67" t="s">
        <v>247</v>
      </c>
      <c r="K16" s="15">
        <v>7.1179950031675085</v>
      </c>
      <c r="L16" s="15">
        <v>7.4000658688003433</v>
      </c>
      <c r="M16" s="16">
        <v>7.1179950031675085</v>
      </c>
      <c r="N16" s="15">
        <v>7.4503559234773036</v>
      </c>
      <c r="O16" s="15">
        <v>7.1179950031675085</v>
      </c>
      <c r="P16" s="15">
        <v>7.4503559234773</v>
      </c>
      <c r="Q16" s="15">
        <v>7.1179950031675085</v>
      </c>
      <c r="R16" s="15">
        <v>7.4503559234773</v>
      </c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/>
      <c r="AL16" s="15"/>
      <c r="AM16" s="15"/>
      <c r="AN16" s="15"/>
      <c r="AO16" s="15"/>
      <c r="AP16" s="15"/>
      <c r="AQ16" s="15"/>
      <c r="AR16" s="15"/>
      <c r="AS16" s="15"/>
      <c r="AT16" s="15"/>
      <c r="AU16" s="16"/>
      <c r="AV16" s="16"/>
      <c r="AW16" s="16"/>
      <c r="AX16" s="16"/>
      <c r="AY16" s="16"/>
      <c r="AZ16" s="16"/>
      <c r="BA16" s="16"/>
      <c r="BB16" s="16"/>
      <c r="BC16" s="16"/>
      <c r="BD16" s="15"/>
      <c r="BE16" s="15"/>
      <c r="BF16" s="15"/>
      <c r="BG16" s="15"/>
      <c r="BH16" s="15"/>
      <c r="BI16" s="15"/>
      <c r="BJ16" s="15"/>
      <c r="BK16" s="15"/>
      <c r="BL16" s="15"/>
      <c r="BM16" s="15"/>
      <c r="BN16" s="15"/>
      <c r="BO16" s="15"/>
      <c r="BP16" s="15"/>
      <c r="BQ16" s="15"/>
      <c r="BR16" s="15"/>
      <c r="BS16" s="15"/>
      <c r="BT16" s="15"/>
      <c r="BU16" s="15"/>
      <c r="BV16" s="15"/>
      <c r="BW16" s="15"/>
      <c r="BX16" s="15"/>
      <c r="BY16" s="15"/>
      <c r="BZ16" s="15"/>
      <c r="CA16" s="15"/>
      <c r="CB16" s="15"/>
      <c r="CC16" s="15"/>
      <c r="CD16" s="15"/>
      <c r="CE16" s="15"/>
      <c r="CF16" s="15"/>
      <c r="CG16" s="15"/>
      <c r="CH16" s="15"/>
      <c r="CI16" s="15"/>
      <c r="CJ16" s="15"/>
      <c r="CK16" s="15"/>
      <c r="CL16" s="15"/>
      <c r="CM16" s="15"/>
      <c r="CN16" s="15"/>
      <c r="CO16" s="15"/>
      <c r="CP16" s="15"/>
      <c r="CQ16" s="15"/>
      <c r="CR16" s="15"/>
      <c r="CS16" s="15"/>
      <c r="CT16" s="15"/>
      <c r="CU16" s="15"/>
      <c r="CV16" s="15"/>
      <c r="CW16" s="15"/>
      <c r="CX16" s="15"/>
      <c r="CY16" s="15"/>
      <c r="CZ16" s="15"/>
      <c r="DA16" s="15"/>
      <c r="DB16" s="15"/>
      <c r="DC16" s="15"/>
      <c r="DD16" s="15"/>
      <c r="DE16" s="15"/>
      <c r="DF16" s="15"/>
      <c r="DG16" s="15"/>
      <c r="DH16" s="15"/>
      <c r="DI16" s="15"/>
      <c r="DJ16" s="15"/>
      <c r="DK16" s="15"/>
      <c r="DL16" s="15"/>
      <c r="DM16" s="15"/>
      <c r="DN16" s="15"/>
      <c r="DO16" s="15"/>
      <c r="DP16" s="15"/>
      <c r="DQ16" s="15"/>
      <c r="DR16" s="15"/>
      <c r="DS16" s="15"/>
      <c r="DT16" s="15"/>
      <c r="DU16" s="15"/>
      <c r="DV16" s="15"/>
      <c r="DW16" s="15"/>
      <c r="DX16" s="15"/>
      <c r="DY16" s="15"/>
      <c r="DZ16" s="15"/>
      <c r="EA16" s="15"/>
      <c r="EB16" s="15"/>
      <c r="EC16" s="15"/>
      <c r="ED16" s="15"/>
      <c r="EE16" s="15"/>
      <c r="EF16" s="15"/>
      <c r="EG16" s="15"/>
      <c r="EH16" s="15"/>
      <c r="EI16" s="15"/>
      <c r="EJ16" s="15"/>
      <c r="EK16" s="15"/>
      <c r="EL16" s="15"/>
      <c r="EM16" s="15"/>
      <c r="EN16" s="15"/>
      <c r="EO16" s="15"/>
      <c r="EP16" s="15"/>
      <c r="EQ16" s="15"/>
      <c r="ER16" s="15"/>
      <c r="ES16" s="15"/>
      <c r="ET16" s="15"/>
      <c r="EU16" s="15"/>
      <c r="EV16" s="15"/>
      <c r="EW16" s="15"/>
      <c r="EX16" s="15"/>
      <c r="EY16" s="15"/>
      <c r="EZ16" s="15"/>
      <c r="FA16" s="15"/>
      <c r="FB16" s="15"/>
      <c r="FC16" s="15"/>
      <c r="FD16" s="15"/>
      <c r="FE16" s="15"/>
      <c r="FF16" s="15"/>
      <c r="FG16" s="15"/>
      <c r="FH16" s="15"/>
      <c r="FI16" s="15"/>
      <c r="FJ16" s="15"/>
      <c r="FK16" s="15"/>
      <c r="FL16" s="15"/>
      <c r="FM16" s="15"/>
      <c r="FN16" s="15"/>
      <c r="FO16" s="15"/>
      <c r="FP16" s="15"/>
      <c r="FQ16" s="15"/>
      <c r="FR16" s="15"/>
      <c r="FS16" s="15"/>
      <c r="FT16" s="15"/>
      <c r="FU16" s="15"/>
      <c r="FV16" s="15"/>
      <c r="FW16" s="15"/>
      <c r="FX16" s="15"/>
      <c r="FY16" s="15"/>
      <c r="FZ16" s="15"/>
      <c r="GA16" s="15"/>
      <c r="GB16" s="15"/>
      <c r="GC16" s="15"/>
      <c r="GD16" s="15"/>
      <c r="GE16" s="15"/>
      <c r="GF16" s="15"/>
      <c r="GG16" s="15"/>
      <c r="GH16" s="15"/>
      <c r="GI16" s="15"/>
      <c r="GJ16" s="15"/>
      <c r="GK16" s="15"/>
      <c r="GL16" s="15"/>
      <c r="GM16" s="15"/>
      <c r="GN16" s="15"/>
      <c r="GO16" s="15"/>
      <c r="GP16" s="15"/>
      <c r="GQ16" s="15"/>
      <c r="GR16" s="15"/>
      <c r="GS16" s="15"/>
      <c r="GT16" s="15"/>
      <c r="GU16" s="15"/>
      <c r="GV16" s="15"/>
      <c r="GW16" s="15"/>
      <c r="GX16" s="15"/>
      <c r="GY16" s="15"/>
      <c r="GZ16" s="15"/>
      <c r="HA16" s="15"/>
      <c r="HB16" s="15"/>
      <c r="HC16" s="15"/>
      <c r="HD16" s="15"/>
      <c r="HE16" s="15"/>
      <c r="HF16" s="15"/>
      <c r="HG16" s="15"/>
      <c r="HH16" s="15"/>
      <c r="HI16" s="15"/>
      <c r="HJ16" s="15"/>
      <c r="HK16" s="15"/>
      <c r="HL16" s="15"/>
      <c r="HM16" s="15"/>
      <c r="HN16" s="15"/>
      <c r="HO16" s="15"/>
      <c r="HP16" s="15"/>
      <c r="HQ16" s="15"/>
      <c r="HR16" s="15"/>
      <c r="HS16" s="15"/>
      <c r="HT16" s="15"/>
      <c r="HU16" s="15"/>
      <c r="HV16" s="15"/>
      <c r="HW16" s="15"/>
    </row>
    <row r="17" spans="2:231" x14ac:dyDescent="0.15">
      <c r="B17" t="s">
        <v>250</v>
      </c>
      <c r="C17" t="s">
        <v>278</v>
      </c>
      <c r="D17">
        <v>899</v>
      </c>
      <c r="E17">
        <v>0</v>
      </c>
      <c r="F17">
        <v>99.9</v>
      </c>
      <c r="G17">
        <v>0</v>
      </c>
      <c r="H17">
        <v>100</v>
      </c>
      <c r="J17" s="67" t="s">
        <v>249</v>
      </c>
      <c r="K17" s="15">
        <v>5.9435258276448693</v>
      </c>
      <c r="L17" s="15">
        <v>6.5011959229160095</v>
      </c>
      <c r="M17" s="16">
        <v>5.9435258276448693</v>
      </c>
      <c r="N17" s="15">
        <v>6.4387525809271953</v>
      </c>
      <c r="O17" s="15">
        <v>5.9435258276448693</v>
      </c>
      <c r="P17" s="15">
        <v>6.4387525809271899</v>
      </c>
      <c r="Q17" s="15">
        <v>5.9435258276448693</v>
      </c>
      <c r="R17" s="15">
        <v>6.4387525809271944</v>
      </c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5"/>
      <c r="AH17" s="15"/>
      <c r="AI17" s="15"/>
      <c r="AJ17" s="15"/>
      <c r="AK17" s="15"/>
      <c r="AL17" s="15"/>
      <c r="AM17" s="15"/>
      <c r="AN17" s="15"/>
      <c r="AO17" s="15"/>
      <c r="AP17" s="15"/>
      <c r="AQ17" s="15"/>
      <c r="AR17" s="15"/>
      <c r="AS17" s="15"/>
      <c r="AT17" s="15"/>
      <c r="AU17" s="16"/>
      <c r="AV17" s="16"/>
      <c r="AW17" s="16"/>
      <c r="AX17" s="16"/>
      <c r="AY17" s="16"/>
      <c r="AZ17" s="16"/>
      <c r="BA17" s="16"/>
      <c r="BB17" s="16"/>
      <c r="BC17" s="16"/>
      <c r="BD17" s="15"/>
      <c r="BE17" s="15"/>
      <c r="BF17" s="15"/>
      <c r="BG17" s="15"/>
      <c r="BH17" s="15"/>
      <c r="BI17" s="15"/>
      <c r="BJ17" s="15"/>
      <c r="BK17" s="15"/>
      <c r="BL17" s="15"/>
      <c r="BM17" s="15"/>
      <c r="BN17" s="15"/>
      <c r="BO17" s="15"/>
      <c r="BP17" s="15"/>
      <c r="BQ17" s="15"/>
      <c r="BR17" s="15"/>
      <c r="BS17" s="15"/>
      <c r="BT17" s="15"/>
      <c r="BU17" s="15"/>
      <c r="BV17" s="15"/>
      <c r="BW17" s="15"/>
      <c r="BX17" s="15"/>
      <c r="BY17" s="15"/>
      <c r="BZ17" s="15"/>
      <c r="CA17" s="15"/>
      <c r="CB17" s="15"/>
      <c r="CC17" s="15"/>
      <c r="CD17" s="15"/>
      <c r="CE17" s="15"/>
      <c r="CF17" s="15"/>
      <c r="CG17" s="15"/>
      <c r="CH17" s="15"/>
      <c r="CI17" s="15"/>
      <c r="CJ17" s="15"/>
      <c r="CK17" s="15"/>
      <c r="CL17" s="15"/>
      <c r="CM17" s="15"/>
      <c r="CN17" s="15"/>
      <c r="CO17" s="15"/>
      <c r="CP17" s="15"/>
      <c r="CQ17" s="15"/>
      <c r="CR17" s="15"/>
      <c r="CS17" s="15"/>
      <c r="CT17" s="15"/>
      <c r="CU17" s="15"/>
      <c r="CV17" s="15"/>
      <c r="CW17" s="15"/>
      <c r="CX17" s="15"/>
      <c r="CY17" s="15"/>
      <c r="CZ17" s="15"/>
      <c r="DA17" s="15"/>
      <c r="DB17" s="15"/>
      <c r="DC17" s="15"/>
      <c r="DD17" s="15"/>
      <c r="DE17" s="15"/>
      <c r="DF17" s="15"/>
      <c r="DG17" s="15"/>
      <c r="DH17" s="15"/>
      <c r="DI17" s="15"/>
      <c r="DJ17" s="15"/>
      <c r="DK17" s="15"/>
      <c r="DL17" s="15"/>
      <c r="DM17" s="15"/>
      <c r="DN17" s="15"/>
      <c r="DO17" s="15"/>
      <c r="DP17" s="15"/>
      <c r="DQ17" s="15"/>
      <c r="DR17" s="15"/>
      <c r="DS17" s="15"/>
      <c r="DT17" s="15"/>
      <c r="DU17" s="15"/>
      <c r="DV17" s="15"/>
      <c r="DW17" s="15"/>
      <c r="DX17" s="15"/>
      <c r="DY17" s="15"/>
      <c r="DZ17" s="15"/>
      <c r="EA17" s="15"/>
      <c r="EB17" s="15"/>
      <c r="EC17" s="15"/>
      <c r="ED17" s="15"/>
      <c r="EE17" s="15"/>
      <c r="EF17" s="15"/>
      <c r="EG17" s="15"/>
      <c r="EH17" s="15"/>
      <c r="EI17" s="15"/>
      <c r="EJ17" s="15"/>
      <c r="EK17" s="15"/>
      <c r="EL17" s="15"/>
      <c r="EM17" s="15"/>
      <c r="EN17" s="15"/>
      <c r="EO17" s="15"/>
      <c r="EP17" s="15"/>
      <c r="EQ17" s="15"/>
      <c r="ER17" s="15"/>
      <c r="ES17" s="15"/>
      <c r="ET17" s="15"/>
      <c r="EU17" s="15"/>
      <c r="EV17" s="15"/>
      <c r="EW17" s="15"/>
      <c r="EX17" s="15"/>
      <c r="EY17" s="15"/>
      <c r="EZ17" s="15"/>
      <c r="FA17" s="15"/>
      <c r="FB17" s="15"/>
      <c r="FC17" s="15"/>
      <c r="FD17" s="15"/>
      <c r="FE17" s="15"/>
      <c r="FF17" s="15"/>
      <c r="FG17" s="15"/>
      <c r="FH17" s="15"/>
      <c r="FI17" s="15"/>
      <c r="FJ17" s="15"/>
      <c r="FK17" s="15"/>
      <c r="FL17" s="15"/>
      <c r="FM17" s="15"/>
      <c r="FN17" s="15"/>
      <c r="FO17" s="15"/>
      <c r="FP17" s="15"/>
      <c r="FQ17" s="15"/>
      <c r="FR17" s="15"/>
      <c r="FS17" s="15"/>
      <c r="FT17" s="15"/>
      <c r="FU17" s="15"/>
      <c r="FV17" s="15"/>
      <c r="FW17" s="15"/>
      <c r="FX17" s="15"/>
      <c r="FY17" s="15"/>
      <c r="FZ17" s="15"/>
      <c r="GA17" s="15"/>
      <c r="GB17" s="15"/>
      <c r="GC17" s="15"/>
      <c r="GD17" s="15"/>
      <c r="GE17" s="15"/>
      <c r="GF17" s="15"/>
      <c r="GG17" s="15"/>
      <c r="GH17" s="15"/>
      <c r="GI17" s="15"/>
      <c r="GJ17" s="15"/>
      <c r="GK17" s="15"/>
      <c r="GL17" s="15"/>
      <c r="GM17" s="15"/>
      <c r="GN17" s="15"/>
      <c r="GO17" s="15"/>
      <c r="GP17" s="15"/>
      <c r="GQ17" s="15"/>
      <c r="GR17" s="15"/>
      <c r="GS17" s="15"/>
      <c r="GT17" s="15"/>
      <c r="GU17" s="15"/>
      <c r="GV17" s="15"/>
      <c r="GW17" s="15"/>
      <c r="GX17" s="15"/>
      <c r="GY17" s="15"/>
      <c r="GZ17" s="15"/>
      <c r="HA17" s="15"/>
      <c r="HB17" s="15"/>
      <c r="HC17" s="15"/>
      <c r="HD17" s="15"/>
      <c r="HE17" s="15"/>
      <c r="HF17" s="15"/>
      <c r="HG17" s="15"/>
      <c r="HH17" s="15"/>
      <c r="HI17" s="15"/>
      <c r="HJ17" s="15"/>
      <c r="HK17" s="15"/>
      <c r="HL17" s="15"/>
      <c r="HM17" s="15"/>
      <c r="HN17" s="15"/>
      <c r="HO17" s="15"/>
      <c r="HP17" s="15"/>
      <c r="HQ17" s="15"/>
      <c r="HR17" s="15"/>
      <c r="HS17" s="15"/>
      <c r="HT17" s="15"/>
      <c r="HU17" s="15"/>
      <c r="HV17" s="15"/>
      <c r="HW17" s="15"/>
    </row>
    <row r="18" spans="2:231" x14ac:dyDescent="0.15">
      <c r="B18" t="s">
        <v>253</v>
      </c>
      <c r="C18" t="s">
        <v>279</v>
      </c>
      <c r="D18">
        <v>400</v>
      </c>
      <c r="G18">
        <v>99.9</v>
      </c>
      <c r="H18">
        <v>100</v>
      </c>
      <c r="J18" s="67" t="s">
        <v>250</v>
      </c>
      <c r="K18" s="15">
        <v>2.5624782011403027</v>
      </c>
      <c r="L18" s="15">
        <v>2.7111686591857374</v>
      </c>
      <c r="M18" s="16">
        <v>2.5624782011403027</v>
      </c>
      <c r="N18" s="15">
        <v>2.7252063011965455</v>
      </c>
      <c r="O18" s="15">
        <v>2.5624782011403027</v>
      </c>
      <c r="P18" s="15">
        <v>2.7252063011965473</v>
      </c>
      <c r="Q18" s="15">
        <v>2.5624782011403027</v>
      </c>
      <c r="R18" s="15">
        <v>2.7252063011965477</v>
      </c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5"/>
      <c r="AH18" s="15"/>
      <c r="AI18" s="15"/>
      <c r="AJ18" s="15"/>
      <c r="AK18" s="15"/>
      <c r="AL18" s="15"/>
      <c r="AM18" s="15"/>
      <c r="AN18" s="15"/>
      <c r="AO18" s="15"/>
      <c r="AP18" s="15"/>
      <c r="AQ18" s="15"/>
      <c r="AR18" s="15"/>
      <c r="AS18" s="15"/>
      <c r="AT18" s="15"/>
      <c r="AU18" s="16"/>
      <c r="AV18" s="16"/>
      <c r="AW18" s="16"/>
      <c r="AX18" s="16"/>
      <c r="AY18" s="16"/>
      <c r="AZ18" s="16"/>
      <c r="BA18" s="16"/>
      <c r="BB18" s="16"/>
      <c r="BC18" s="16"/>
      <c r="BD18" s="15"/>
      <c r="BE18" s="15"/>
      <c r="BF18" s="15"/>
      <c r="BG18" s="15"/>
      <c r="BH18" s="15"/>
      <c r="BI18" s="15"/>
      <c r="BJ18" s="15"/>
      <c r="BK18" s="15"/>
      <c r="BL18" s="15"/>
      <c r="BM18" s="15"/>
      <c r="BN18" s="15"/>
      <c r="BO18" s="15"/>
      <c r="BP18" s="15"/>
      <c r="BQ18" s="15"/>
      <c r="BR18" s="15"/>
      <c r="BS18" s="15"/>
      <c r="BT18" s="15"/>
      <c r="BU18" s="15"/>
      <c r="BV18" s="15"/>
      <c r="BW18" s="15"/>
      <c r="BX18" s="15"/>
      <c r="BY18" s="15"/>
      <c r="BZ18" s="15"/>
      <c r="CA18" s="15"/>
      <c r="CB18" s="15"/>
      <c r="CC18" s="15"/>
      <c r="CD18" s="15"/>
      <c r="CE18" s="15"/>
      <c r="CF18" s="15"/>
      <c r="CG18" s="15"/>
      <c r="CH18" s="15"/>
      <c r="CI18" s="15"/>
      <c r="CJ18" s="15"/>
      <c r="CK18" s="15"/>
      <c r="CL18" s="15"/>
      <c r="CM18" s="15"/>
      <c r="CN18" s="15"/>
      <c r="CO18" s="15"/>
      <c r="CP18" s="15"/>
      <c r="CQ18" s="15"/>
      <c r="CR18" s="15"/>
      <c r="CS18" s="15"/>
      <c r="CT18" s="15"/>
      <c r="CU18" s="15"/>
      <c r="CV18" s="15"/>
      <c r="CW18" s="15"/>
      <c r="CX18" s="15"/>
      <c r="CY18" s="15"/>
      <c r="CZ18" s="15"/>
      <c r="DA18" s="15"/>
      <c r="DB18" s="15"/>
      <c r="DC18" s="15"/>
      <c r="DD18" s="15"/>
      <c r="DE18" s="15"/>
      <c r="DF18" s="15"/>
      <c r="DG18" s="15"/>
      <c r="DH18" s="15"/>
      <c r="DI18" s="15"/>
      <c r="DJ18" s="15"/>
      <c r="DK18" s="15"/>
      <c r="DL18" s="15"/>
      <c r="DM18" s="15"/>
      <c r="DN18" s="15"/>
      <c r="DO18" s="15"/>
      <c r="DP18" s="15"/>
      <c r="DQ18" s="15"/>
      <c r="DR18" s="15"/>
      <c r="DS18" s="15"/>
      <c r="DT18" s="15"/>
      <c r="DU18" s="15"/>
      <c r="DV18" s="15"/>
      <c r="DW18" s="15"/>
      <c r="DX18" s="15"/>
      <c r="DY18" s="15"/>
      <c r="DZ18" s="15"/>
      <c r="EA18" s="15"/>
      <c r="EB18" s="15"/>
      <c r="EC18" s="15"/>
      <c r="ED18" s="15"/>
      <c r="EE18" s="15"/>
      <c r="EF18" s="15"/>
      <c r="EG18" s="15"/>
      <c r="EH18" s="15"/>
      <c r="EI18" s="15"/>
      <c r="EJ18" s="15"/>
      <c r="EK18" s="15"/>
      <c r="EL18" s="15"/>
      <c r="EM18" s="15"/>
      <c r="EN18" s="15"/>
      <c r="EO18" s="15"/>
      <c r="EP18" s="15"/>
      <c r="EQ18" s="15"/>
      <c r="ER18" s="15"/>
      <c r="ES18" s="15"/>
      <c r="ET18" s="15"/>
      <c r="EU18" s="15"/>
      <c r="EV18" s="15"/>
      <c r="EW18" s="15"/>
      <c r="EX18" s="15"/>
      <c r="EY18" s="15"/>
      <c r="EZ18" s="15"/>
      <c r="FA18" s="15"/>
      <c r="FB18" s="15"/>
      <c r="FC18" s="15"/>
      <c r="FD18" s="15"/>
      <c r="FE18" s="15"/>
      <c r="FF18" s="15"/>
      <c r="FG18" s="15"/>
      <c r="FH18" s="15"/>
      <c r="FI18" s="15"/>
      <c r="FJ18" s="15"/>
      <c r="FK18" s="15"/>
      <c r="FL18" s="15"/>
      <c r="FM18" s="15"/>
      <c r="FN18" s="15"/>
      <c r="FO18" s="15"/>
      <c r="FP18" s="15"/>
      <c r="FQ18" s="15"/>
      <c r="FR18" s="15"/>
      <c r="FS18" s="15"/>
      <c r="FT18" s="15"/>
      <c r="FU18" s="15"/>
      <c r="FV18" s="15"/>
      <c r="FW18" s="15"/>
      <c r="FX18" s="15"/>
      <c r="FY18" s="15"/>
      <c r="FZ18" s="15"/>
      <c r="GA18" s="15"/>
      <c r="GB18" s="15"/>
      <c r="GC18" s="15"/>
      <c r="GD18" s="15"/>
      <c r="GE18" s="15"/>
      <c r="GF18" s="15"/>
      <c r="GG18" s="15"/>
      <c r="GH18" s="15"/>
      <c r="GI18" s="15"/>
      <c r="GJ18" s="15"/>
      <c r="GK18" s="15"/>
      <c r="GL18" s="15"/>
      <c r="GM18" s="15"/>
      <c r="GN18" s="15"/>
      <c r="GO18" s="15"/>
      <c r="GP18" s="15"/>
      <c r="GQ18" s="15"/>
      <c r="GR18" s="15"/>
      <c r="GS18" s="15"/>
      <c r="GT18" s="15"/>
      <c r="GU18" s="15"/>
      <c r="GV18" s="15"/>
      <c r="GW18" s="15"/>
      <c r="GX18" s="15"/>
      <c r="GY18" s="15"/>
      <c r="GZ18" s="15"/>
      <c r="HA18" s="15"/>
      <c r="HB18" s="15"/>
      <c r="HC18" s="15"/>
      <c r="HD18" s="15"/>
      <c r="HE18" s="15"/>
      <c r="HF18" s="15"/>
      <c r="HG18" s="15"/>
      <c r="HH18" s="15"/>
      <c r="HI18" s="15"/>
      <c r="HJ18" s="15"/>
      <c r="HK18" s="15"/>
      <c r="HL18" s="15"/>
      <c r="HM18" s="15"/>
      <c r="HN18" s="15"/>
      <c r="HO18" s="15"/>
      <c r="HP18" s="15"/>
      <c r="HQ18" s="15"/>
      <c r="HR18" s="15"/>
      <c r="HS18" s="15"/>
      <c r="HT18" s="15"/>
      <c r="HU18" s="15"/>
      <c r="HV18" s="15"/>
      <c r="HW18" s="15"/>
    </row>
    <row r="19" spans="2:231" x14ac:dyDescent="0.15">
      <c r="B19" t="s">
        <v>280</v>
      </c>
      <c r="J19" s="67" t="s">
        <v>253</v>
      </c>
      <c r="K19" s="15">
        <v>5.0544882517492473</v>
      </c>
      <c r="L19" s="15">
        <v>5.1321926822365542</v>
      </c>
      <c r="M19" s="16">
        <v>5.0544882517492473</v>
      </c>
      <c r="N19" s="15">
        <v>5.1272418255892394</v>
      </c>
      <c r="O19" s="15">
        <v>5.0544882517492473</v>
      </c>
      <c r="P19" s="15">
        <v>5.1272418255892402</v>
      </c>
      <c r="Q19" s="15">
        <v>5.0544882517492473</v>
      </c>
      <c r="R19" s="15">
        <v>5.127241825589242</v>
      </c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15"/>
      <c r="AG19" s="15"/>
      <c r="AH19" s="15"/>
      <c r="AI19" s="15"/>
      <c r="AJ19" s="15"/>
      <c r="AK19" s="15"/>
      <c r="AL19" s="15"/>
      <c r="AM19" s="15"/>
      <c r="AN19" s="15"/>
      <c r="AO19" s="15"/>
      <c r="AP19" s="15"/>
      <c r="AQ19" s="15"/>
      <c r="AR19" s="15"/>
      <c r="AS19" s="15"/>
      <c r="AT19" s="15"/>
      <c r="AU19" s="16"/>
      <c r="AV19" s="16"/>
      <c r="AW19" s="16"/>
      <c r="AX19" s="16"/>
      <c r="AY19" s="16"/>
      <c r="AZ19" s="16"/>
      <c r="BA19" s="16"/>
      <c r="BB19" s="16"/>
      <c r="BC19" s="16"/>
      <c r="BD19" s="15"/>
      <c r="BE19" s="15"/>
      <c r="BF19" s="15"/>
      <c r="BG19" s="15"/>
      <c r="BH19" s="15"/>
      <c r="BI19" s="15"/>
      <c r="BJ19" s="15"/>
      <c r="BK19" s="15"/>
      <c r="BL19" s="15"/>
      <c r="BM19" s="15"/>
      <c r="BN19" s="15"/>
      <c r="BO19" s="15"/>
      <c r="BP19" s="15"/>
      <c r="BQ19" s="15"/>
      <c r="BR19" s="15"/>
      <c r="BS19" s="15"/>
      <c r="BT19" s="15"/>
      <c r="BU19" s="15"/>
      <c r="BV19" s="15"/>
      <c r="BW19" s="15"/>
      <c r="BX19" s="15"/>
      <c r="BY19" s="15"/>
      <c r="BZ19" s="15"/>
      <c r="CA19" s="15"/>
      <c r="CB19" s="15"/>
      <c r="CC19" s="15"/>
      <c r="CD19" s="15"/>
      <c r="CE19" s="15"/>
      <c r="CF19" s="15"/>
      <c r="CG19" s="15"/>
      <c r="CH19" s="15"/>
      <c r="CI19" s="15"/>
      <c r="CJ19" s="15"/>
      <c r="CK19" s="15"/>
      <c r="CL19" s="15"/>
      <c r="CM19" s="15"/>
      <c r="CN19" s="15"/>
      <c r="CO19" s="15"/>
      <c r="CP19" s="15"/>
      <c r="CQ19" s="15"/>
      <c r="CR19" s="15"/>
      <c r="CS19" s="15"/>
      <c r="CT19" s="15"/>
      <c r="CU19" s="15"/>
      <c r="CV19" s="15"/>
      <c r="CW19" s="15"/>
      <c r="CX19" s="15"/>
      <c r="CY19" s="15"/>
      <c r="CZ19" s="15"/>
      <c r="DA19" s="15"/>
      <c r="DB19" s="15"/>
      <c r="DC19" s="15"/>
      <c r="DD19" s="15"/>
      <c r="DE19" s="15"/>
      <c r="DF19" s="15"/>
      <c r="DG19" s="15"/>
      <c r="DH19" s="15"/>
      <c r="DI19" s="15"/>
      <c r="DJ19" s="15"/>
      <c r="DK19" s="15"/>
      <c r="DL19" s="15"/>
      <c r="DM19" s="15"/>
      <c r="DN19" s="15"/>
      <c r="DO19" s="15"/>
      <c r="DP19" s="15"/>
      <c r="DQ19" s="15"/>
      <c r="DR19" s="15"/>
      <c r="DS19" s="15"/>
      <c r="DT19" s="15"/>
      <c r="DU19" s="15"/>
      <c r="DV19" s="15"/>
      <c r="DW19" s="15"/>
      <c r="DX19" s="15"/>
      <c r="DY19" s="15"/>
      <c r="DZ19" s="15"/>
      <c r="EA19" s="15"/>
      <c r="EB19" s="15"/>
      <c r="EC19" s="15"/>
      <c r="ED19" s="15"/>
      <c r="EE19" s="15"/>
      <c r="EF19" s="15"/>
      <c r="EG19" s="15"/>
      <c r="EH19" s="15"/>
      <c r="EI19" s="15"/>
      <c r="EJ19" s="15"/>
      <c r="EK19" s="15"/>
      <c r="EL19" s="15"/>
      <c r="EM19" s="15"/>
      <c r="EN19" s="15"/>
      <c r="EO19" s="15"/>
      <c r="EP19" s="15"/>
      <c r="EQ19" s="15"/>
      <c r="ER19" s="15"/>
      <c r="ES19" s="15"/>
      <c r="ET19" s="15"/>
      <c r="EU19" s="15"/>
      <c r="EV19" s="15"/>
      <c r="EW19" s="15"/>
      <c r="EX19" s="15"/>
      <c r="EY19" s="15"/>
      <c r="EZ19" s="15"/>
      <c r="FA19" s="15"/>
      <c r="FB19" s="15"/>
      <c r="FC19" s="15"/>
      <c r="FD19" s="15"/>
      <c r="FE19" s="15"/>
      <c r="FF19" s="15"/>
      <c r="FG19" s="15"/>
      <c r="FH19" s="15"/>
      <c r="FI19" s="15"/>
      <c r="FJ19" s="15"/>
      <c r="FK19" s="15"/>
      <c r="FL19" s="15"/>
      <c r="FM19" s="15"/>
      <c r="FN19" s="15"/>
      <c r="FO19" s="15"/>
      <c r="FP19" s="15"/>
      <c r="FQ19" s="15"/>
      <c r="FR19" s="15"/>
      <c r="FS19" s="15"/>
      <c r="FT19" s="15"/>
      <c r="FU19" s="15"/>
      <c r="FV19" s="15"/>
      <c r="FW19" s="15"/>
      <c r="FX19" s="15"/>
      <c r="FY19" s="15"/>
      <c r="FZ19" s="15"/>
      <c r="GA19" s="15"/>
      <c r="GB19" s="15"/>
      <c r="GC19" s="15"/>
      <c r="GD19" s="15"/>
      <c r="GE19" s="15"/>
      <c r="GF19" s="15"/>
      <c r="GG19" s="15"/>
      <c r="GH19" s="15"/>
      <c r="GI19" s="15"/>
      <c r="GJ19" s="15"/>
      <c r="GK19" s="15"/>
      <c r="GL19" s="15"/>
      <c r="GM19" s="15"/>
      <c r="GN19" s="15"/>
      <c r="GO19" s="15"/>
      <c r="GP19" s="15"/>
      <c r="GQ19" s="15"/>
      <c r="GR19" s="15"/>
      <c r="GS19" s="15"/>
      <c r="GT19" s="15"/>
      <c r="GU19" s="15"/>
      <c r="GV19" s="15"/>
      <c r="GW19" s="15"/>
      <c r="GX19" s="15"/>
      <c r="GY19" s="15"/>
      <c r="GZ19" s="15"/>
      <c r="HA19" s="15"/>
      <c r="HB19" s="15"/>
      <c r="HC19" s="15"/>
      <c r="HD19" s="15"/>
      <c r="HE19" s="15"/>
      <c r="HF19" s="15"/>
      <c r="HG19" s="15"/>
      <c r="HH19" s="15"/>
      <c r="HI19" s="15"/>
      <c r="HJ19" s="15"/>
      <c r="HK19" s="15"/>
      <c r="HL19" s="15"/>
      <c r="HM19" s="15"/>
      <c r="HN19" s="15"/>
      <c r="HO19" s="15"/>
      <c r="HP19" s="15"/>
      <c r="HQ19" s="15"/>
      <c r="HR19" s="15"/>
      <c r="HS19" s="15"/>
      <c r="HT19" s="15"/>
      <c r="HU19" s="15"/>
      <c r="HV19" s="15"/>
      <c r="HW19" s="15"/>
    </row>
    <row r="20" spans="2:231" x14ac:dyDescent="0.15">
      <c r="B20" t="s">
        <v>256</v>
      </c>
      <c r="C20" t="s">
        <v>281</v>
      </c>
      <c r="D20">
        <v>53.889000000000003</v>
      </c>
      <c r="E20">
        <v>0.81699999999999995</v>
      </c>
      <c r="F20">
        <v>0.183</v>
      </c>
      <c r="G20">
        <v>12.922000000000001</v>
      </c>
      <c r="H20">
        <v>82</v>
      </c>
      <c r="J20" s="67" t="s">
        <v>256</v>
      </c>
      <c r="K20" s="15">
        <v>134.30574635736605</v>
      </c>
      <c r="L20" s="15">
        <v>136.26214411819842</v>
      </c>
      <c r="M20" s="16">
        <v>134.30574635736605</v>
      </c>
      <c r="N20" s="15">
        <v>137.62579931456935</v>
      </c>
      <c r="O20" s="15">
        <v>134.30574635736605</v>
      </c>
      <c r="P20" s="15">
        <v>137.62579931456932</v>
      </c>
      <c r="Q20" s="15">
        <v>134.30574635736605</v>
      </c>
      <c r="R20" s="15">
        <v>137.62579931456935</v>
      </c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15"/>
      <c r="AL20" s="15"/>
      <c r="AM20" s="15"/>
      <c r="AN20" s="15"/>
      <c r="AO20" s="15"/>
      <c r="AP20" s="15"/>
      <c r="AQ20" s="15"/>
      <c r="AR20" s="15"/>
      <c r="AS20" s="15"/>
      <c r="AT20" s="15"/>
      <c r="AU20" s="16"/>
      <c r="AV20" s="16"/>
      <c r="AW20" s="16"/>
      <c r="AX20" s="16"/>
      <c r="AY20" s="16"/>
      <c r="AZ20" s="16"/>
      <c r="BA20" s="16"/>
      <c r="BB20" s="16"/>
      <c r="BC20" s="16"/>
      <c r="BD20" s="15"/>
      <c r="BE20" s="15"/>
      <c r="BF20" s="15"/>
      <c r="BG20" s="15"/>
      <c r="BH20" s="15"/>
      <c r="BI20" s="15"/>
      <c r="BJ20" s="15"/>
      <c r="BK20" s="15"/>
      <c r="BL20" s="15"/>
      <c r="BM20" s="15"/>
      <c r="BN20" s="15"/>
      <c r="BO20" s="15"/>
      <c r="BP20" s="15"/>
      <c r="BQ20" s="15"/>
      <c r="BR20" s="15"/>
      <c r="BS20" s="15"/>
      <c r="BT20" s="15"/>
      <c r="BU20" s="15"/>
      <c r="BV20" s="15"/>
      <c r="BW20" s="15"/>
      <c r="BX20" s="15"/>
      <c r="BY20" s="15"/>
      <c r="BZ20" s="15"/>
      <c r="CA20" s="15"/>
      <c r="CB20" s="15"/>
      <c r="CC20" s="15"/>
      <c r="CD20" s="15"/>
      <c r="CE20" s="15"/>
      <c r="CF20" s="15"/>
      <c r="CG20" s="15"/>
      <c r="CH20" s="15"/>
      <c r="CI20" s="15"/>
      <c r="CJ20" s="15"/>
      <c r="CK20" s="15"/>
      <c r="CL20" s="15"/>
      <c r="CM20" s="15"/>
      <c r="CN20" s="15"/>
      <c r="CO20" s="15"/>
      <c r="CP20" s="15"/>
      <c r="CQ20" s="15"/>
      <c r="CR20" s="15"/>
      <c r="CS20" s="15"/>
      <c r="CT20" s="15"/>
      <c r="CU20" s="15"/>
      <c r="CV20" s="15"/>
      <c r="CW20" s="15"/>
      <c r="CX20" s="15"/>
      <c r="CY20" s="15"/>
      <c r="CZ20" s="15"/>
      <c r="DA20" s="15"/>
      <c r="DB20" s="15"/>
      <c r="DC20" s="15"/>
      <c r="DD20" s="15"/>
      <c r="DE20" s="15"/>
      <c r="DF20" s="15"/>
      <c r="DG20" s="15"/>
      <c r="DH20" s="15"/>
      <c r="DI20" s="15"/>
      <c r="DJ20" s="15"/>
      <c r="DK20" s="15"/>
      <c r="DL20" s="15"/>
      <c r="DM20" s="15"/>
      <c r="DN20" s="15"/>
      <c r="DO20" s="15"/>
      <c r="DP20" s="15"/>
      <c r="DQ20" s="15"/>
      <c r="DR20" s="15"/>
      <c r="DS20" s="15"/>
      <c r="DT20" s="15"/>
      <c r="DU20" s="15"/>
      <c r="DV20" s="15"/>
      <c r="DW20" s="15"/>
      <c r="DX20" s="15"/>
      <c r="DY20" s="15"/>
      <c r="DZ20" s="15"/>
      <c r="EA20" s="15"/>
      <c r="EB20" s="15"/>
      <c r="EC20" s="15"/>
      <c r="ED20" s="15"/>
      <c r="EE20" s="15"/>
      <c r="EF20" s="15"/>
      <c r="EG20" s="15"/>
      <c r="EH20" s="15"/>
      <c r="EI20" s="15"/>
      <c r="EJ20" s="15"/>
      <c r="EK20" s="15"/>
      <c r="EL20" s="15"/>
      <c r="EM20" s="15"/>
      <c r="EN20" s="15"/>
      <c r="EO20" s="15"/>
      <c r="EP20" s="15"/>
      <c r="EQ20" s="15"/>
      <c r="ER20" s="15"/>
      <c r="ES20" s="15"/>
      <c r="ET20" s="15"/>
      <c r="EU20" s="15"/>
      <c r="EV20" s="15"/>
      <c r="EW20" s="15"/>
      <c r="EX20" s="15"/>
      <c r="EY20" s="15"/>
      <c r="EZ20" s="15"/>
      <c r="FA20" s="15"/>
      <c r="FB20" s="15"/>
      <c r="FC20" s="15"/>
      <c r="FD20" s="15"/>
      <c r="FE20" s="15"/>
      <c r="FF20" s="15"/>
      <c r="FG20" s="15"/>
      <c r="FH20" s="15"/>
      <c r="FI20" s="15"/>
      <c r="FJ20" s="15"/>
      <c r="FK20" s="15"/>
      <c r="FL20" s="15"/>
      <c r="FM20" s="15"/>
      <c r="FN20" s="15"/>
      <c r="FO20" s="15"/>
      <c r="FP20" s="15"/>
      <c r="FQ20" s="15"/>
      <c r="FR20" s="15"/>
      <c r="FS20" s="15"/>
      <c r="FT20" s="15"/>
      <c r="FU20" s="15"/>
      <c r="FV20" s="15"/>
      <c r="FW20" s="15"/>
      <c r="FX20" s="15"/>
      <c r="FY20" s="15"/>
      <c r="FZ20" s="15"/>
      <c r="GA20" s="15"/>
      <c r="GB20" s="15"/>
      <c r="GC20" s="15"/>
      <c r="GD20" s="15"/>
      <c r="GE20" s="15"/>
      <c r="GF20" s="15"/>
      <c r="GG20" s="15"/>
      <c r="GH20" s="15"/>
      <c r="GI20" s="15"/>
      <c r="GJ20" s="15"/>
      <c r="GK20" s="15"/>
      <c r="GL20" s="15"/>
      <c r="GM20" s="15"/>
      <c r="GN20" s="15"/>
      <c r="GO20" s="15"/>
      <c r="GP20" s="15"/>
      <c r="GQ20" s="15"/>
      <c r="GR20" s="15"/>
      <c r="GS20" s="15"/>
      <c r="GT20" s="15"/>
      <c r="GU20" s="15"/>
      <c r="GV20" s="15"/>
      <c r="GW20" s="15"/>
      <c r="GX20" s="15"/>
      <c r="GY20" s="15"/>
      <c r="GZ20" s="15"/>
      <c r="HA20" s="15"/>
      <c r="HB20" s="15"/>
      <c r="HC20" s="15"/>
      <c r="HD20" s="15"/>
      <c r="HE20" s="15"/>
      <c r="HF20" s="15"/>
      <c r="HG20" s="15"/>
      <c r="HH20" s="15"/>
      <c r="HI20" s="15"/>
      <c r="HJ20" s="15"/>
      <c r="HK20" s="15"/>
      <c r="HL20" s="15"/>
      <c r="HM20" s="15"/>
      <c r="HN20" s="15"/>
      <c r="HO20" s="15"/>
      <c r="HP20" s="15"/>
      <c r="HQ20" s="15"/>
      <c r="HR20" s="15"/>
      <c r="HS20" s="15"/>
      <c r="HT20" s="15"/>
      <c r="HU20" s="15"/>
      <c r="HV20" s="15"/>
      <c r="HW20" s="15"/>
    </row>
    <row r="21" spans="2:231" x14ac:dyDescent="0.15">
      <c r="B21" t="s">
        <v>257</v>
      </c>
      <c r="C21" t="s">
        <v>282</v>
      </c>
      <c r="D21">
        <v>31.347999999999999</v>
      </c>
      <c r="E21">
        <v>1.746</v>
      </c>
      <c r="F21">
        <v>0.26700000000000002</v>
      </c>
      <c r="G21">
        <v>6.2519999999999998</v>
      </c>
      <c r="H21">
        <v>87</v>
      </c>
      <c r="J21" s="67" t="s">
        <v>257</v>
      </c>
      <c r="K21" s="15">
        <v>133.57775200668095</v>
      </c>
      <c r="L21" s="15">
        <v>135.84231084078249</v>
      </c>
      <c r="M21" s="16">
        <v>133.57775200668095</v>
      </c>
      <c r="N21" s="15">
        <v>135.96775009633953</v>
      </c>
      <c r="O21" s="15">
        <v>133.57775200668095</v>
      </c>
      <c r="P21" s="15">
        <v>135.96775009633953</v>
      </c>
      <c r="Q21" s="15">
        <v>133.57775200668095</v>
      </c>
      <c r="R21" s="15">
        <v>135.96775009633953</v>
      </c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5"/>
      <c r="AH21" s="15"/>
      <c r="AI21" s="15"/>
      <c r="AJ21" s="15"/>
      <c r="AK21" s="15"/>
      <c r="AL21" s="15"/>
      <c r="AM21" s="15"/>
      <c r="AN21" s="15"/>
      <c r="AO21" s="15"/>
      <c r="AP21" s="15"/>
      <c r="AQ21" s="15"/>
      <c r="AR21" s="15"/>
      <c r="AS21" s="15"/>
      <c r="AT21" s="15"/>
      <c r="AU21" s="16"/>
      <c r="AV21" s="16"/>
      <c r="AW21" s="16"/>
      <c r="AX21" s="16"/>
      <c r="AY21" s="16"/>
      <c r="AZ21" s="16"/>
      <c r="BA21" s="16"/>
      <c r="BB21" s="16"/>
      <c r="BC21" s="16"/>
      <c r="BD21" s="15"/>
      <c r="BE21" s="15"/>
      <c r="BF21" s="15"/>
      <c r="BG21" s="15"/>
      <c r="BH21" s="15"/>
      <c r="BI21" s="15"/>
      <c r="BJ21" s="15"/>
      <c r="BK21" s="15"/>
      <c r="BL21" s="15"/>
      <c r="BM21" s="15"/>
      <c r="BN21" s="15"/>
      <c r="BO21" s="15"/>
      <c r="BP21" s="15"/>
      <c r="BQ21" s="15"/>
      <c r="BR21" s="15"/>
      <c r="BS21" s="15"/>
      <c r="BT21" s="15"/>
      <c r="BU21" s="15"/>
      <c r="BV21" s="15"/>
      <c r="BW21" s="15"/>
      <c r="BX21" s="15"/>
      <c r="BY21" s="15"/>
      <c r="BZ21" s="15"/>
      <c r="CA21" s="15"/>
      <c r="CB21" s="15"/>
      <c r="CC21" s="15"/>
      <c r="CD21" s="15"/>
      <c r="CE21" s="15"/>
      <c r="CF21" s="15"/>
      <c r="CG21" s="15"/>
      <c r="CH21" s="15"/>
      <c r="CI21" s="15"/>
      <c r="CJ21" s="15"/>
      <c r="CK21" s="15"/>
      <c r="CL21" s="15"/>
      <c r="CM21" s="15"/>
      <c r="CN21" s="15"/>
      <c r="CO21" s="15"/>
      <c r="CP21" s="15"/>
      <c r="CQ21" s="15"/>
      <c r="CR21" s="15"/>
      <c r="CS21" s="15"/>
      <c r="CT21" s="15"/>
      <c r="CU21" s="15"/>
      <c r="CV21" s="15"/>
      <c r="CW21" s="15"/>
      <c r="CX21" s="15"/>
      <c r="CY21" s="15"/>
      <c r="CZ21" s="15"/>
      <c r="DA21" s="15"/>
      <c r="DB21" s="15"/>
      <c r="DC21" s="15"/>
      <c r="DD21" s="15"/>
      <c r="DE21" s="15"/>
      <c r="DF21" s="15"/>
      <c r="DG21" s="15"/>
      <c r="DH21" s="15"/>
      <c r="DI21" s="15"/>
      <c r="DJ21" s="15"/>
      <c r="DK21" s="15"/>
      <c r="DL21" s="15"/>
      <c r="DM21" s="15"/>
      <c r="DN21" s="15"/>
      <c r="DO21" s="15"/>
      <c r="DP21" s="15"/>
      <c r="DQ21" s="15"/>
      <c r="DR21" s="15"/>
      <c r="DS21" s="15"/>
      <c r="DT21" s="15"/>
      <c r="DU21" s="15"/>
      <c r="DV21" s="15"/>
      <c r="DW21" s="15"/>
      <c r="DX21" s="15"/>
      <c r="DY21" s="15"/>
      <c r="DZ21" s="15"/>
      <c r="EA21" s="15"/>
      <c r="EB21" s="15"/>
      <c r="EC21" s="15"/>
      <c r="ED21" s="15"/>
      <c r="EE21" s="15"/>
      <c r="EF21" s="15"/>
      <c r="EG21" s="15"/>
      <c r="EH21" s="15"/>
      <c r="EI21" s="15"/>
      <c r="EJ21" s="15"/>
      <c r="EK21" s="15"/>
      <c r="EL21" s="15"/>
      <c r="EM21" s="15"/>
      <c r="EN21" s="15"/>
      <c r="EO21" s="15"/>
      <c r="EP21" s="15"/>
      <c r="EQ21" s="15"/>
      <c r="ER21" s="15"/>
      <c r="ES21" s="15"/>
      <c r="ET21" s="15"/>
      <c r="EU21" s="15"/>
      <c r="EV21" s="15"/>
      <c r="EW21" s="15"/>
      <c r="EX21" s="15"/>
      <c r="EY21" s="15"/>
      <c r="EZ21" s="15"/>
      <c r="FA21" s="15"/>
      <c r="FB21" s="15"/>
      <c r="FC21" s="15"/>
      <c r="FD21" s="15"/>
      <c r="FE21" s="15"/>
      <c r="FF21" s="15"/>
      <c r="FG21" s="15"/>
      <c r="FH21" s="15"/>
      <c r="FI21" s="15"/>
      <c r="FJ21" s="15"/>
      <c r="FK21" s="15"/>
      <c r="FL21" s="15"/>
      <c r="FM21" s="15"/>
      <c r="FN21" s="15"/>
      <c r="FO21" s="15"/>
      <c r="FP21" s="15"/>
      <c r="FQ21" s="15"/>
      <c r="FR21" s="15"/>
      <c r="FS21" s="15"/>
      <c r="FT21" s="15"/>
      <c r="FU21" s="15"/>
      <c r="FV21" s="15"/>
      <c r="FW21" s="15"/>
      <c r="FX21" s="15"/>
      <c r="FY21" s="15"/>
      <c r="FZ21" s="15"/>
      <c r="GA21" s="15"/>
      <c r="GB21" s="15"/>
      <c r="GC21" s="15"/>
      <c r="GD21" s="15"/>
      <c r="GE21" s="15"/>
      <c r="GF21" s="15"/>
      <c r="GG21" s="15"/>
      <c r="GH21" s="15"/>
      <c r="GI21" s="15"/>
      <c r="GJ21" s="15"/>
      <c r="GK21" s="15"/>
      <c r="GL21" s="15"/>
      <c r="GM21" s="15"/>
      <c r="GN21" s="15"/>
      <c r="GO21" s="15"/>
      <c r="GP21" s="15"/>
      <c r="GQ21" s="15"/>
      <c r="GR21" s="15"/>
      <c r="GS21" s="15"/>
      <c r="GT21" s="15"/>
      <c r="GU21" s="15"/>
      <c r="GV21" s="15"/>
      <c r="GW21" s="15"/>
      <c r="GX21" s="15"/>
      <c r="GY21" s="15"/>
      <c r="GZ21" s="15"/>
      <c r="HA21" s="15"/>
      <c r="HB21" s="15"/>
      <c r="HC21" s="15"/>
      <c r="HD21" s="15"/>
      <c r="HE21" s="15"/>
      <c r="HF21" s="15"/>
      <c r="HG21" s="15"/>
      <c r="HH21" s="15"/>
      <c r="HI21" s="15"/>
      <c r="HJ21" s="15"/>
      <c r="HK21" s="15"/>
      <c r="HL21" s="15"/>
      <c r="HM21" s="15"/>
      <c r="HN21" s="15"/>
      <c r="HO21" s="15"/>
      <c r="HP21" s="15"/>
      <c r="HQ21" s="15"/>
      <c r="HR21" s="15"/>
      <c r="HS21" s="15"/>
      <c r="HT21" s="15"/>
      <c r="HU21" s="15"/>
      <c r="HV21" s="15"/>
      <c r="HW21" s="15"/>
    </row>
    <row r="22" spans="2:231" x14ac:dyDescent="0.15">
      <c r="B22" t="s">
        <v>258</v>
      </c>
      <c r="C22" t="s">
        <v>283</v>
      </c>
      <c r="D22">
        <v>143</v>
      </c>
      <c r="E22">
        <v>20.3</v>
      </c>
      <c r="F22">
        <v>6.2</v>
      </c>
      <c r="G22">
        <v>1.5</v>
      </c>
      <c r="H22">
        <v>100</v>
      </c>
      <c r="J22" s="67" t="s">
        <v>258</v>
      </c>
      <c r="K22" s="15">
        <v>32.835310949611717</v>
      </c>
      <c r="L22" s="15">
        <v>31.997552997766803</v>
      </c>
      <c r="M22" s="16">
        <v>32.835310949611717</v>
      </c>
      <c r="N22" s="15">
        <v>33.717910165904499</v>
      </c>
      <c r="O22" s="15">
        <v>32.835310949611717</v>
      </c>
      <c r="P22" s="15">
        <v>33.717910165904506</v>
      </c>
      <c r="Q22" s="15">
        <v>32.835310949611717</v>
      </c>
      <c r="R22" s="15">
        <v>33.717910165904527</v>
      </c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/>
      <c r="AL22" s="15"/>
      <c r="AM22" s="15"/>
      <c r="AN22" s="15"/>
      <c r="AO22" s="15"/>
      <c r="AP22" s="15"/>
      <c r="AQ22" s="15"/>
      <c r="AR22" s="15"/>
      <c r="AS22" s="15"/>
      <c r="AT22" s="15"/>
      <c r="AU22" s="16"/>
      <c r="AV22" s="16"/>
      <c r="AW22" s="16"/>
      <c r="AX22" s="16"/>
      <c r="AY22" s="16"/>
      <c r="AZ22" s="16"/>
      <c r="BA22" s="16"/>
      <c r="BB22" s="16"/>
      <c r="BC22" s="16"/>
      <c r="BD22" s="15"/>
      <c r="BE22" s="15"/>
      <c r="BF22" s="15"/>
      <c r="BG22" s="15"/>
      <c r="BH22" s="15"/>
      <c r="BI22" s="15"/>
      <c r="BJ22" s="15"/>
      <c r="BK22" s="15"/>
      <c r="BL22" s="15"/>
      <c r="BM22" s="15"/>
      <c r="BN22" s="15"/>
      <c r="BO22" s="15"/>
      <c r="BP22" s="15"/>
      <c r="BQ22" s="15"/>
      <c r="BR22" s="15"/>
      <c r="BS22" s="15"/>
      <c r="BT22" s="15"/>
      <c r="BU22" s="15"/>
      <c r="BV22" s="15"/>
      <c r="BW22" s="15"/>
      <c r="BX22" s="15"/>
      <c r="BY22" s="15"/>
      <c r="BZ22" s="15"/>
      <c r="CA22" s="15"/>
      <c r="CB22" s="15"/>
      <c r="CC22" s="15"/>
      <c r="CD22" s="15"/>
      <c r="CE22" s="15"/>
      <c r="CF22" s="15"/>
      <c r="CG22" s="15"/>
      <c r="CH22" s="15"/>
      <c r="CI22" s="15"/>
      <c r="CJ22" s="15"/>
      <c r="CK22" s="15"/>
      <c r="CL22" s="15"/>
      <c r="CM22" s="15"/>
      <c r="CN22" s="15"/>
      <c r="CO22" s="15"/>
      <c r="CP22" s="15"/>
      <c r="CQ22" s="15"/>
      <c r="CR22" s="15"/>
      <c r="CS22" s="15"/>
      <c r="CT22" s="15"/>
      <c r="CU22" s="15"/>
      <c r="CV22" s="15"/>
      <c r="CW22" s="15"/>
      <c r="CX22" s="15"/>
      <c r="CY22" s="15"/>
      <c r="CZ22" s="15"/>
      <c r="DA22" s="15"/>
      <c r="DB22" s="15"/>
      <c r="DC22" s="15"/>
      <c r="DD22" s="15"/>
      <c r="DE22" s="15"/>
      <c r="DF22" s="15"/>
      <c r="DG22" s="15"/>
      <c r="DH22" s="15"/>
      <c r="DI22" s="15"/>
      <c r="DJ22" s="15"/>
      <c r="DK22" s="15"/>
      <c r="DL22" s="15"/>
      <c r="DM22" s="15"/>
      <c r="DN22" s="15"/>
      <c r="DO22" s="15"/>
      <c r="DP22" s="15"/>
      <c r="DQ22" s="15"/>
      <c r="DR22" s="15"/>
      <c r="DS22" s="15"/>
      <c r="DT22" s="15"/>
      <c r="DU22" s="15"/>
      <c r="DV22" s="15"/>
      <c r="DW22" s="15"/>
      <c r="DX22" s="15"/>
      <c r="DY22" s="15"/>
      <c r="DZ22" s="15"/>
      <c r="EA22" s="15"/>
      <c r="EB22" s="15"/>
      <c r="EC22" s="15"/>
      <c r="ED22" s="15"/>
      <c r="EE22" s="15"/>
      <c r="EF22" s="15"/>
      <c r="EG22" s="15"/>
      <c r="EH22" s="15"/>
      <c r="EI22" s="15"/>
      <c r="EJ22" s="15"/>
      <c r="EK22" s="15"/>
      <c r="EL22" s="15"/>
      <c r="EM22" s="15"/>
      <c r="EN22" s="15"/>
      <c r="EO22" s="15"/>
      <c r="EP22" s="15"/>
      <c r="EQ22" s="15"/>
      <c r="ER22" s="15"/>
      <c r="ES22" s="15"/>
      <c r="ET22" s="15"/>
      <c r="EU22" s="15"/>
      <c r="EV22" s="15"/>
      <c r="EW22" s="15"/>
      <c r="EX22" s="15"/>
      <c r="EY22" s="15"/>
      <c r="EZ22" s="15"/>
      <c r="FA22" s="15"/>
      <c r="FB22" s="15"/>
      <c r="FC22" s="15"/>
      <c r="FD22" s="15"/>
      <c r="FE22" s="15"/>
      <c r="FF22" s="15"/>
      <c r="FG22" s="15"/>
      <c r="FH22" s="15"/>
      <c r="FI22" s="15"/>
      <c r="FJ22" s="15"/>
      <c r="FK22" s="15"/>
      <c r="FL22" s="15"/>
      <c r="FM22" s="15"/>
      <c r="FN22" s="15"/>
      <c r="FO22" s="15"/>
      <c r="FP22" s="15"/>
      <c r="FQ22" s="15"/>
      <c r="FR22" s="15"/>
      <c r="FS22" s="15"/>
      <c r="FT22" s="15"/>
      <c r="FU22" s="15"/>
      <c r="FV22" s="15"/>
      <c r="FW22" s="15"/>
      <c r="FX22" s="15"/>
      <c r="FY22" s="15"/>
      <c r="FZ22" s="15"/>
      <c r="GA22" s="15"/>
      <c r="GB22" s="15"/>
      <c r="GC22" s="15"/>
      <c r="GD22" s="15"/>
      <c r="GE22" s="15"/>
      <c r="GF22" s="15"/>
      <c r="GG22" s="15"/>
      <c r="GH22" s="15"/>
      <c r="GI22" s="15"/>
      <c r="GJ22" s="15"/>
      <c r="GK22" s="15"/>
      <c r="GL22" s="15"/>
      <c r="GM22" s="15"/>
      <c r="GN22" s="15"/>
      <c r="GO22" s="15"/>
      <c r="GP22" s="15"/>
      <c r="GQ22" s="15"/>
      <c r="GR22" s="15"/>
      <c r="GS22" s="15"/>
      <c r="GT22" s="15"/>
      <c r="GU22" s="15"/>
      <c r="GV22" s="15"/>
      <c r="GW22" s="15"/>
      <c r="GX22" s="15"/>
      <c r="GY22" s="15"/>
      <c r="GZ22" s="15"/>
      <c r="HA22" s="15"/>
      <c r="HB22" s="15"/>
      <c r="HC22" s="15"/>
      <c r="HD22" s="15"/>
      <c r="HE22" s="15"/>
      <c r="HF22" s="15"/>
      <c r="HG22" s="15"/>
      <c r="HH22" s="15"/>
      <c r="HI22" s="15"/>
      <c r="HJ22" s="15"/>
      <c r="HK22" s="15"/>
      <c r="HL22" s="15"/>
      <c r="HM22" s="15"/>
      <c r="HN22" s="15"/>
      <c r="HO22" s="15"/>
      <c r="HP22" s="15"/>
      <c r="HQ22" s="15"/>
      <c r="HR22" s="15"/>
      <c r="HS22" s="15"/>
      <c r="HT22" s="15"/>
      <c r="HU22" s="15"/>
      <c r="HV22" s="15"/>
      <c r="HW22" s="15"/>
    </row>
    <row r="23" spans="2:231" x14ac:dyDescent="0.15">
      <c r="B23" t="s">
        <v>259</v>
      </c>
      <c r="C23" t="s">
        <v>284</v>
      </c>
      <c r="D23">
        <v>106</v>
      </c>
      <c r="E23">
        <v>20.2</v>
      </c>
      <c r="F23">
        <v>2.2999999999999998</v>
      </c>
      <c r="G23">
        <v>1.2</v>
      </c>
      <c r="H23">
        <v>99</v>
      </c>
      <c r="J23" s="67" t="s">
        <v>259</v>
      </c>
      <c r="K23" s="15">
        <v>6.8874431450149123</v>
      </c>
      <c r="L23" s="15">
        <v>6.7794345567103447</v>
      </c>
      <c r="M23" s="16">
        <v>6.8874431450149123</v>
      </c>
      <c r="N23" s="15">
        <v>7.2913666458440547</v>
      </c>
      <c r="O23" s="15">
        <v>6.8874431450149123</v>
      </c>
      <c r="P23" s="15">
        <v>7.291366645844052</v>
      </c>
      <c r="Q23" s="15">
        <v>6.8874431450149123</v>
      </c>
      <c r="R23" s="15">
        <v>7.2913666458440467</v>
      </c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5"/>
      <c r="AE23" s="15"/>
      <c r="AF23" s="15"/>
      <c r="AG23" s="15"/>
      <c r="AH23" s="15"/>
      <c r="AI23" s="15"/>
      <c r="AJ23" s="15"/>
      <c r="AK23" s="15"/>
      <c r="AL23" s="15"/>
      <c r="AM23" s="15"/>
      <c r="AN23" s="15"/>
      <c r="AO23" s="15"/>
      <c r="AP23" s="15"/>
      <c r="AQ23" s="15"/>
      <c r="AR23" s="15"/>
      <c r="AS23" s="15"/>
      <c r="AT23" s="15"/>
      <c r="AU23" s="16"/>
      <c r="AV23" s="16"/>
      <c r="AW23" s="16"/>
      <c r="AX23" s="16"/>
      <c r="AY23" s="16"/>
      <c r="AZ23" s="16"/>
      <c r="BA23" s="16"/>
      <c r="BB23" s="16"/>
      <c r="BC23" s="16"/>
      <c r="BD23" s="15"/>
      <c r="BE23" s="15"/>
      <c r="BF23" s="15"/>
      <c r="BG23" s="15"/>
      <c r="BH23" s="15"/>
      <c r="BI23" s="15"/>
      <c r="BJ23" s="15"/>
      <c r="BK23" s="15"/>
      <c r="BL23" s="15"/>
      <c r="BM23" s="15"/>
      <c r="BN23" s="15"/>
      <c r="BO23" s="15"/>
      <c r="BP23" s="15"/>
      <c r="BQ23" s="15"/>
      <c r="BR23" s="15"/>
      <c r="BS23" s="15"/>
      <c r="BT23" s="15"/>
      <c r="BU23" s="15"/>
      <c r="BV23" s="15"/>
      <c r="BW23" s="15"/>
      <c r="BX23" s="15"/>
      <c r="BY23" s="15"/>
      <c r="BZ23" s="15"/>
      <c r="CA23" s="15"/>
      <c r="CB23" s="15"/>
      <c r="CC23" s="15"/>
      <c r="CD23" s="15"/>
      <c r="CE23" s="15"/>
      <c r="CF23" s="15"/>
      <c r="CG23" s="15"/>
      <c r="CH23" s="15"/>
      <c r="CI23" s="15"/>
      <c r="CJ23" s="15"/>
      <c r="CK23" s="15"/>
      <c r="CL23" s="15"/>
      <c r="CM23" s="15"/>
      <c r="CN23" s="15"/>
      <c r="CO23" s="15"/>
      <c r="CP23" s="15"/>
      <c r="CQ23" s="15"/>
      <c r="CR23" s="15"/>
      <c r="CS23" s="15"/>
      <c r="CT23" s="15"/>
      <c r="CU23" s="15"/>
      <c r="CV23" s="15"/>
      <c r="CW23" s="15"/>
      <c r="CX23" s="15"/>
      <c r="CY23" s="15"/>
      <c r="CZ23" s="15"/>
      <c r="DA23" s="15"/>
      <c r="DB23" s="15"/>
      <c r="DC23" s="15"/>
      <c r="DD23" s="15"/>
      <c r="DE23" s="15"/>
      <c r="DF23" s="15"/>
      <c r="DG23" s="15"/>
      <c r="DH23" s="15"/>
      <c r="DI23" s="15"/>
      <c r="DJ23" s="15"/>
      <c r="DK23" s="15"/>
      <c r="DL23" s="15"/>
      <c r="DM23" s="15"/>
      <c r="DN23" s="15"/>
      <c r="DO23" s="15"/>
      <c r="DP23" s="15"/>
      <c r="DQ23" s="15"/>
      <c r="DR23" s="15"/>
      <c r="DS23" s="15"/>
      <c r="DT23" s="15"/>
      <c r="DU23" s="15"/>
      <c r="DV23" s="15"/>
      <c r="DW23" s="15"/>
      <c r="DX23" s="15"/>
      <c r="DY23" s="15"/>
      <c r="DZ23" s="15"/>
      <c r="EA23" s="15"/>
      <c r="EB23" s="15"/>
      <c r="EC23" s="15"/>
      <c r="ED23" s="15"/>
      <c r="EE23" s="15"/>
      <c r="EF23" s="15"/>
      <c r="EG23" s="15"/>
      <c r="EH23" s="15"/>
      <c r="EI23" s="15"/>
      <c r="EJ23" s="15"/>
      <c r="EK23" s="15"/>
      <c r="EL23" s="15"/>
      <c r="EM23" s="15"/>
      <c r="EN23" s="15"/>
      <c r="EO23" s="15"/>
      <c r="EP23" s="15"/>
      <c r="EQ23" s="15"/>
      <c r="ER23" s="15"/>
      <c r="ES23" s="15"/>
      <c r="ET23" s="15"/>
      <c r="EU23" s="15"/>
      <c r="EV23" s="15"/>
      <c r="EW23" s="15"/>
      <c r="EX23" s="15"/>
      <c r="EY23" s="15"/>
      <c r="EZ23" s="15"/>
      <c r="FA23" s="15"/>
      <c r="FB23" s="15"/>
      <c r="FC23" s="15"/>
      <c r="FD23" s="15"/>
      <c r="FE23" s="15"/>
      <c r="FF23" s="15"/>
      <c r="FG23" s="15"/>
      <c r="FH23" s="15"/>
      <c r="FI23" s="15"/>
      <c r="FJ23" s="15"/>
      <c r="FK23" s="15"/>
      <c r="FL23" s="15"/>
      <c r="FM23" s="15"/>
      <c r="FN23" s="15"/>
      <c r="FO23" s="15"/>
      <c r="FP23" s="15"/>
      <c r="FQ23" s="15"/>
      <c r="FR23" s="15"/>
      <c r="FS23" s="15"/>
      <c r="FT23" s="15"/>
      <c r="FU23" s="15"/>
      <c r="FV23" s="15"/>
      <c r="FW23" s="15"/>
      <c r="FX23" s="15"/>
      <c r="FY23" s="15"/>
      <c r="FZ23" s="15"/>
      <c r="GA23" s="15"/>
      <c r="GB23" s="15"/>
      <c r="GC23" s="15"/>
      <c r="GD23" s="15"/>
      <c r="GE23" s="15"/>
      <c r="GF23" s="15"/>
      <c r="GG23" s="15"/>
      <c r="GH23" s="15"/>
      <c r="GI23" s="15"/>
      <c r="GJ23" s="15"/>
      <c r="GK23" s="15"/>
      <c r="GL23" s="15"/>
      <c r="GM23" s="15"/>
      <c r="GN23" s="15"/>
      <c r="GO23" s="15"/>
      <c r="GP23" s="15"/>
      <c r="GQ23" s="15"/>
      <c r="GR23" s="15"/>
      <c r="GS23" s="15"/>
      <c r="GT23" s="15"/>
      <c r="GU23" s="15"/>
      <c r="GV23" s="15"/>
      <c r="GW23" s="15"/>
      <c r="GX23" s="15"/>
      <c r="GY23" s="15"/>
      <c r="GZ23" s="15"/>
      <c r="HA23" s="15"/>
      <c r="HB23" s="15"/>
      <c r="HC23" s="15"/>
      <c r="HD23" s="15"/>
      <c r="HE23" s="15"/>
      <c r="HF23" s="15"/>
      <c r="HG23" s="15"/>
      <c r="HH23" s="15"/>
      <c r="HI23" s="15"/>
      <c r="HJ23" s="15"/>
      <c r="HK23" s="15"/>
      <c r="HL23" s="15"/>
      <c r="HM23" s="15"/>
      <c r="HN23" s="15"/>
      <c r="HO23" s="15"/>
      <c r="HP23" s="15"/>
      <c r="HQ23" s="15"/>
      <c r="HR23" s="15"/>
      <c r="HS23" s="15"/>
      <c r="HT23" s="15"/>
      <c r="HU23" s="15"/>
      <c r="HV23" s="15"/>
      <c r="HW23" s="15"/>
    </row>
    <row r="24" spans="2:231" x14ac:dyDescent="0.15">
      <c r="B24" t="s">
        <v>260</v>
      </c>
      <c r="C24" t="s">
        <v>285</v>
      </c>
      <c r="D24">
        <v>203</v>
      </c>
      <c r="E24">
        <v>19</v>
      </c>
      <c r="F24">
        <v>14.1</v>
      </c>
      <c r="G24">
        <v>0</v>
      </c>
      <c r="H24">
        <v>90</v>
      </c>
      <c r="J24" s="67" t="s">
        <v>260</v>
      </c>
      <c r="K24" s="15">
        <v>3.362204585412381</v>
      </c>
      <c r="L24" s="15">
        <v>3.561590101469617</v>
      </c>
      <c r="M24" s="16">
        <v>3.362204585412381</v>
      </c>
      <c r="N24" s="15">
        <v>3.5718095694087402</v>
      </c>
      <c r="O24" s="15">
        <v>3.362204585412381</v>
      </c>
      <c r="P24" s="15">
        <v>3.5718095694087371</v>
      </c>
      <c r="Q24" s="15">
        <v>3.362204585412381</v>
      </c>
      <c r="R24" s="15">
        <v>3.5718095694087393</v>
      </c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15"/>
      <c r="AI24" s="15"/>
      <c r="AJ24" s="15"/>
      <c r="AK24" s="15"/>
      <c r="AL24" s="15"/>
      <c r="AM24" s="15"/>
      <c r="AN24" s="15"/>
      <c r="AO24" s="15"/>
      <c r="AP24" s="15"/>
      <c r="AQ24" s="15"/>
      <c r="AR24" s="15"/>
      <c r="AS24" s="15"/>
      <c r="AT24" s="15"/>
      <c r="AU24" s="16"/>
      <c r="AV24" s="16"/>
      <c r="AW24" s="16"/>
      <c r="AX24" s="16"/>
      <c r="AY24" s="16"/>
      <c r="AZ24" s="16"/>
      <c r="BA24" s="16"/>
      <c r="BB24" s="16"/>
      <c r="BC24" s="16"/>
      <c r="BD24" s="15"/>
      <c r="BE24" s="15"/>
      <c r="BF24" s="15"/>
      <c r="BG24" s="15"/>
      <c r="BH24" s="15"/>
      <c r="BI24" s="15"/>
      <c r="BJ24" s="15"/>
      <c r="BK24" s="15"/>
      <c r="BL24" s="15"/>
      <c r="BM24" s="15"/>
      <c r="BN24" s="15"/>
      <c r="BO24" s="15"/>
      <c r="BP24" s="15"/>
      <c r="BQ24" s="15"/>
      <c r="BR24" s="15"/>
      <c r="BS24" s="15"/>
      <c r="BT24" s="15"/>
      <c r="BU24" s="15"/>
      <c r="BV24" s="15"/>
      <c r="BW24" s="15"/>
      <c r="BX24" s="15"/>
      <c r="BY24" s="15"/>
      <c r="BZ24" s="15"/>
      <c r="CA24" s="15"/>
      <c r="CB24" s="15"/>
      <c r="CC24" s="15"/>
      <c r="CD24" s="15"/>
      <c r="CE24" s="15"/>
      <c r="CF24" s="15"/>
      <c r="CG24" s="15"/>
      <c r="CH24" s="15"/>
      <c r="CI24" s="15"/>
      <c r="CJ24" s="15"/>
      <c r="CK24" s="15"/>
      <c r="CL24" s="15"/>
      <c r="CM24" s="15"/>
      <c r="CN24" s="15"/>
      <c r="CO24" s="15"/>
      <c r="CP24" s="15"/>
      <c r="CQ24" s="15"/>
      <c r="CR24" s="15"/>
      <c r="CS24" s="15"/>
      <c r="CT24" s="15"/>
      <c r="CU24" s="15"/>
      <c r="CV24" s="15"/>
      <c r="CW24" s="15"/>
      <c r="CX24" s="15"/>
      <c r="CY24" s="15"/>
      <c r="CZ24" s="15"/>
      <c r="DA24" s="15"/>
      <c r="DB24" s="15"/>
      <c r="DC24" s="15"/>
      <c r="DD24" s="15"/>
      <c r="DE24" s="15"/>
      <c r="DF24" s="15"/>
      <c r="DG24" s="15"/>
      <c r="DH24" s="15"/>
      <c r="DI24" s="15"/>
      <c r="DJ24" s="15"/>
      <c r="DK24" s="15"/>
      <c r="DL24" s="15"/>
      <c r="DM24" s="15"/>
      <c r="DN24" s="15"/>
      <c r="DO24" s="15"/>
      <c r="DP24" s="15"/>
      <c r="DQ24" s="15"/>
      <c r="DR24" s="15"/>
      <c r="DS24" s="15"/>
      <c r="DT24" s="15"/>
      <c r="DU24" s="15"/>
      <c r="DV24" s="15"/>
      <c r="DW24" s="15"/>
      <c r="DX24" s="15"/>
      <c r="DY24" s="15"/>
      <c r="DZ24" s="15"/>
      <c r="EA24" s="15"/>
      <c r="EB24" s="15"/>
      <c r="EC24" s="15"/>
      <c r="ED24" s="15"/>
      <c r="EE24" s="15"/>
      <c r="EF24" s="15"/>
      <c r="EG24" s="15"/>
      <c r="EH24" s="15"/>
      <c r="EI24" s="15"/>
      <c r="EJ24" s="15"/>
      <c r="EK24" s="15"/>
      <c r="EL24" s="15"/>
      <c r="EM24" s="15"/>
      <c r="EN24" s="15"/>
      <c r="EO24" s="15"/>
      <c r="EP24" s="15"/>
      <c r="EQ24" s="15"/>
      <c r="ER24" s="15"/>
      <c r="ES24" s="15"/>
      <c r="ET24" s="15"/>
      <c r="EU24" s="15"/>
      <c r="EV24" s="15"/>
      <c r="EW24" s="15"/>
      <c r="EX24" s="15"/>
      <c r="EY24" s="15"/>
      <c r="EZ24" s="15"/>
      <c r="FA24" s="15"/>
      <c r="FB24" s="15"/>
      <c r="FC24" s="15"/>
      <c r="FD24" s="15"/>
      <c r="FE24" s="15"/>
      <c r="FF24" s="15"/>
      <c r="FG24" s="15"/>
      <c r="FH24" s="15"/>
      <c r="FI24" s="15"/>
      <c r="FJ24" s="15"/>
      <c r="FK24" s="15"/>
      <c r="FL24" s="15"/>
      <c r="FM24" s="15"/>
      <c r="FN24" s="15"/>
      <c r="FO24" s="15"/>
      <c r="FP24" s="15"/>
      <c r="FQ24" s="15"/>
      <c r="FR24" s="15"/>
      <c r="FS24" s="15"/>
      <c r="FT24" s="15"/>
      <c r="FU24" s="15"/>
      <c r="FV24" s="15"/>
      <c r="FW24" s="15"/>
      <c r="FX24" s="15"/>
      <c r="FY24" s="15"/>
      <c r="FZ24" s="15"/>
      <c r="GA24" s="15"/>
      <c r="GB24" s="15"/>
      <c r="GC24" s="15"/>
      <c r="GD24" s="15"/>
      <c r="GE24" s="15"/>
      <c r="GF24" s="15"/>
      <c r="GG24" s="15"/>
      <c r="GH24" s="15"/>
      <c r="GI24" s="15"/>
      <c r="GJ24" s="15"/>
      <c r="GK24" s="15"/>
      <c r="GL24" s="15"/>
      <c r="GM24" s="15"/>
      <c r="GN24" s="15"/>
      <c r="GO24" s="15"/>
      <c r="GP24" s="15"/>
      <c r="GQ24" s="15"/>
      <c r="GR24" s="15"/>
      <c r="GS24" s="15"/>
      <c r="GT24" s="15"/>
      <c r="GU24" s="15"/>
      <c r="GV24" s="15"/>
      <c r="GW24" s="15"/>
      <c r="GX24" s="15"/>
      <c r="GY24" s="15"/>
      <c r="GZ24" s="15"/>
      <c r="HA24" s="15"/>
      <c r="HB24" s="15"/>
      <c r="HC24" s="15"/>
      <c r="HD24" s="15"/>
      <c r="HE24" s="15"/>
      <c r="HF24" s="15"/>
      <c r="HG24" s="15"/>
      <c r="HH24" s="15"/>
      <c r="HI24" s="15"/>
      <c r="HJ24" s="15"/>
      <c r="HK24" s="15"/>
      <c r="HL24" s="15"/>
      <c r="HM24" s="15"/>
      <c r="HN24" s="15"/>
      <c r="HO24" s="15"/>
      <c r="HP24" s="15"/>
      <c r="HQ24" s="15"/>
      <c r="HR24" s="15"/>
      <c r="HS24" s="15"/>
      <c r="HT24" s="15"/>
      <c r="HU24" s="15"/>
      <c r="HV24" s="15"/>
      <c r="HW24" s="15"/>
    </row>
    <row r="25" spans="2:231" x14ac:dyDescent="0.15">
      <c r="B25" t="s">
        <v>261</v>
      </c>
      <c r="C25" t="s">
        <v>286</v>
      </c>
      <c r="D25">
        <v>167</v>
      </c>
      <c r="E25">
        <v>19.3</v>
      </c>
      <c r="F25">
        <v>9.4</v>
      </c>
      <c r="G25">
        <v>1.3</v>
      </c>
      <c r="H25">
        <v>66</v>
      </c>
      <c r="J25" s="67" t="s">
        <v>261</v>
      </c>
      <c r="K25" s="15">
        <v>18.627209938762466</v>
      </c>
      <c r="L25" s="15">
        <v>20.219036315984379</v>
      </c>
      <c r="M25" s="16">
        <v>18.627209938762466</v>
      </c>
      <c r="N25" s="15">
        <v>19.906527829940828</v>
      </c>
      <c r="O25" s="15">
        <v>18.627209938762466</v>
      </c>
      <c r="P25" s="15">
        <v>19.906527829940835</v>
      </c>
      <c r="Q25" s="15">
        <v>18.627209938762466</v>
      </c>
      <c r="R25" s="15">
        <v>19.906527829940849</v>
      </c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5"/>
      <c r="AH25" s="15"/>
      <c r="AI25" s="15"/>
      <c r="AJ25" s="15"/>
      <c r="AK25" s="15"/>
      <c r="AL25" s="15"/>
      <c r="AM25" s="15"/>
      <c r="AN25" s="15"/>
      <c r="AO25" s="15"/>
      <c r="AP25" s="15"/>
      <c r="AQ25" s="15"/>
      <c r="AR25" s="15"/>
      <c r="AS25" s="15"/>
      <c r="AT25" s="15"/>
      <c r="AU25" s="16"/>
      <c r="AV25" s="16"/>
      <c r="AW25" s="16"/>
      <c r="AX25" s="16"/>
      <c r="AY25" s="16"/>
      <c r="AZ25" s="16"/>
      <c r="BA25" s="16"/>
      <c r="BB25" s="16"/>
      <c r="BC25" s="16"/>
      <c r="BD25" s="15"/>
      <c r="BE25" s="15"/>
      <c r="BF25" s="15"/>
      <c r="BG25" s="15"/>
      <c r="BH25" s="15"/>
      <c r="BI25" s="15"/>
      <c r="BJ25" s="15"/>
      <c r="BK25" s="15"/>
      <c r="BL25" s="15"/>
      <c r="BM25" s="15"/>
      <c r="BN25" s="15"/>
      <c r="BO25" s="15"/>
      <c r="BP25" s="15"/>
      <c r="BQ25" s="15"/>
      <c r="BR25" s="15"/>
      <c r="BS25" s="15"/>
      <c r="BT25" s="15"/>
      <c r="BU25" s="15"/>
      <c r="BV25" s="15"/>
      <c r="BW25" s="15"/>
      <c r="BX25" s="15"/>
      <c r="BY25" s="15"/>
      <c r="BZ25" s="15"/>
      <c r="CA25" s="15"/>
      <c r="CB25" s="15"/>
      <c r="CC25" s="15"/>
      <c r="CD25" s="15"/>
      <c r="CE25" s="15"/>
      <c r="CF25" s="15"/>
      <c r="CG25" s="15"/>
      <c r="CH25" s="15"/>
      <c r="CI25" s="15"/>
      <c r="CJ25" s="15"/>
      <c r="CK25" s="15"/>
      <c r="CL25" s="15"/>
      <c r="CM25" s="15"/>
      <c r="CN25" s="15"/>
      <c r="CO25" s="15"/>
      <c r="CP25" s="15"/>
      <c r="CQ25" s="15"/>
      <c r="CR25" s="15"/>
      <c r="CS25" s="15"/>
      <c r="CT25" s="15"/>
      <c r="CU25" s="15"/>
      <c r="CV25" s="15"/>
      <c r="CW25" s="15"/>
      <c r="CX25" s="15"/>
      <c r="CY25" s="15"/>
      <c r="CZ25" s="15"/>
      <c r="DA25" s="15"/>
      <c r="DB25" s="15"/>
      <c r="DC25" s="15"/>
      <c r="DD25" s="15"/>
      <c r="DE25" s="15"/>
      <c r="DF25" s="15"/>
      <c r="DG25" s="15"/>
      <c r="DH25" s="15"/>
      <c r="DI25" s="15"/>
      <c r="DJ25" s="15"/>
      <c r="DK25" s="15"/>
      <c r="DL25" s="15"/>
      <c r="DM25" s="15"/>
      <c r="DN25" s="15"/>
      <c r="DO25" s="15"/>
      <c r="DP25" s="15"/>
      <c r="DQ25" s="15"/>
      <c r="DR25" s="15"/>
      <c r="DS25" s="15"/>
      <c r="DT25" s="15"/>
      <c r="DU25" s="15"/>
      <c r="DV25" s="15"/>
      <c r="DW25" s="15"/>
      <c r="DX25" s="15"/>
      <c r="DY25" s="15"/>
      <c r="DZ25" s="15"/>
      <c r="EA25" s="15"/>
      <c r="EB25" s="15"/>
      <c r="EC25" s="15"/>
      <c r="ED25" s="15"/>
      <c r="EE25" s="15"/>
      <c r="EF25" s="15"/>
      <c r="EG25" s="15"/>
      <c r="EH25" s="15"/>
      <c r="EI25" s="15"/>
      <c r="EJ25" s="15"/>
      <c r="EK25" s="15"/>
      <c r="EL25" s="15"/>
      <c r="EM25" s="15"/>
      <c r="EN25" s="15"/>
      <c r="EO25" s="15"/>
      <c r="EP25" s="15"/>
      <c r="EQ25" s="15"/>
      <c r="ER25" s="15"/>
      <c r="ES25" s="15"/>
      <c r="ET25" s="15"/>
      <c r="EU25" s="15"/>
      <c r="EV25" s="15"/>
      <c r="EW25" s="15"/>
      <c r="EX25" s="15"/>
      <c r="EY25" s="15"/>
      <c r="EZ25" s="15"/>
      <c r="FA25" s="15"/>
      <c r="FB25" s="15"/>
      <c r="FC25" s="15"/>
      <c r="FD25" s="15"/>
      <c r="FE25" s="15"/>
      <c r="FF25" s="15"/>
      <c r="FG25" s="15"/>
      <c r="FH25" s="15"/>
      <c r="FI25" s="15"/>
      <c r="FJ25" s="15"/>
      <c r="FK25" s="15"/>
      <c r="FL25" s="15"/>
      <c r="FM25" s="15"/>
      <c r="FN25" s="15"/>
      <c r="FO25" s="15"/>
      <c r="FP25" s="15"/>
      <c r="FQ25" s="15"/>
      <c r="FR25" s="15"/>
      <c r="FS25" s="15"/>
      <c r="FT25" s="15"/>
      <c r="FU25" s="15"/>
      <c r="FV25" s="15"/>
      <c r="FW25" s="15"/>
      <c r="FX25" s="15"/>
      <c r="FY25" s="15"/>
      <c r="FZ25" s="15"/>
      <c r="GA25" s="15"/>
      <c r="GB25" s="15"/>
      <c r="GC25" s="15"/>
      <c r="GD25" s="15"/>
      <c r="GE25" s="15"/>
      <c r="GF25" s="15"/>
      <c r="GG25" s="15"/>
      <c r="GH25" s="15"/>
      <c r="GI25" s="15"/>
      <c r="GJ25" s="15"/>
      <c r="GK25" s="15"/>
      <c r="GL25" s="15"/>
      <c r="GM25" s="15"/>
      <c r="GN25" s="15"/>
      <c r="GO25" s="15"/>
      <c r="GP25" s="15"/>
      <c r="GQ25" s="15"/>
      <c r="GR25" s="15"/>
      <c r="GS25" s="15"/>
      <c r="GT25" s="15"/>
      <c r="GU25" s="15"/>
      <c r="GV25" s="15"/>
      <c r="GW25" s="15"/>
      <c r="GX25" s="15"/>
      <c r="GY25" s="15"/>
      <c r="GZ25" s="15"/>
      <c r="HA25" s="15"/>
      <c r="HB25" s="15"/>
      <c r="HC25" s="15"/>
      <c r="HD25" s="15"/>
      <c r="HE25" s="15"/>
      <c r="HF25" s="15"/>
      <c r="HG25" s="15"/>
      <c r="HH25" s="15"/>
      <c r="HI25" s="15"/>
      <c r="HJ25" s="15"/>
      <c r="HK25" s="15"/>
      <c r="HL25" s="15"/>
      <c r="HM25" s="15"/>
      <c r="HN25" s="15"/>
      <c r="HO25" s="15"/>
      <c r="HP25" s="15"/>
      <c r="HQ25" s="15"/>
      <c r="HR25" s="15"/>
      <c r="HS25" s="15"/>
      <c r="HT25" s="15"/>
      <c r="HU25" s="15"/>
      <c r="HV25" s="15"/>
      <c r="HW25" s="15"/>
    </row>
    <row r="26" spans="2:231" x14ac:dyDescent="0.15">
      <c r="B26" t="s">
        <v>262</v>
      </c>
      <c r="C26" t="s">
        <v>287</v>
      </c>
      <c r="D26">
        <v>144</v>
      </c>
      <c r="E26">
        <v>13.3</v>
      </c>
      <c r="F26">
        <v>8.8000000000000007</v>
      </c>
      <c r="G26">
        <v>2.8</v>
      </c>
      <c r="H26">
        <v>88</v>
      </c>
      <c r="J26" s="67" t="s">
        <v>262</v>
      </c>
      <c r="K26" s="15">
        <v>16.379930101289069</v>
      </c>
      <c r="L26" s="15">
        <v>16.836956203025679</v>
      </c>
      <c r="M26" s="16">
        <v>16.379930101289069</v>
      </c>
      <c r="N26" s="15">
        <v>16.810435617845734</v>
      </c>
      <c r="O26" s="15">
        <v>16.379930101289069</v>
      </c>
      <c r="P26" s="15">
        <v>16.810435617845741</v>
      </c>
      <c r="Q26" s="15">
        <v>16.379930101289069</v>
      </c>
      <c r="R26" s="15">
        <v>16.810435617845737</v>
      </c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15"/>
      <c r="AO26" s="15"/>
      <c r="AP26" s="15"/>
      <c r="AQ26" s="15"/>
      <c r="AR26" s="15"/>
      <c r="AS26" s="15"/>
      <c r="AT26" s="15"/>
      <c r="AU26" s="16"/>
      <c r="AV26" s="16"/>
      <c r="AW26" s="16"/>
      <c r="AX26" s="16"/>
      <c r="AY26" s="16"/>
      <c r="AZ26" s="16"/>
      <c r="BA26" s="16"/>
      <c r="BB26" s="16"/>
      <c r="BC26" s="16"/>
      <c r="BD26" s="15"/>
      <c r="BE26" s="15"/>
      <c r="BF26" s="15"/>
      <c r="BG26" s="15"/>
      <c r="BH26" s="15"/>
      <c r="BI26" s="15"/>
      <c r="BJ26" s="15"/>
      <c r="BK26" s="15"/>
      <c r="BL26" s="15"/>
      <c r="BM26" s="15"/>
      <c r="BN26" s="15"/>
      <c r="BO26" s="15"/>
      <c r="BP26" s="15"/>
      <c r="BQ26" s="15"/>
      <c r="BR26" s="15"/>
      <c r="BS26" s="15"/>
      <c r="BT26" s="15"/>
      <c r="BU26" s="15"/>
      <c r="BV26" s="15"/>
      <c r="BW26" s="15"/>
      <c r="BX26" s="15"/>
      <c r="BY26" s="15"/>
      <c r="BZ26" s="15"/>
      <c r="CA26" s="15"/>
      <c r="CB26" s="15"/>
      <c r="CC26" s="15"/>
      <c r="CD26" s="15"/>
      <c r="CE26" s="15"/>
      <c r="CF26" s="15"/>
      <c r="CG26" s="15"/>
      <c r="CH26" s="15"/>
      <c r="CI26" s="15"/>
      <c r="CJ26" s="15"/>
      <c r="CK26" s="15"/>
      <c r="CL26" s="15"/>
      <c r="CM26" s="15"/>
      <c r="CN26" s="15"/>
      <c r="CO26" s="15"/>
      <c r="CP26" s="15"/>
      <c r="CQ26" s="15"/>
      <c r="CR26" s="15"/>
      <c r="CS26" s="15"/>
      <c r="CT26" s="15"/>
      <c r="CU26" s="15"/>
      <c r="CV26" s="15"/>
      <c r="CW26" s="15"/>
      <c r="CX26" s="15"/>
      <c r="CY26" s="15"/>
      <c r="CZ26" s="15"/>
      <c r="DA26" s="15"/>
      <c r="DB26" s="15"/>
      <c r="DC26" s="15"/>
      <c r="DD26" s="15"/>
      <c r="DE26" s="15"/>
      <c r="DF26" s="15"/>
      <c r="DG26" s="15"/>
      <c r="DH26" s="15"/>
      <c r="DI26" s="15"/>
      <c r="DJ26" s="15"/>
      <c r="DK26" s="15"/>
      <c r="DL26" s="15"/>
      <c r="DM26" s="15"/>
      <c r="DN26" s="15"/>
      <c r="DO26" s="15"/>
      <c r="DP26" s="15"/>
      <c r="DQ26" s="15"/>
      <c r="DR26" s="15"/>
      <c r="DS26" s="15"/>
      <c r="DT26" s="15"/>
      <c r="DU26" s="15"/>
      <c r="DV26" s="15"/>
      <c r="DW26" s="15"/>
      <c r="DX26" s="15"/>
      <c r="DY26" s="15"/>
      <c r="DZ26" s="15"/>
      <c r="EA26" s="15"/>
      <c r="EB26" s="15"/>
      <c r="EC26" s="15"/>
      <c r="ED26" s="15"/>
      <c r="EE26" s="15"/>
      <c r="EF26" s="15"/>
      <c r="EG26" s="15"/>
      <c r="EH26" s="15"/>
      <c r="EI26" s="15"/>
      <c r="EJ26" s="15"/>
      <c r="EK26" s="15"/>
      <c r="EL26" s="15"/>
      <c r="EM26" s="15"/>
      <c r="EN26" s="15"/>
      <c r="EO26" s="15"/>
      <c r="EP26" s="15"/>
      <c r="EQ26" s="15"/>
      <c r="ER26" s="15"/>
      <c r="ES26" s="15"/>
      <c r="ET26" s="15"/>
      <c r="EU26" s="15"/>
      <c r="EV26" s="15"/>
      <c r="EW26" s="15"/>
      <c r="EX26" s="15"/>
      <c r="EY26" s="15"/>
      <c r="EZ26" s="15"/>
      <c r="FA26" s="15"/>
      <c r="FB26" s="15"/>
      <c r="FC26" s="15"/>
      <c r="FD26" s="15"/>
      <c r="FE26" s="15"/>
      <c r="FF26" s="15"/>
      <c r="FG26" s="15"/>
      <c r="FH26" s="15"/>
      <c r="FI26" s="15"/>
      <c r="FJ26" s="15"/>
      <c r="FK26" s="15"/>
      <c r="FL26" s="15"/>
      <c r="FM26" s="15"/>
      <c r="FN26" s="15"/>
      <c r="FO26" s="15"/>
      <c r="FP26" s="15"/>
      <c r="FQ26" s="15"/>
      <c r="FR26" s="15"/>
      <c r="FS26" s="15"/>
      <c r="FT26" s="15"/>
      <c r="FU26" s="15"/>
      <c r="FV26" s="15"/>
      <c r="FW26" s="15"/>
      <c r="FX26" s="15"/>
      <c r="FY26" s="15"/>
      <c r="FZ26" s="15"/>
      <c r="GA26" s="15"/>
      <c r="GB26" s="15"/>
      <c r="GC26" s="15"/>
      <c r="GD26" s="15"/>
      <c r="GE26" s="15"/>
      <c r="GF26" s="15"/>
      <c r="GG26" s="15"/>
      <c r="GH26" s="15"/>
      <c r="GI26" s="15"/>
      <c r="GJ26" s="15"/>
      <c r="GK26" s="15"/>
      <c r="GL26" s="15"/>
      <c r="GM26" s="15"/>
      <c r="GN26" s="15"/>
      <c r="GO26" s="15"/>
      <c r="GP26" s="15"/>
      <c r="GQ26" s="15"/>
      <c r="GR26" s="15"/>
      <c r="GS26" s="15"/>
      <c r="GT26" s="15"/>
      <c r="GU26" s="15"/>
      <c r="GV26" s="15"/>
      <c r="GW26" s="15"/>
      <c r="GX26" s="15"/>
      <c r="GY26" s="15"/>
      <c r="GZ26" s="15"/>
      <c r="HA26" s="15"/>
      <c r="HB26" s="15"/>
      <c r="HC26" s="15"/>
      <c r="HD26" s="15"/>
      <c r="HE26" s="15"/>
      <c r="HF26" s="15"/>
      <c r="HG26" s="15"/>
      <c r="HH26" s="15"/>
      <c r="HI26" s="15"/>
      <c r="HJ26" s="15"/>
      <c r="HK26" s="15"/>
      <c r="HL26" s="15"/>
      <c r="HM26" s="15"/>
      <c r="HN26" s="15"/>
      <c r="HO26" s="15"/>
      <c r="HP26" s="15"/>
      <c r="HQ26" s="15"/>
      <c r="HR26" s="15"/>
      <c r="HS26" s="15"/>
      <c r="HT26" s="15"/>
      <c r="HU26" s="15"/>
      <c r="HV26" s="15"/>
      <c r="HW26" s="15"/>
    </row>
    <row r="27" spans="2:231" x14ac:dyDescent="0.15">
      <c r="B27" t="s">
        <v>263</v>
      </c>
      <c r="C27" t="s">
        <v>288</v>
      </c>
      <c r="D27">
        <v>54</v>
      </c>
      <c r="E27">
        <v>3</v>
      </c>
      <c r="F27">
        <v>3.2</v>
      </c>
      <c r="G27">
        <v>3.4</v>
      </c>
      <c r="H27">
        <v>100</v>
      </c>
      <c r="J27" s="67" t="s">
        <v>263</v>
      </c>
      <c r="K27" s="15">
        <v>20.924391196949223</v>
      </c>
      <c r="L27" s="15">
        <v>22.424961100110256</v>
      </c>
      <c r="M27" s="16">
        <v>20.924391196949223</v>
      </c>
      <c r="N27" s="15">
        <v>23.055759156432426</v>
      </c>
      <c r="O27" s="15">
        <v>20.924391196949223</v>
      </c>
      <c r="P27" s="15">
        <v>23.055759156432376</v>
      </c>
      <c r="Q27" s="15">
        <v>20.924391196949223</v>
      </c>
      <c r="R27" s="15">
        <v>23.055759156432398</v>
      </c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/>
      <c r="AL27" s="15"/>
      <c r="AM27" s="15"/>
      <c r="AN27" s="15"/>
      <c r="AO27" s="15"/>
      <c r="AP27" s="15"/>
      <c r="AQ27" s="15"/>
      <c r="AR27" s="15"/>
      <c r="AS27" s="15"/>
      <c r="AT27" s="15"/>
      <c r="AU27" s="16"/>
      <c r="AV27" s="16"/>
      <c r="AW27" s="16"/>
      <c r="AX27" s="16"/>
      <c r="AY27" s="16"/>
      <c r="AZ27" s="16"/>
      <c r="BA27" s="16"/>
      <c r="BB27" s="16"/>
      <c r="BC27" s="16"/>
      <c r="BD27" s="15"/>
      <c r="BE27" s="15"/>
      <c r="BF27" s="15"/>
      <c r="BG27" s="15"/>
      <c r="BH27" s="15"/>
      <c r="BI27" s="15"/>
      <c r="BJ27" s="15"/>
      <c r="BK27" s="15"/>
      <c r="BL27" s="15"/>
      <c r="BM27" s="15"/>
      <c r="BN27" s="15"/>
      <c r="BO27" s="15"/>
      <c r="BP27" s="15"/>
      <c r="BQ27" s="15"/>
      <c r="BR27" s="15"/>
      <c r="BS27" s="15"/>
      <c r="BT27" s="15"/>
      <c r="BU27" s="15"/>
      <c r="BV27" s="15"/>
      <c r="BW27" s="15"/>
      <c r="BX27" s="15"/>
      <c r="BY27" s="15"/>
      <c r="BZ27" s="15"/>
      <c r="CA27" s="15"/>
      <c r="CB27" s="15"/>
      <c r="CC27" s="15"/>
      <c r="CD27" s="15"/>
      <c r="CE27" s="15"/>
      <c r="CF27" s="15"/>
      <c r="CG27" s="15"/>
      <c r="CH27" s="15"/>
      <c r="CI27" s="15"/>
      <c r="CJ27" s="15"/>
      <c r="CK27" s="15"/>
      <c r="CL27" s="15"/>
      <c r="CM27" s="15"/>
      <c r="CN27" s="15"/>
      <c r="CO27" s="15"/>
      <c r="CP27" s="15"/>
      <c r="CQ27" s="15"/>
      <c r="CR27" s="15"/>
      <c r="CS27" s="15"/>
      <c r="CT27" s="15"/>
      <c r="CU27" s="15"/>
      <c r="CV27" s="15"/>
      <c r="CW27" s="15"/>
      <c r="CX27" s="15"/>
      <c r="CY27" s="15"/>
      <c r="CZ27" s="15"/>
      <c r="DA27" s="15"/>
      <c r="DB27" s="15"/>
      <c r="DC27" s="15"/>
      <c r="DD27" s="15"/>
      <c r="DE27" s="15"/>
      <c r="DF27" s="15"/>
      <c r="DG27" s="15"/>
      <c r="DH27" s="15"/>
      <c r="DI27" s="15"/>
      <c r="DJ27" s="15"/>
      <c r="DK27" s="15"/>
      <c r="DL27" s="15"/>
      <c r="DM27" s="15"/>
      <c r="DN27" s="15"/>
      <c r="DO27" s="15"/>
      <c r="DP27" s="15"/>
      <c r="DQ27" s="15"/>
      <c r="DR27" s="15"/>
      <c r="DS27" s="15"/>
      <c r="DT27" s="15"/>
      <c r="DU27" s="15"/>
      <c r="DV27" s="15"/>
      <c r="DW27" s="15"/>
      <c r="DX27" s="15"/>
      <c r="DY27" s="15"/>
      <c r="DZ27" s="15"/>
      <c r="EA27" s="15"/>
      <c r="EB27" s="15"/>
      <c r="EC27" s="15"/>
      <c r="ED27" s="15"/>
      <c r="EE27" s="15"/>
      <c r="EF27" s="15"/>
      <c r="EG27" s="15"/>
      <c r="EH27" s="15"/>
      <c r="EI27" s="15"/>
      <c r="EJ27" s="15"/>
      <c r="EK27" s="15"/>
      <c r="EL27" s="15"/>
      <c r="EM27" s="15"/>
      <c r="EN27" s="15"/>
      <c r="EO27" s="15"/>
      <c r="EP27" s="15"/>
      <c r="EQ27" s="15"/>
      <c r="ER27" s="15"/>
      <c r="ES27" s="15"/>
      <c r="ET27" s="15"/>
      <c r="EU27" s="15"/>
      <c r="EV27" s="15"/>
      <c r="EW27" s="15"/>
      <c r="EX27" s="15"/>
      <c r="EY27" s="15"/>
      <c r="EZ27" s="15"/>
      <c r="FA27" s="15"/>
      <c r="FB27" s="15"/>
      <c r="FC27" s="15"/>
      <c r="FD27" s="15"/>
      <c r="FE27" s="15"/>
      <c r="FF27" s="15"/>
      <c r="FG27" s="15"/>
      <c r="FH27" s="15"/>
      <c r="FI27" s="15"/>
      <c r="FJ27" s="15"/>
      <c r="FK27" s="15"/>
      <c r="FL27" s="15"/>
      <c r="FM27" s="15"/>
      <c r="FN27" s="15"/>
      <c r="FO27" s="15"/>
      <c r="FP27" s="15"/>
      <c r="FQ27" s="15"/>
      <c r="FR27" s="15"/>
      <c r="FS27" s="15"/>
      <c r="FT27" s="15"/>
      <c r="FU27" s="15"/>
      <c r="FV27" s="15"/>
      <c r="FW27" s="15"/>
      <c r="FX27" s="15"/>
      <c r="FY27" s="15"/>
      <c r="FZ27" s="15"/>
      <c r="GA27" s="15"/>
      <c r="GB27" s="15"/>
      <c r="GC27" s="15"/>
      <c r="GD27" s="15"/>
      <c r="GE27" s="15"/>
      <c r="GF27" s="15"/>
      <c r="GG27" s="15"/>
      <c r="GH27" s="15"/>
      <c r="GI27" s="15"/>
      <c r="GJ27" s="15"/>
      <c r="GK27" s="15"/>
      <c r="GL27" s="15"/>
      <c r="GM27" s="15"/>
      <c r="GN27" s="15"/>
      <c r="GO27" s="15"/>
      <c r="GP27" s="15"/>
      <c r="GQ27" s="15"/>
      <c r="GR27" s="15"/>
      <c r="GS27" s="15"/>
      <c r="GT27" s="15"/>
      <c r="GU27" s="15"/>
      <c r="GV27" s="15"/>
      <c r="GW27" s="15"/>
      <c r="GX27" s="15"/>
      <c r="GY27" s="15"/>
      <c r="GZ27" s="15"/>
      <c r="HA27" s="15"/>
      <c r="HB27" s="15"/>
      <c r="HC27" s="15"/>
      <c r="HD27" s="15"/>
      <c r="HE27" s="15"/>
      <c r="HF27" s="15"/>
      <c r="HG27" s="15"/>
      <c r="HH27" s="15"/>
      <c r="HI27" s="15"/>
      <c r="HJ27" s="15"/>
      <c r="HK27" s="15"/>
      <c r="HL27" s="15"/>
      <c r="HM27" s="15"/>
      <c r="HN27" s="15"/>
      <c r="HO27" s="15"/>
      <c r="HP27" s="15"/>
      <c r="HQ27" s="15"/>
      <c r="HR27" s="15"/>
      <c r="HS27" s="15"/>
      <c r="HT27" s="15"/>
      <c r="HU27" s="15"/>
      <c r="HV27" s="15"/>
      <c r="HW27" s="15"/>
    </row>
    <row r="28" spans="2:231" x14ac:dyDescent="0.15">
      <c r="B28" t="s">
        <v>264</v>
      </c>
      <c r="C28" t="s">
        <v>289</v>
      </c>
      <c r="D28">
        <v>103</v>
      </c>
      <c r="E28">
        <v>16.600000000000001</v>
      </c>
      <c r="F28">
        <v>3.3</v>
      </c>
      <c r="G28">
        <v>1.6</v>
      </c>
      <c r="H28">
        <v>59</v>
      </c>
      <c r="J28" s="67" t="s">
        <v>264</v>
      </c>
      <c r="K28" s="15">
        <v>25.476850144851198</v>
      </c>
      <c r="L28" s="15">
        <v>26.423118960191697</v>
      </c>
      <c r="M28" s="16">
        <v>25.476850144851198</v>
      </c>
      <c r="N28" s="15">
        <v>26.565084365958729</v>
      </c>
      <c r="O28" s="15">
        <v>25.476850144851198</v>
      </c>
      <c r="P28" s="15">
        <v>26.565084365958725</v>
      </c>
      <c r="Q28" s="15">
        <v>25.476850144851198</v>
      </c>
      <c r="R28" s="15">
        <v>26.565084365958715</v>
      </c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/>
      <c r="AL28" s="15"/>
      <c r="AM28" s="15"/>
      <c r="AN28" s="15"/>
      <c r="AO28" s="15"/>
      <c r="AP28" s="15"/>
      <c r="AQ28" s="15"/>
      <c r="AR28" s="15"/>
      <c r="AS28" s="15"/>
      <c r="AT28" s="15"/>
      <c r="AU28" s="16"/>
      <c r="AV28" s="16"/>
      <c r="AW28" s="16"/>
      <c r="AX28" s="16"/>
      <c r="AY28" s="16"/>
      <c r="AZ28" s="16"/>
      <c r="BA28" s="16"/>
      <c r="BB28" s="16"/>
      <c r="BC28" s="16"/>
      <c r="BD28" s="15"/>
      <c r="BE28" s="15"/>
      <c r="BF28" s="15"/>
      <c r="BG28" s="15"/>
      <c r="BH28" s="15"/>
      <c r="BI28" s="15"/>
      <c r="BJ28" s="15"/>
      <c r="BK28" s="15"/>
      <c r="BL28" s="15"/>
      <c r="BM28" s="15"/>
      <c r="BN28" s="15"/>
      <c r="BO28" s="15"/>
      <c r="BP28" s="15"/>
      <c r="BQ28" s="15"/>
      <c r="BR28" s="15"/>
      <c r="BS28" s="15"/>
      <c r="BT28" s="15"/>
      <c r="BU28" s="15"/>
      <c r="BV28" s="15"/>
      <c r="BW28" s="15"/>
      <c r="BX28" s="15"/>
      <c r="BY28" s="15"/>
      <c r="BZ28" s="15"/>
      <c r="CA28" s="15"/>
      <c r="CB28" s="15"/>
      <c r="CC28" s="15"/>
      <c r="CD28" s="15"/>
      <c r="CE28" s="15"/>
      <c r="CF28" s="15"/>
      <c r="CG28" s="15"/>
      <c r="CH28" s="15"/>
      <c r="CI28" s="15"/>
      <c r="CJ28" s="15"/>
      <c r="CK28" s="15"/>
      <c r="CL28" s="15"/>
      <c r="CM28" s="15"/>
      <c r="CN28" s="15"/>
      <c r="CO28" s="15"/>
      <c r="CP28" s="15"/>
      <c r="CQ28" s="15"/>
      <c r="CR28" s="15"/>
      <c r="CS28" s="15"/>
      <c r="CT28" s="15"/>
      <c r="CU28" s="15"/>
      <c r="CV28" s="15"/>
      <c r="CW28" s="15"/>
      <c r="CX28" s="15"/>
      <c r="CY28" s="15"/>
      <c r="CZ28" s="15"/>
      <c r="DA28" s="15"/>
      <c r="DB28" s="15"/>
      <c r="DC28" s="15"/>
      <c r="DD28" s="15"/>
      <c r="DE28" s="15"/>
      <c r="DF28" s="15"/>
      <c r="DG28" s="15"/>
      <c r="DH28" s="15"/>
      <c r="DI28" s="15"/>
      <c r="DJ28" s="15"/>
      <c r="DK28" s="15"/>
      <c r="DL28" s="15"/>
      <c r="DM28" s="15"/>
      <c r="DN28" s="15"/>
      <c r="DO28" s="15"/>
      <c r="DP28" s="15"/>
      <c r="DQ28" s="15"/>
      <c r="DR28" s="15"/>
      <c r="DS28" s="15"/>
      <c r="DT28" s="15"/>
      <c r="DU28" s="15"/>
      <c r="DV28" s="15"/>
      <c r="DW28" s="15"/>
      <c r="DX28" s="15"/>
      <c r="DY28" s="15"/>
      <c r="DZ28" s="15"/>
      <c r="EA28" s="15"/>
      <c r="EB28" s="15"/>
      <c r="EC28" s="15"/>
      <c r="ED28" s="15"/>
      <c r="EE28" s="15"/>
      <c r="EF28" s="15"/>
      <c r="EG28" s="15"/>
      <c r="EH28" s="15"/>
      <c r="EI28" s="15"/>
      <c r="EJ28" s="15"/>
      <c r="EK28" s="15"/>
      <c r="EL28" s="15"/>
      <c r="EM28" s="15"/>
      <c r="EN28" s="15"/>
      <c r="EO28" s="15"/>
      <c r="EP28" s="15"/>
      <c r="EQ28" s="15"/>
      <c r="ER28" s="15"/>
      <c r="ES28" s="15"/>
      <c r="ET28" s="15"/>
      <c r="EU28" s="15"/>
      <c r="EV28" s="15"/>
      <c r="EW28" s="15"/>
      <c r="EX28" s="15"/>
      <c r="EY28" s="15"/>
      <c r="EZ28" s="15"/>
      <c r="FA28" s="15"/>
      <c r="FB28" s="15"/>
      <c r="FC28" s="15"/>
      <c r="FD28" s="15"/>
      <c r="FE28" s="15"/>
      <c r="FF28" s="15"/>
      <c r="FG28" s="15"/>
      <c r="FH28" s="15"/>
      <c r="FI28" s="15"/>
      <c r="FJ28" s="15"/>
      <c r="FK28" s="15"/>
      <c r="FL28" s="15"/>
      <c r="FM28" s="15"/>
      <c r="FN28" s="15"/>
      <c r="FO28" s="15"/>
      <c r="FP28" s="15"/>
      <c r="FQ28" s="15"/>
      <c r="FR28" s="15"/>
      <c r="FS28" s="15"/>
      <c r="FT28" s="15"/>
      <c r="FU28" s="15"/>
      <c r="FV28" s="15"/>
      <c r="FW28" s="15"/>
      <c r="FX28" s="15"/>
      <c r="FY28" s="15"/>
      <c r="FZ28" s="15"/>
      <c r="GA28" s="15"/>
      <c r="GB28" s="15"/>
      <c r="GC28" s="15"/>
      <c r="GD28" s="15"/>
      <c r="GE28" s="15"/>
      <c r="GF28" s="15"/>
      <c r="GG28" s="15"/>
      <c r="GH28" s="15"/>
      <c r="GI28" s="15"/>
      <c r="GJ28" s="15"/>
      <c r="GK28" s="15"/>
      <c r="GL28" s="15"/>
      <c r="GM28" s="15"/>
      <c r="GN28" s="15"/>
      <c r="GO28" s="15"/>
      <c r="GP28" s="15"/>
      <c r="GQ28" s="15"/>
      <c r="GR28" s="15"/>
      <c r="GS28" s="15"/>
      <c r="GT28" s="15"/>
      <c r="GU28" s="15"/>
      <c r="GV28" s="15"/>
      <c r="GW28" s="15"/>
      <c r="GX28" s="15"/>
      <c r="GY28" s="15"/>
      <c r="GZ28" s="15"/>
      <c r="HA28" s="15"/>
      <c r="HB28" s="15"/>
      <c r="HC28" s="15"/>
      <c r="HD28" s="15"/>
      <c r="HE28" s="15"/>
      <c r="HF28" s="15"/>
      <c r="HG28" s="15"/>
      <c r="HH28" s="15"/>
      <c r="HI28" s="15"/>
      <c r="HJ28" s="15"/>
      <c r="HK28" s="15"/>
      <c r="HL28" s="15"/>
      <c r="HM28" s="15"/>
      <c r="HN28" s="15"/>
      <c r="HO28" s="15"/>
      <c r="HP28" s="15"/>
      <c r="HQ28" s="15"/>
      <c r="HR28" s="15"/>
      <c r="HS28" s="15"/>
      <c r="HT28" s="15"/>
      <c r="HU28" s="15"/>
      <c r="HV28" s="15"/>
      <c r="HW28" s="15"/>
    </row>
    <row r="29" spans="2:231" x14ac:dyDescent="0.15">
      <c r="J29" s="67" t="s">
        <v>265</v>
      </c>
      <c r="K29" s="15">
        <v>0.88422499130998855</v>
      </c>
      <c r="L29" s="15">
        <v>0.87487616021632053</v>
      </c>
      <c r="M29" s="16">
        <v>0.88422499130998855</v>
      </c>
      <c r="N29" s="15">
        <v>0.8737229466228692</v>
      </c>
      <c r="O29" s="15">
        <v>0.88422499130998855</v>
      </c>
      <c r="P29" s="15">
        <v>0.87372294662286998</v>
      </c>
      <c r="Q29" s="15">
        <v>0.88422499130998855</v>
      </c>
      <c r="R29" s="15">
        <v>0.8737229466228702</v>
      </c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5"/>
      <c r="AM29" s="15"/>
      <c r="AN29" s="15"/>
      <c r="AO29" s="15"/>
      <c r="AP29" s="15"/>
      <c r="AQ29" s="15"/>
      <c r="AR29" s="15"/>
      <c r="AS29" s="15"/>
      <c r="AT29" s="15"/>
      <c r="AU29" s="16"/>
      <c r="AV29" s="16"/>
      <c r="AW29" s="16"/>
      <c r="AX29" s="16"/>
      <c r="AY29" s="16"/>
      <c r="AZ29" s="16"/>
      <c r="BA29" s="16"/>
      <c r="BB29" s="16"/>
      <c r="BC29" s="16"/>
      <c r="BD29" s="15"/>
      <c r="BE29" s="15"/>
      <c r="BF29" s="15"/>
      <c r="BG29" s="15"/>
      <c r="BH29" s="15"/>
      <c r="BI29" s="15"/>
      <c r="BJ29" s="15"/>
      <c r="BK29" s="15"/>
      <c r="BL29" s="15"/>
      <c r="BM29" s="15"/>
      <c r="BN29" s="15"/>
      <c r="BO29" s="15"/>
      <c r="BP29" s="15"/>
      <c r="BQ29" s="15"/>
      <c r="BR29" s="15"/>
      <c r="BS29" s="15"/>
      <c r="BT29" s="15"/>
      <c r="BU29" s="15"/>
      <c r="BV29" s="15"/>
      <c r="BW29" s="15"/>
      <c r="BX29" s="15"/>
      <c r="BY29" s="15"/>
      <c r="BZ29" s="15"/>
      <c r="CA29" s="15"/>
      <c r="CB29" s="15"/>
      <c r="CC29" s="15"/>
      <c r="CD29" s="15"/>
      <c r="CE29" s="15"/>
      <c r="CF29" s="15"/>
      <c r="CG29" s="15"/>
      <c r="CH29" s="15"/>
      <c r="CI29" s="15"/>
      <c r="CJ29" s="15"/>
      <c r="CK29" s="15"/>
      <c r="CL29" s="15"/>
      <c r="CM29" s="15"/>
      <c r="CN29" s="15"/>
      <c r="CO29" s="15"/>
      <c r="CP29" s="15"/>
      <c r="CQ29" s="15"/>
      <c r="CR29" s="15"/>
      <c r="CS29" s="15"/>
      <c r="CT29" s="15"/>
      <c r="CU29" s="15"/>
      <c r="CV29" s="15"/>
      <c r="CW29" s="15"/>
      <c r="CX29" s="15"/>
      <c r="CY29" s="15"/>
      <c r="CZ29" s="15"/>
      <c r="DA29" s="15"/>
      <c r="DB29" s="15"/>
      <c r="DC29" s="15"/>
      <c r="DD29" s="15"/>
      <c r="DE29" s="15"/>
      <c r="DF29" s="15"/>
      <c r="DG29" s="15"/>
      <c r="DH29" s="15"/>
      <c r="DI29" s="15"/>
      <c r="DJ29" s="15"/>
      <c r="DK29" s="15"/>
      <c r="DL29" s="15"/>
      <c r="DM29" s="15"/>
      <c r="DN29" s="15"/>
      <c r="DO29" s="15"/>
      <c r="DP29" s="15"/>
      <c r="DQ29" s="15"/>
      <c r="DR29" s="15"/>
      <c r="DS29" s="15"/>
      <c r="DT29" s="15"/>
      <c r="DU29" s="15"/>
      <c r="DV29" s="15"/>
      <c r="DW29" s="15"/>
      <c r="DX29" s="15"/>
      <c r="DY29" s="15"/>
      <c r="DZ29" s="15"/>
      <c r="EA29" s="15"/>
      <c r="EB29" s="15"/>
      <c r="EC29" s="15"/>
      <c r="ED29" s="15"/>
      <c r="EE29" s="15"/>
      <c r="EF29" s="15"/>
      <c r="EG29" s="15"/>
      <c r="EH29" s="15"/>
      <c r="EI29" s="15"/>
      <c r="EJ29" s="15"/>
      <c r="EK29" s="15"/>
      <c r="EL29" s="15"/>
      <c r="EM29" s="15"/>
      <c r="EN29" s="15"/>
      <c r="EO29" s="15"/>
      <c r="EP29" s="15"/>
      <c r="EQ29" s="15"/>
      <c r="ER29" s="15"/>
      <c r="ES29" s="15"/>
      <c r="ET29" s="15"/>
      <c r="EU29" s="15"/>
      <c r="EV29" s="15"/>
      <c r="EW29" s="15"/>
      <c r="EX29" s="15"/>
      <c r="EY29" s="15"/>
      <c r="EZ29" s="15"/>
      <c r="FA29" s="15"/>
      <c r="FB29" s="15"/>
      <c r="FC29" s="15"/>
      <c r="FD29" s="15"/>
      <c r="FE29" s="15"/>
      <c r="FF29" s="15"/>
      <c r="FG29" s="15"/>
      <c r="FH29" s="15"/>
      <c r="FI29" s="15"/>
      <c r="FJ29" s="15"/>
      <c r="FK29" s="15"/>
      <c r="FL29" s="15"/>
      <c r="FM29" s="15"/>
      <c r="FN29" s="15"/>
      <c r="FO29" s="15"/>
      <c r="FP29" s="15"/>
      <c r="FQ29" s="15"/>
      <c r="FR29" s="15"/>
      <c r="FS29" s="15"/>
      <c r="FT29" s="15"/>
      <c r="FU29" s="15"/>
      <c r="FV29" s="15"/>
      <c r="FW29" s="15"/>
      <c r="FX29" s="15"/>
      <c r="FY29" s="15"/>
      <c r="FZ29" s="15"/>
      <c r="GA29" s="15"/>
      <c r="GB29" s="15"/>
      <c r="GC29" s="15"/>
      <c r="GD29" s="15"/>
      <c r="GE29" s="15"/>
      <c r="GF29" s="15"/>
      <c r="GG29" s="15"/>
      <c r="GH29" s="15"/>
      <c r="GI29" s="15"/>
      <c r="GJ29" s="15"/>
      <c r="GK29" s="15"/>
      <c r="GL29" s="15"/>
      <c r="GM29" s="15"/>
      <c r="GN29" s="15"/>
      <c r="GO29" s="15"/>
      <c r="GP29" s="15"/>
      <c r="GQ29" s="15"/>
      <c r="GR29" s="15"/>
      <c r="GS29" s="15"/>
      <c r="GT29" s="15"/>
      <c r="GU29" s="15"/>
      <c r="GV29" s="15"/>
      <c r="GW29" s="15"/>
      <c r="GX29" s="15"/>
      <c r="GY29" s="15"/>
      <c r="GZ29" s="15"/>
      <c r="HA29" s="15"/>
      <c r="HB29" s="15"/>
      <c r="HC29" s="15"/>
      <c r="HD29" s="15"/>
      <c r="HE29" s="15"/>
      <c r="HF29" s="15"/>
      <c r="HG29" s="15"/>
      <c r="HH29" s="15"/>
      <c r="HI29" s="15"/>
      <c r="HJ29" s="15"/>
      <c r="HK29" s="15"/>
      <c r="HL29" s="15"/>
      <c r="HM29" s="15"/>
      <c r="HN29" s="15"/>
      <c r="HO29" s="15"/>
      <c r="HP29" s="15"/>
      <c r="HQ29" s="15"/>
      <c r="HR29" s="15"/>
      <c r="HS29" s="15"/>
      <c r="HT29" s="15"/>
      <c r="HU29" s="15"/>
      <c r="HV29" s="15"/>
      <c r="HW29" s="15"/>
    </row>
    <row r="30" spans="2:231" x14ac:dyDescent="0.15">
      <c r="B30" s="17"/>
      <c r="C30" s="17" t="s">
        <v>290</v>
      </c>
      <c r="D30" s="17" t="s">
        <v>291</v>
      </c>
      <c r="E30" s="17" t="s">
        <v>292</v>
      </c>
    </row>
    <row r="31" spans="2:231" x14ac:dyDescent="0.15">
      <c r="B31" s="17" t="s">
        <v>293</v>
      </c>
      <c r="C31" s="17">
        <v>25</v>
      </c>
      <c r="D31" s="17">
        <v>30</v>
      </c>
      <c r="E31" s="17">
        <f t="shared" ref="E31:E40" si="3">(C31+D31)/2</f>
        <v>27.5</v>
      </c>
      <c r="F31">
        <f>(M14+M17+M15)/(29736/37843)</f>
        <v>39.710511090559116</v>
      </c>
      <c r="I31" t="s">
        <v>294</v>
      </c>
    </row>
    <row r="32" spans="2:231" x14ac:dyDescent="0.15">
      <c r="B32" s="17" t="s">
        <v>295</v>
      </c>
      <c r="C32" s="17">
        <v>300</v>
      </c>
      <c r="D32" s="17">
        <v>500</v>
      </c>
      <c r="E32" s="17">
        <f t="shared" si="3"/>
        <v>400</v>
      </c>
      <c r="F32">
        <f>M27</f>
        <v>20.924391196949223</v>
      </c>
      <c r="J32" s="17"/>
      <c r="M32"/>
    </row>
    <row r="33" spans="2:13" x14ac:dyDescent="0.15">
      <c r="B33" s="17" t="s">
        <v>296</v>
      </c>
      <c r="C33" s="17">
        <v>25</v>
      </c>
      <c r="D33" s="17">
        <v>35</v>
      </c>
      <c r="E33" s="17">
        <f t="shared" si="3"/>
        <v>30</v>
      </c>
      <c r="F33">
        <f>M13</f>
        <v>0.2733310081216323</v>
      </c>
      <c r="M33"/>
    </row>
    <row r="34" spans="2:13" x14ac:dyDescent="0.15">
      <c r="B34" s="17" t="s">
        <v>70</v>
      </c>
      <c r="C34" s="17">
        <v>40</v>
      </c>
      <c r="D34" s="17">
        <v>75</v>
      </c>
      <c r="E34" s="17">
        <f t="shared" si="3"/>
        <v>57.5</v>
      </c>
      <c r="F34">
        <f>M22+M23+M24+M25</f>
        <v>61.712168618801471</v>
      </c>
    </row>
    <row r="35" spans="2:13" x14ac:dyDescent="0.15">
      <c r="B35" s="17" t="s">
        <v>289</v>
      </c>
      <c r="C35" s="17">
        <v>40</v>
      </c>
      <c r="D35" s="17">
        <v>75</v>
      </c>
      <c r="E35" s="17">
        <f t="shared" si="3"/>
        <v>57.5</v>
      </c>
      <c r="F35">
        <f>M28</f>
        <v>25.476850144851198</v>
      </c>
    </row>
    <row r="36" spans="2:13" x14ac:dyDescent="0.15">
      <c r="B36" s="17" t="s">
        <v>297</v>
      </c>
      <c r="C36" s="17">
        <v>40</v>
      </c>
      <c r="D36" s="17">
        <v>50</v>
      </c>
      <c r="E36" s="17">
        <f t="shared" si="3"/>
        <v>45</v>
      </c>
      <c r="F36">
        <f>M26</f>
        <v>16.379930101289069</v>
      </c>
    </row>
    <row r="37" spans="2:13" x14ac:dyDescent="0.15">
      <c r="B37" s="17" t="s">
        <v>298</v>
      </c>
      <c r="C37" s="17">
        <v>300</v>
      </c>
      <c r="D37" s="17">
        <v>500</v>
      </c>
      <c r="E37" s="17">
        <f t="shared" si="3"/>
        <v>400</v>
      </c>
      <c r="F37">
        <f>M21</f>
        <v>133.57775200668095</v>
      </c>
    </row>
    <row r="38" spans="2:13" x14ac:dyDescent="0.15">
      <c r="B38" s="17" t="s">
        <v>299</v>
      </c>
      <c r="C38" s="17">
        <v>200</v>
      </c>
      <c r="D38" s="17">
        <v>350</v>
      </c>
      <c r="E38" s="17">
        <f t="shared" si="3"/>
        <v>275</v>
      </c>
      <c r="F38">
        <f>M20</f>
        <v>134.30574635736605</v>
      </c>
    </row>
    <row r="39" spans="2:13" x14ac:dyDescent="0.15">
      <c r="B39" s="17" t="s">
        <v>300</v>
      </c>
      <c r="C39" s="17">
        <v>200</v>
      </c>
      <c r="D39" s="17">
        <v>300</v>
      </c>
      <c r="E39" s="17">
        <f t="shared" si="3"/>
        <v>250</v>
      </c>
      <c r="F39">
        <f>M8+M9+M10+M12</f>
        <v>190.19282648463582</v>
      </c>
    </row>
    <row r="40" spans="2:13" x14ac:dyDescent="0.15">
      <c r="B40" s="17" t="s">
        <v>301</v>
      </c>
      <c r="C40" s="17">
        <v>50</v>
      </c>
      <c r="D40" s="17">
        <v>100</v>
      </c>
      <c r="E40" s="17">
        <f t="shared" si="3"/>
        <v>75</v>
      </c>
      <c r="F40">
        <f>M11</f>
        <v>44.785285680729451</v>
      </c>
    </row>
    <row r="55" spans="9:9" x14ac:dyDescent="0.15">
      <c r="I55" t="s">
        <v>302</v>
      </c>
    </row>
    <row r="69" spans="7:9" x14ac:dyDescent="0.15">
      <c r="G69" t="s">
        <v>71</v>
      </c>
      <c r="H69">
        <f>SUM(M56:M61)</f>
        <v>0</v>
      </c>
      <c r="I69" s="18" t="e">
        <f t="shared" ref="I69:I74" si="4">H69/$M$77</f>
        <v>#DIV/0!</v>
      </c>
    </row>
    <row r="70" spans="7:9" x14ac:dyDescent="0.15">
      <c r="G70" t="s">
        <v>303</v>
      </c>
      <c r="H70">
        <f>M66</f>
        <v>0</v>
      </c>
      <c r="I70" s="18" t="e">
        <f t="shared" si="4"/>
        <v>#DIV/0!</v>
      </c>
    </row>
    <row r="71" spans="7:9" x14ac:dyDescent="0.15">
      <c r="G71" t="s">
        <v>304</v>
      </c>
      <c r="H71">
        <f>M68+M69</f>
        <v>0</v>
      </c>
      <c r="I71" s="18" t="e">
        <f t="shared" si="4"/>
        <v>#DIV/0!</v>
      </c>
    </row>
    <row r="72" spans="7:9" x14ac:dyDescent="0.15">
      <c r="G72" t="s">
        <v>305</v>
      </c>
      <c r="H72">
        <f>M62+M63+M65</f>
        <v>0</v>
      </c>
      <c r="I72" s="18" t="e">
        <f t="shared" si="4"/>
        <v>#DIV/0!</v>
      </c>
    </row>
    <row r="73" spans="7:9" x14ac:dyDescent="0.15">
      <c r="G73" t="s">
        <v>306</v>
      </c>
      <c r="H73">
        <f>(M70+M71+M72+M73+M76)</f>
        <v>0</v>
      </c>
      <c r="I73" s="18" t="e">
        <f t="shared" si="4"/>
        <v>#DIV/0!</v>
      </c>
    </row>
    <row r="74" spans="7:9" x14ac:dyDescent="0.15">
      <c r="G74" t="s">
        <v>307</v>
      </c>
      <c r="H74">
        <f>M74+M75</f>
        <v>0</v>
      </c>
      <c r="I74" s="18" t="e">
        <f t="shared" si="4"/>
        <v>#DIV/0!</v>
      </c>
    </row>
    <row r="79" spans="7:9" x14ac:dyDescent="0.15">
      <c r="I79" t="s">
        <v>308</v>
      </c>
    </row>
    <row r="103" spans="9:9" x14ac:dyDescent="0.15">
      <c r="I103" t="s">
        <v>309</v>
      </c>
    </row>
    <row r="120" spans="8:9" x14ac:dyDescent="0.15">
      <c r="H120" t="s">
        <v>310</v>
      </c>
      <c r="I120" s="18" t="e">
        <f>(M104+M105+M106+M108+M109+M116+M117)/M125*9</f>
        <v>#DIV/0!</v>
      </c>
    </row>
    <row r="121" spans="8:9" x14ac:dyDescent="0.15">
      <c r="H121" t="s">
        <v>311</v>
      </c>
      <c r="I121" s="18" t="e">
        <f>(M110+M113+M111)/M125*9</f>
        <v>#DIV/0!</v>
      </c>
    </row>
    <row r="122" spans="8:9" x14ac:dyDescent="0.15">
      <c r="H122" t="s">
        <v>312</v>
      </c>
      <c r="I122" s="18" t="e">
        <f>SUM(M118:M124)/M125*9</f>
        <v>#DIV/0!</v>
      </c>
    </row>
    <row r="123" spans="8:9" x14ac:dyDescent="0.15">
      <c r="I123" s="18"/>
    </row>
    <row r="127" spans="8:9" x14ac:dyDescent="0.15">
      <c r="I127" t="s">
        <v>313</v>
      </c>
    </row>
    <row r="151" spans="9:10" x14ac:dyDescent="0.15">
      <c r="I151" t="s">
        <v>314</v>
      </c>
      <c r="J151" s="19"/>
    </row>
    <row r="152" spans="9:10" x14ac:dyDescent="0.15">
      <c r="J152" s="19"/>
    </row>
    <row r="153" spans="9:10" x14ac:dyDescent="0.15">
      <c r="J153" s="19"/>
    </row>
  </sheetData>
  <phoneticPr fontId="14" type="noConversion"/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dimension ref="H6:CP18"/>
  <sheetViews>
    <sheetView topLeftCell="F1" workbookViewId="0">
      <selection activeCell="L23" sqref="L23"/>
    </sheetView>
  </sheetViews>
  <sheetFormatPr defaultColWidth="9" defaultRowHeight="13.5" x14ac:dyDescent="0.15"/>
  <cols>
    <col min="8" max="8" width="13.75"/>
    <col min="13" max="24" width="9" customWidth="1"/>
  </cols>
  <sheetData>
    <row r="6" spans="8:94" x14ac:dyDescent="0.15">
      <c r="K6" s="67" t="s">
        <v>73</v>
      </c>
      <c r="L6" s="67" t="s">
        <v>73</v>
      </c>
      <c r="M6" s="67" t="s">
        <v>315</v>
      </c>
      <c r="N6" s="67" t="s">
        <v>315</v>
      </c>
      <c r="O6" s="67" t="s">
        <v>316</v>
      </c>
      <c r="P6" s="67" t="s">
        <v>316</v>
      </c>
      <c r="Q6" s="67" t="s">
        <v>317</v>
      </c>
      <c r="R6" s="67" t="s">
        <v>317</v>
      </c>
      <c r="S6" s="67"/>
      <c r="T6" s="67"/>
      <c r="U6" s="67"/>
      <c r="V6" s="67"/>
      <c r="W6" s="67"/>
      <c r="X6" s="67"/>
      <c r="Y6" s="67"/>
      <c r="Z6" s="67"/>
      <c r="AA6" s="67"/>
      <c r="AB6" s="67"/>
      <c r="AC6" s="67"/>
      <c r="AD6" s="67"/>
      <c r="AE6" s="67"/>
      <c r="AF6" s="67"/>
      <c r="AG6" s="67"/>
      <c r="AH6" s="67"/>
      <c r="AI6" s="67"/>
      <c r="AJ6" s="67"/>
      <c r="AK6" s="67"/>
      <c r="AL6" s="67"/>
      <c r="AM6" s="67"/>
      <c r="AN6" s="67"/>
      <c r="AO6" s="67"/>
      <c r="AP6" s="67"/>
      <c r="AQ6" s="67"/>
      <c r="AR6" s="67"/>
      <c r="AS6" s="67"/>
      <c r="AT6" s="67"/>
      <c r="AU6" s="67"/>
      <c r="AV6" s="67"/>
      <c r="AW6" s="67"/>
      <c r="AX6" s="67"/>
      <c r="AY6" s="67"/>
      <c r="AZ6" s="67"/>
      <c r="BA6" s="67"/>
      <c r="BB6" s="67"/>
      <c r="BC6" s="67"/>
      <c r="BD6" s="67"/>
      <c r="BE6" s="67"/>
      <c r="BF6" s="67"/>
      <c r="BG6" s="67"/>
      <c r="BH6" s="67"/>
      <c r="BI6" s="67"/>
      <c r="BJ6" s="67"/>
      <c r="BK6" s="67"/>
      <c r="BL6" s="67"/>
      <c r="BM6" s="67"/>
      <c r="BN6" s="67"/>
      <c r="BO6" s="67"/>
      <c r="BP6" s="67"/>
      <c r="BQ6" s="67"/>
      <c r="BR6" s="67"/>
      <c r="BS6" s="67"/>
      <c r="BT6" s="67"/>
      <c r="BU6" s="67"/>
      <c r="BV6" s="67"/>
      <c r="BW6" s="67"/>
      <c r="BX6" s="67"/>
      <c r="BY6" s="67"/>
      <c r="BZ6" s="67"/>
      <c r="CA6" s="67"/>
      <c r="CB6" s="67"/>
      <c r="CC6" s="67"/>
      <c r="CD6" s="67"/>
      <c r="CE6" s="67"/>
      <c r="CF6" s="67"/>
      <c r="CG6" s="67"/>
      <c r="CH6" s="67"/>
      <c r="CI6" s="67"/>
      <c r="CJ6" s="67"/>
      <c r="CK6" s="67"/>
      <c r="CL6" s="67"/>
      <c r="CM6" s="67"/>
      <c r="CN6" s="67"/>
      <c r="CO6" s="67"/>
      <c r="CP6" s="67"/>
    </row>
    <row r="7" spans="8:94" x14ac:dyDescent="0.15">
      <c r="K7" s="67" t="s">
        <v>76</v>
      </c>
      <c r="L7" s="67" t="s">
        <v>77</v>
      </c>
      <c r="M7" s="67" t="s">
        <v>76</v>
      </c>
      <c r="N7" s="67" t="s">
        <v>77</v>
      </c>
      <c r="O7" s="67" t="s">
        <v>76</v>
      </c>
      <c r="P7" s="67" t="s">
        <v>77</v>
      </c>
      <c r="Q7" s="67" t="s">
        <v>76</v>
      </c>
      <c r="R7" s="67" t="s">
        <v>77</v>
      </c>
      <c r="S7" s="67"/>
      <c r="T7" s="67"/>
      <c r="U7" s="67"/>
      <c r="V7" s="67"/>
      <c r="W7" s="67"/>
      <c r="X7" s="67"/>
      <c r="Y7" s="67"/>
      <c r="Z7" s="67"/>
      <c r="AA7" s="67"/>
      <c r="AB7" s="67"/>
      <c r="AC7" s="67"/>
      <c r="AD7" s="67"/>
      <c r="AE7" s="67"/>
      <c r="AF7" s="67"/>
      <c r="AG7" s="67"/>
      <c r="AH7" s="67"/>
      <c r="AI7" s="67"/>
      <c r="AJ7" s="67"/>
      <c r="AK7" s="67"/>
      <c r="AL7" s="67"/>
      <c r="AM7" s="67"/>
      <c r="AN7" s="67"/>
      <c r="AO7" s="67"/>
      <c r="AP7" s="67"/>
      <c r="AQ7" s="67"/>
      <c r="AR7" s="67"/>
      <c r="AS7" s="67"/>
      <c r="AT7" s="67"/>
      <c r="AU7" s="67"/>
      <c r="AV7" s="67"/>
      <c r="AW7" s="67"/>
      <c r="AX7" s="67"/>
      <c r="AY7" s="67"/>
      <c r="AZ7" s="67"/>
      <c r="BA7" s="67"/>
      <c r="BB7" s="67"/>
      <c r="BC7" s="67"/>
      <c r="BD7" s="67"/>
      <c r="BE7" s="67"/>
      <c r="BF7" s="67"/>
      <c r="BG7" s="67"/>
      <c r="BH7" s="67"/>
      <c r="BI7" s="67"/>
      <c r="BJ7" s="67"/>
      <c r="BK7" s="67"/>
      <c r="BL7" s="67"/>
      <c r="BM7" s="67"/>
      <c r="BN7" s="67"/>
      <c r="BO7" s="67"/>
      <c r="BP7" s="67"/>
      <c r="BQ7" s="67"/>
      <c r="BR7" s="67"/>
      <c r="BS7" s="67"/>
      <c r="BT7" s="67"/>
      <c r="BU7" s="67"/>
      <c r="BV7" s="67"/>
      <c r="BW7" s="67"/>
      <c r="BX7" s="67"/>
      <c r="BY7" s="67"/>
      <c r="BZ7" s="67"/>
      <c r="CA7" s="67"/>
      <c r="CB7" s="67"/>
      <c r="CC7" s="67"/>
      <c r="CD7" s="67"/>
      <c r="CE7" s="67"/>
      <c r="CF7" s="67"/>
      <c r="CG7" s="67"/>
      <c r="CH7" s="67"/>
      <c r="CI7" s="67"/>
      <c r="CJ7" s="67"/>
      <c r="CK7" s="67"/>
      <c r="CL7" s="67"/>
      <c r="CM7" s="67"/>
      <c r="CN7" s="67"/>
      <c r="CO7" s="67"/>
      <c r="CP7" s="67"/>
    </row>
    <row r="8" spans="8:94" x14ac:dyDescent="0.15">
      <c r="H8" s="14">
        <f>N8/L8-1</f>
        <v>-1.5307835630319344E-3</v>
      </c>
      <c r="J8" s="67" t="s">
        <v>237</v>
      </c>
      <c r="K8">
        <v>863.84</v>
      </c>
      <c r="L8">
        <v>853.72939743284746</v>
      </c>
      <c r="M8">
        <v>863.84</v>
      </c>
      <c r="N8">
        <v>852.42252250398008</v>
      </c>
      <c r="O8">
        <v>863.84</v>
      </c>
      <c r="P8">
        <v>852.42252250399122</v>
      </c>
      <c r="Q8">
        <v>863.84</v>
      </c>
      <c r="R8">
        <v>852.42252250398383</v>
      </c>
    </row>
    <row r="9" spans="8:94" x14ac:dyDescent="0.15">
      <c r="H9" s="14">
        <f t="shared" ref="H9:H17" si="0">N9/L9-1</f>
        <v>-1.4830397283106533E-3</v>
      </c>
      <c r="J9" s="67" t="s">
        <v>238</v>
      </c>
      <c r="K9">
        <v>2040</v>
      </c>
      <c r="L9">
        <v>2017.3326809999353</v>
      </c>
      <c r="M9">
        <v>2040</v>
      </c>
      <c r="N9">
        <v>2014.3408964887929</v>
      </c>
      <c r="O9">
        <v>2040</v>
      </c>
      <c r="P9">
        <v>2014.3408964887915</v>
      </c>
      <c r="Q9">
        <v>2040</v>
      </c>
      <c r="R9">
        <v>2014.3408964887922</v>
      </c>
    </row>
    <row r="10" spans="8:94" x14ac:dyDescent="0.15">
      <c r="H10" s="14">
        <f t="shared" si="0"/>
        <v>-1.4939477439772642E-3</v>
      </c>
      <c r="J10" s="67" t="s">
        <v>239</v>
      </c>
      <c r="K10">
        <v>19500</v>
      </c>
      <c r="L10">
        <v>19669.747575797239</v>
      </c>
      <c r="M10">
        <v>19500</v>
      </c>
      <c r="N10">
        <v>19640.362000781774</v>
      </c>
      <c r="O10">
        <v>19500</v>
      </c>
      <c r="P10">
        <v>19640.362000781763</v>
      </c>
      <c r="Q10">
        <v>19500</v>
      </c>
      <c r="R10">
        <v>19640.362000781766</v>
      </c>
    </row>
    <row r="11" spans="8:94" x14ac:dyDescent="0.15">
      <c r="H11" s="14">
        <f t="shared" si="0"/>
        <v>-1.4932158440025267E-3</v>
      </c>
      <c r="J11" s="67" t="s">
        <v>240</v>
      </c>
      <c r="K11">
        <v>589.86</v>
      </c>
      <c r="L11">
        <v>593.89175966978792</v>
      </c>
      <c r="M11">
        <v>589.86</v>
      </c>
      <c r="N11">
        <v>593.00495108462644</v>
      </c>
      <c r="O11">
        <v>589.86</v>
      </c>
      <c r="P11">
        <v>593.0049510846261</v>
      </c>
      <c r="Q11">
        <v>589.86</v>
      </c>
      <c r="R11">
        <v>593.00495108462621</v>
      </c>
    </row>
    <row r="12" spans="8:94" x14ac:dyDescent="0.15">
      <c r="H12" s="14">
        <f t="shared" si="0"/>
        <v>-1.4932158439966425E-3</v>
      </c>
      <c r="J12" s="67" t="s">
        <v>241</v>
      </c>
      <c r="K12">
        <v>320</v>
      </c>
      <c r="L12">
        <v>322.18723611421507</v>
      </c>
      <c r="M12">
        <v>320</v>
      </c>
      <c r="N12">
        <v>321.70614102851584</v>
      </c>
      <c r="O12">
        <v>320</v>
      </c>
      <c r="P12">
        <v>321.70614102851584</v>
      </c>
      <c r="Q12">
        <v>320</v>
      </c>
      <c r="R12">
        <v>321.70614102851596</v>
      </c>
    </row>
    <row r="13" spans="8:94" x14ac:dyDescent="0.15">
      <c r="H13" s="14">
        <f t="shared" si="0"/>
        <v>-1.4932158440024157E-3</v>
      </c>
      <c r="J13" s="67" t="s">
        <v>242</v>
      </c>
      <c r="K13">
        <v>430</v>
      </c>
      <c r="L13">
        <v>432.93909852847929</v>
      </c>
      <c r="M13">
        <v>430</v>
      </c>
      <c r="N13">
        <v>432.29262700706846</v>
      </c>
      <c r="O13">
        <v>430</v>
      </c>
      <c r="P13">
        <v>432.29262700706818</v>
      </c>
      <c r="Q13">
        <v>430</v>
      </c>
      <c r="R13">
        <v>432.29262700706835</v>
      </c>
    </row>
    <row r="14" spans="8:94" x14ac:dyDescent="0.15">
      <c r="H14" s="14">
        <f t="shared" si="0"/>
        <v>-1.5122504159598149E-3</v>
      </c>
      <c r="J14" s="67" t="s">
        <v>245</v>
      </c>
      <c r="K14">
        <v>7821</v>
      </c>
      <c r="L14">
        <v>7936.1260141995053</v>
      </c>
      <c r="M14">
        <v>7821</v>
      </c>
      <c r="N14">
        <v>7924.1246043334222</v>
      </c>
      <c r="O14">
        <v>7821</v>
      </c>
      <c r="P14">
        <v>7924.1246043334158</v>
      </c>
      <c r="Q14">
        <v>7821</v>
      </c>
      <c r="R14">
        <v>7924.1246043334177</v>
      </c>
    </row>
    <row r="15" spans="8:94" x14ac:dyDescent="0.15">
      <c r="H15" s="14">
        <f t="shared" si="0"/>
        <v>-1.4932158440020826E-3</v>
      </c>
      <c r="J15" s="67" t="s">
        <v>248</v>
      </c>
      <c r="K15">
        <v>1522.1849999999999</v>
      </c>
      <c r="L15">
        <v>1532.5893062641237</v>
      </c>
      <c r="M15">
        <v>1522.1849999999999</v>
      </c>
      <c r="N15">
        <v>1530.3008196296619</v>
      </c>
      <c r="O15">
        <v>1522.1849999999999</v>
      </c>
      <c r="P15">
        <v>1530.3008196296603</v>
      </c>
      <c r="Q15">
        <v>1522.1849999999999</v>
      </c>
      <c r="R15">
        <v>1530.3008196296614</v>
      </c>
    </row>
    <row r="16" spans="8:94" x14ac:dyDescent="0.15">
      <c r="H16" s="14" t="e">
        <f t="shared" si="0"/>
        <v>#DIV/0!</v>
      </c>
      <c r="J16" s="67" t="s">
        <v>249</v>
      </c>
      <c r="K16">
        <v>105</v>
      </c>
      <c r="M16">
        <v>105</v>
      </c>
      <c r="O16">
        <v>105</v>
      </c>
      <c r="Q16">
        <v>105</v>
      </c>
    </row>
    <row r="17" spans="8:18" x14ac:dyDescent="0.15">
      <c r="H17" s="14">
        <f t="shared" si="0"/>
        <v>-1.4932158440024157E-3</v>
      </c>
      <c r="J17" s="67" t="s">
        <v>251</v>
      </c>
      <c r="K17">
        <v>402</v>
      </c>
      <c r="L17">
        <v>404.74771536848522</v>
      </c>
      <c r="M17">
        <v>402</v>
      </c>
      <c r="N17">
        <v>404.14333966707323</v>
      </c>
      <c r="O17">
        <v>402</v>
      </c>
      <c r="P17">
        <v>404.14333966707301</v>
      </c>
      <c r="Q17">
        <v>402</v>
      </c>
      <c r="R17">
        <v>404.14333966707318</v>
      </c>
    </row>
    <row r="18" spans="8:18" x14ac:dyDescent="0.15">
      <c r="J18" s="67" t="s">
        <v>265</v>
      </c>
      <c r="K18">
        <v>3893.173096513</v>
      </c>
      <c r="L18">
        <v>3919.7833739992252</v>
      </c>
      <c r="M18">
        <v>3893.173096513</v>
      </c>
      <c r="N18">
        <v>3913.9302913601127</v>
      </c>
      <c r="O18">
        <v>3893.173096513</v>
      </c>
      <c r="P18">
        <v>3913.9302913601091</v>
      </c>
      <c r="Q18">
        <v>3893.173096513</v>
      </c>
      <c r="R18">
        <v>3913.9302913601105</v>
      </c>
    </row>
  </sheetData>
  <phoneticPr fontId="14" type="noConversion"/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dimension ref="J6:CP47"/>
  <sheetViews>
    <sheetView topLeftCell="I1" workbookViewId="0">
      <selection activeCell="L47" sqref="L47"/>
    </sheetView>
  </sheetViews>
  <sheetFormatPr defaultColWidth="9" defaultRowHeight="13.5" x14ac:dyDescent="0.15"/>
  <cols>
    <col min="12" max="12" width="12.75" customWidth="1"/>
    <col min="13" max="24" width="9" customWidth="1"/>
  </cols>
  <sheetData>
    <row r="6" spans="10:94" x14ac:dyDescent="0.15">
      <c r="K6" s="67" t="s">
        <v>73</v>
      </c>
      <c r="L6" s="67" t="s">
        <v>73</v>
      </c>
      <c r="M6" s="67" t="s">
        <v>315</v>
      </c>
      <c r="N6" s="67" t="s">
        <v>315</v>
      </c>
      <c r="O6" s="67" t="s">
        <v>316</v>
      </c>
      <c r="P6" s="67" t="s">
        <v>316</v>
      </c>
      <c r="Q6" s="67" t="s">
        <v>317</v>
      </c>
      <c r="R6" s="67" t="s">
        <v>317</v>
      </c>
      <c r="S6" s="67"/>
      <c r="T6" s="67"/>
      <c r="U6" s="67"/>
      <c r="V6" s="67"/>
      <c r="W6" s="67"/>
      <c r="X6" s="67"/>
      <c r="Y6" s="67"/>
      <c r="Z6" s="67"/>
      <c r="AA6" s="67"/>
      <c r="AB6" s="67"/>
      <c r="AC6" s="67"/>
      <c r="AD6" s="67"/>
      <c r="AE6" s="67"/>
      <c r="AF6" s="67"/>
      <c r="AG6" s="67"/>
      <c r="AH6" s="67"/>
      <c r="AI6" s="67"/>
      <c r="AJ6" s="67"/>
      <c r="AK6" s="67"/>
      <c r="AL6" s="67"/>
      <c r="AM6" s="67"/>
      <c r="AN6" s="67"/>
      <c r="AO6" s="67"/>
      <c r="AP6" s="67"/>
      <c r="AQ6" s="67"/>
      <c r="AR6" s="67"/>
      <c r="AS6" s="67"/>
      <c r="AT6" s="67"/>
      <c r="AU6" s="67"/>
      <c r="AV6" s="67"/>
      <c r="AW6" s="67"/>
      <c r="AX6" s="67"/>
      <c r="AY6" s="67"/>
      <c r="AZ6" s="67"/>
      <c r="BA6" s="67"/>
      <c r="BB6" s="67"/>
      <c r="BC6" s="67"/>
      <c r="BD6" s="67"/>
      <c r="BE6" s="67"/>
      <c r="BF6" s="67"/>
      <c r="BG6" s="67"/>
      <c r="BH6" s="67"/>
      <c r="BI6" s="67"/>
      <c r="BJ6" s="67"/>
      <c r="BK6" s="67"/>
      <c r="BL6" s="67"/>
      <c r="BM6" s="67"/>
      <c r="BN6" s="67"/>
      <c r="BO6" s="67"/>
      <c r="BP6" s="67"/>
      <c r="BQ6" s="67"/>
      <c r="BR6" s="67"/>
      <c r="BS6" s="67"/>
      <c r="BT6" s="67"/>
      <c r="BU6" s="67"/>
      <c r="BV6" s="67"/>
      <c r="BW6" s="67"/>
      <c r="BX6" s="67"/>
      <c r="BY6" s="67"/>
      <c r="BZ6" s="67"/>
      <c r="CA6" s="67"/>
      <c r="CB6" s="67"/>
      <c r="CC6" s="67"/>
      <c r="CD6" s="67"/>
      <c r="CE6" s="67"/>
      <c r="CF6" s="67"/>
      <c r="CG6" s="67"/>
      <c r="CH6" s="67"/>
      <c r="CI6" s="67"/>
      <c r="CJ6" s="67"/>
      <c r="CK6" s="67"/>
      <c r="CL6" s="67"/>
      <c r="CM6" s="67"/>
      <c r="CN6" s="67"/>
      <c r="CO6" s="67"/>
      <c r="CP6" s="67"/>
    </row>
    <row r="7" spans="10:94" x14ac:dyDescent="0.15">
      <c r="K7" s="67" t="s">
        <v>76</v>
      </c>
      <c r="L7" s="67" t="s">
        <v>77</v>
      </c>
      <c r="M7" s="67" t="s">
        <v>76</v>
      </c>
      <c r="N7" s="67" t="s">
        <v>77</v>
      </c>
      <c r="O7" s="67" t="s">
        <v>76</v>
      </c>
      <c r="P7" s="67" t="s">
        <v>77</v>
      </c>
      <c r="Q7" s="67" t="s">
        <v>76</v>
      </c>
      <c r="R7" s="67" t="s">
        <v>77</v>
      </c>
      <c r="S7" s="67"/>
      <c r="T7" s="67"/>
      <c r="U7" s="67"/>
      <c r="V7" s="67"/>
      <c r="W7" s="67"/>
      <c r="X7" s="67"/>
      <c r="Y7" s="67"/>
      <c r="Z7" s="67"/>
      <c r="AA7" s="67"/>
      <c r="AB7" s="67"/>
      <c r="AC7" s="67"/>
      <c r="AD7" s="67"/>
      <c r="AE7" s="67"/>
      <c r="AF7" s="67"/>
      <c r="AG7" s="67"/>
      <c r="AH7" s="67"/>
      <c r="AI7" s="67"/>
      <c r="AJ7" s="67"/>
      <c r="AK7" s="67"/>
      <c r="AL7" s="67"/>
      <c r="AM7" s="67"/>
      <c r="AN7" s="67"/>
      <c r="AO7" s="67"/>
      <c r="AP7" s="67"/>
      <c r="AQ7" s="67"/>
      <c r="AR7" s="67"/>
      <c r="AS7" s="67"/>
      <c r="AT7" s="67"/>
      <c r="AU7" s="67"/>
      <c r="AV7" s="67"/>
      <c r="AW7" s="67"/>
      <c r="AX7" s="67"/>
      <c r="AY7" s="67"/>
      <c r="AZ7" s="67"/>
      <c r="BA7" s="67"/>
      <c r="BB7" s="67"/>
      <c r="BC7" s="67"/>
      <c r="BD7" s="67"/>
      <c r="BE7" s="67"/>
      <c r="BF7" s="67"/>
      <c r="BG7" s="67"/>
      <c r="BH7" s="67"/>
      <c r="BI7" s="67"/>
      <c r="BJ7" s="67"/>
      <c r="BK7" s="67"/>
      <c r="BL7" s="67"/>
      <c r="BM7" s="67"/>
      <c r="BN7" s="67"/>
      <c r="BO7" s="67"/>
      <c r="BP7" s="67"/>
      <c r="BQ7" s="67"/>
      <c r="BR7" s="67"/>
      <c r="BS7" s="67"/>
      <c r="BT7" s="67"/>
      <c r="BU7" s="67"/>
      <c r="BV7" s="67"/>
      <c r="BW7" s="67"/>
      <c r="BX7" s="67"/>
      <c r="BY7" s="67"/>
      <c r="BZ7" s="67"/>
      <c r="CA7" s="67"/>
      <c r="CB7" s="67"/>
      <c r="CC7" s="67"/>
      <c r="CD7" s="67"/>
      <c r="CE7" s="67"/>
      <c r="CF7" s="67"/>
      <c r="CG7" s="67"/>
      <c r="CH7" s="67"/>
      <c r="CI7" s="67"/>
      <c r="CJ7" s="67"/>
      <c r="CK7" s="67"/>
      <c r="CL7" s="67"/>
      <c r="CM7" s="67"/>
      <c r="CN7" s="67"/>
      <c r="CO7" s="67"/>
      <c r="CP7" s="67"/>
    </row>
    <row r="8" spans="10:94" x14ac:dyDescent="0.15">
      <c r="J8" s="67" t="s">
        <v>237</v>
      </c>
      <c r="K8">
        <v>1800</v>
      </c>
      <c r="L8">
        <v>2394.9644399013018</v>
      </c>
      <c r="M8">
        <v>1800</v>
      </c>
      <c r="N8">
        <v>2387.2719599474458</v>
      </c>
      <c r="O8">
        <v>1800</v>
      </c>
      <c r="P8">
        <v>2387.2719599474453</v>
      </c>
      <c r="Q8">
        <v>1800</v>
      </c>
      <c r="R8">
        <v>2387.2719599474453</v>
      </c>
    </row>
    <row r="9" spans="10:94" x14ac:dyDescent="0.15">
      <c r="J9" s="67" t="s">
        <v>238</v>
      </c>
      <c r="K9">
        <v>1000</v>
      </c>
      <c r="L9">
        <v>1317.2717082188722</v>
      </c>
      <c r="M9">
        <v>1000</v>
      </c>
      <c r="N9">
        <v>1313.0407116994945</v>
      </c>
      <c r="O9">
        <v>1000</v>
      </c>
      <c r="P9">
        <v>1313.0407116994948</v>
      </c>
      <c r="Q9">
        <v>1000</v>
      </c>
      <c r="R9">
        <v>1313.0407116994943</v>
      </c>
    </row>
    <row r="10" spans="10:94" x14ac:dyDescent="0.15">
      <c r="J10" s="67" t="s">
        <v>239</v>
      </c>
      <c r="K10">
        <v>7900</v>
      </c>
      <c r="L10">
        <v>8319.5743167268774</v>
      </c>
      <c r="M10">
        <v>7900</v>
      </c>
      <c r="N10">
        <v>8292.8523505925168</v>
      </c>
      <c r="O10">
        <v>7900</v>
      </c>
      <c r="P10">
        <v>8292.8523505925205</v>
      </c>
      <c r="Q10">
        <v>7900</v>
      </c>
      <c r="R10">
        <v>8292.8523505925186</v>
      </c>
    </row>
    <row r="11" spans="10:94" x14ac:dyDescent="0.15">
      <c r="J11" s="67" t="s">
        <v>240</v>
      </c>
      <c r="K11">
        <v>983.1</v>
      </c>
      <c r="L11">
        <v>1109.7554974494774</v>
      </c>
      <c r="M11">
        <v>983.1</v>
      </c>
      <c r="N11">
        <v>1106.1910303636264</v>
      </c>
      <c r="O11">
        <v>983.1</v>
      </c>
      <c r="P11">
        <v>1106.1910303636264</v>
      </c>
      <c r="Q11">
        <v>983.1</v>
      </c>
      <c r="R11">
        <v>1106.1910303636262</v>
      </c>
    </row>
    <row r="12" spans="10:94" x14ac:dyDescent="0.15">
      <c r="J12" s="67" t="s">
        <v>241</v>
      </c>
      <c r="K12">
        <v>0.9</v>
      </c>
      <c r="L12">
        <v>0.92522502958487085</v>
      </c>
      <c r="M12">
        <v>0.9</v>
      </c>
      <c r="N12">
        <v>0.92225326312591638</v>
      </c>
      <c r="O12">
        <v>0.9</v>
      </c>
      <c r="P12">
        <v>0.92225326312591627</v>
      </c>
      <c r="Q12">
        <v>0.9</v>
      </c>
      <c r="R12">
        <v>0.92225326312591649</v>
      </c>
    </row>
    <row r="13" spans="10:94" x14ac:dyDescent="0.15">
      <c r="J13" s="67" t="s">
        <v>242</v>
      </c>
      <c r="K13">
        <v>789.6</v>
      </c>
      <c r="L13">
        <v>812.95014082265823</v>
      </c>
      <c r="M13">
        <v>789.6</v>
      </c>
      <c r="N13">
        <v>810.33899447009685</v>
      </c>
      <c r="O13">
        <v>789.6</v>
      </c>
      <c r="P13">
        <v>810.33899447009674</v>
      </c>
      <c r="Q13">
        <v>789.6</v>
      </c>
      <c r="R13">
        <v>810.33899447009685</v>
      </c>
    </row>
    <row r="14" spans="10:94" x14ac:dyDescent="0.15">
      <c r="J14" s="67" t="s">
        <v>252</v>
      </c>
      <c r="K14">
        <v>760</v>
      </c>
      <c r="L14">
        <v>809.09630595037208</v>
      </c>
      <c r="M14">
        <v>760</v>
      </c>
      <c r="N14">
        <v>806.49753788076407</v>
      </c>
      <c r="O14">
        <v>760</v>
      </c>
      <c r="P14">
        <v>806.49753788076396</v>
      </c>
      <c r="Q14">
        <v>760</v>
      </c>
      <c r="R14">
        <v>806.49753788076418</v>
      </c>
    </row>
    <row r="15" spans="10:94" x14ac:dyDescent="0.15">
      <c r="J15" s="67" t="s">
        <v>253</v>
      </c>
      <c r="K15">
        <v>867.9</v>
      </c>
      <c r="L15">
        <v>910.14592074394272</v>
      </c>
      <c r="M15">
        <v>867.9</v>
      </c>
      <c r="N15">
        <v>907.22258746443242</v>
      </c>
      <c r="O15">
        <v>867.9</v>
      </c>
      <c r="P15">
        <v>907.22258746443254</v>
      </c>
      <c r="Q15">
        <v>867.9</v>
      </c>
      <c r="R15">
        <v>907.22258746443265</v>
      </c>
    </row>
    <row r="16" spans="10:94" x14ac:dyDescent="0.15">
      <c r="J16" s="67" t="s">
        <v>254</v>
      </c>
      <c r="K16">
        <v>960</v>
      </c>
      <c r="L16">
        <v>977.11868260725657</v>
      </c>
      <c r="M16">
        <v>960</v>
      </c>
      <c r="N16">
        <v>981.90997713315767</v>
      </c>
      <c r="O16">
        <v>960</v>
      </c>
      <c r="P16">
        <v>981.90997713315778</v>
      </c>
      <c r="Q16">
        <v>960</v>
      </c>
      <c r="R16">
        <v>981.90997713315824</v>
      </c>
    </row>
    <row r="17" spans="10:18" x14ac:dyDescent="0.15">
      <c r="J17" s="67" t="s">
        <v>255</v>
      </c>
      <c r="K17">
        <v>156</v>
      </c>
      <c r="L17">
        <v>155.99999999999997</v>
      </c>
      <c r="M17">
        <v>156</v>
      </c>
      <c r="N17">
        <v>156</v>
      </c>
      <c r="O17">
        <v>156</v>
      </c>
      <c r="P17">
        <v>156</v>
      </c>
      <c r="Q17">
        <v>156</v>
      </c>
      <c r="R17">
        <v>155.99999999999997</v>
      </c>
    </row>
    <row r="18" spans="10:18" x14ac:dyDescent="0.15">
      <c r="J18" s="67" t="s">
        <v>256</v>
      </c>
      <c r="K18">
        <v>9260.9</v>
      </c>
      <c r="L18">
        <v>9342.8773962555842</v>
      </c>
      <c r="M18">
        <v>9260.9</v>
      </c>
      <c r="N18">
        <v>9312.8686429377267</v>
      </c>
      <c r="O18">
        <v>9260.9</v>
      </c>
      <c r="P18">
        <v>9312.8686429377303</v>
      </c>
      <c r="Q18">
        <v>9260.9</v>
      </c>
      <c r="R18">
        <v>9312.8686429377303</v>
      </c>
    </row>
    <row r="19" spans="10:18" x14ac:dyDescent="0.15">
      <c r="J19" s="67" t="s">
        <v>257</v>
      </c>
      <c r="K19">
        <v>23077.463039999999</v>
      </c>
      <c r="L19">
        <v>23718.126571530927</v>
      </c>
      <c r="M19">
        <v>23077.463039999999</v>
      </c>
      <c r="N19">
        <v>23641.945393157337</v>
      </c>
      <c r="O19">
        <v>23077.463039999999</v>
      </c>
      <c r="P19">
        <v>23641.945393157333</v>
      </c>
      <c r="Q19">
        <v>23077.463039999999</v>
      </c>
      <c r="R19">
        <v>23641.945393157337</v>
      </c>
    </row>
    <row r="20" spans="10:18" x14ac:dyDescent="0.15">
      <c r="J20" s="67" t="s">
        <v>258</v>
      </c>
      <c r="K20">
        <v>1116.6600000000001</v>
      </c>
      <c r="L20">
        <v>1154.6379763798791</v>
      </c>
      <c r="M20">
        <v>1116.6600000000001</v>
      </c>
      <c r="N20">
        <v>1150.9293495045551</v>
      </c>
      <c r="O20">
        <v>1116.6600000000001</v>
      </c>
      <c r="P20">
        <v>1150.9293495045551</v>
      </c>
      <c r="Q20">
        <v>1116.6600000000001</v>
      </c>
      <c r="R20">
        <v>1150.9293495045551</v>
      </c>
    </row>
    <row r="21" spans="10:18" x14ac:dyDescent="0.15">
      <c r="J21" s="67" t="s">
        <v>262</v>
      </c>
      <c r="K21">
        <v>481.98662477558298</v>
      </c>
      <c r="L21">
        <v>537.21729789820051</v>
      </c>
      <c r="M21">
        <v>481.98662477558298</v>
      </c>
      <c r="N21">
        <v>535.49178864800206</v>
      </c>
      <c r="O21">
        <v>481.98662477558298</v>
      </c>
      <c r="P21">
        <v>535.49178864800172</v>
      </c>
      <c r="Q21">
        <v>481.98662477558298</v>
      </c>
      <c r="R21">
        <v>535.49178864800206</v>
      </c>
    </row>
    <row r="22" spans="10:18" x14ac:dyDescent="0.15">
      <c r="J22" s="67" t="s">
        <v>263</v>
      </c>
      <c r="K22">
        <v>2060.45631201584</v>
      </c>
      <c r="L22">
        <v>2144.4085354743279</v>
      </c>
      <c r="M22">
        <v>2060.45631201584</v>
      </c>
      <c r="N22">
        <v>2137.5208258293819</v>
      </c>
      <c r="O22">
        <v>2060.45631201584</v>
      </c>
      <c r="P22">
        <v>2137.5208258293806</v>
      </c>
      <c r="Q22">
        <v>2060.45631201584</v>
      </c>
      <c r="R22">
        <v>2137.520825829381</v>
      </c>
    </row>
    <row r="23" spans="10:18" x14ac:dyDescent="0.15">
      <c r="J23" s="67" t="s">
        <v>264</v>
      </c>
      <c r="K23">
        <v>2687.7098500000002</v>
      </c>
      <c r="L23">
        <v>2944.3981591860211</v>
      </c>
      <c r="M23">
        <v>2687.7098500000002</v>
      </c>
      <c r="N23">
        <v>2934.9409315803182</v>
      </c>
      <c r="O23">
        <v>2687.7098500000002</v>
      </c>
      <c r="P23">
        <v>2934.9409315803173</v>
      </c>
      <c r="Q23">
        <v>2687.7098500000002</v>
      </c>
      <c r="R23">
        <v>2934.9409315803182</v>
      </c>
    </row>
    <row r="24" spans="10:18" x14ac:dyDescent="0.15">
      <c r="J24" s="67" t="s">
        <v>265</v>
      </c>
      <c r="K24">
        <v>827.19940378063097</v>
      </c>
      <c r="L24">
        <v>849.73742670702097</v>
      </c>
      <c r="M24">
        <v>827.19940378063097</v>
      </c>
      <c r="N24">
        <v>847.00812183214191</v>
      </c>
      <c r="O24">
        <v>827.19940378063097</v>
      </c>
      <c r="P24">
        <v>847.0081218321418</v>
      </c>
      <c r="Q24">
        <v>827.19940378063097</v>
      </c>
      <c r="R24">
        <v>847.00812183214202</v>
      </c>
    </row>
    <row r="26" spans="10:18" x14ac:dyDescent="0.15">
      <c r="L26" s="11"/>
    </row>
    <row r="27" spans="10:18" x14ac:dyDescent="0.15">
      <c r="L27" s="11"/>
    </row>
    <row r="28" spans="10:18" x14ac:dyDescent="0.15">
      <c r="K28" s="12"/>
      <c r="L28" s="12"/>
    </row>
    <row r="29" spans="10:18" x14ac:dyDescent="0.15">
      <c r="K29" s="12"/>
      <c r="L29" s="12"/>
    </row>
    <row r="30" spans="10:18" x14ac:dyDescent="0.15">
      <c r="K30" s="12"/>
      <c r="L30" s="12"/>
    </row>
    <row r="31" spans="10:18" x14ac:dyDescent="0.15">
      <c r="K31" s="12"/>
      <c r="L31" s="12"/>
    </row>
    <row r="32" spans="10:18" x14ac:dyDescent="0.15">
      <c r="K32" s="12"/>
      <c r="L32" s="12"/>
    </row>
    <row r="33" spans="11:12" x14ac:dyDescent="0.15">
      <c r="K33" s="12"/>
      <c r="L33" s="12"/>
    </row>
    <row r="34" spans="11:12" x14ac:dyDescent="0.15">
      <c r="K34" s="12"/>
      <c r="L34" s="12"/>
    </row>
    <row r="35" spans="11:12" x14ac:dyDescent="0.15">
      <c r="K35" s="12"/>
      <c r="L35" s="12"/>
    </row>
    <row r="36" spans="11:12" x14ac:dyDescent="0.15">
      <c r="K36" s="12"/>
      <c r="L36" s="12"/>
    </row>
    <row r="37" spans="11:12" x14ac:dyDescent="0.15">
      <c r="K37" s="12"/>
      <c r="L37" s="12"/>
    </row>
    <row r="38" spans="11:12" x14ac:dyDescent="0.15">
      <c r="K38" s="12"/>
      <c r="L38" s="12"/>
    </row>
    <row r="39" spans="11:12" x14ac:dyDescent="0.15">
      <c r="K39" s="12"/>
      <c r="L39" s="12"/>
    </row>
    <row r="40" spans="11:12" x14ac:dyDescent="0.15">
      <c r="K40" s="12"/>
      <c r="L40" s="12"/>
    </row>
    <row r="41" spans="11:12" x14ac:dyDescent="0.15">
      <c r="K41" s="12"/>
      <c r="L41" s="12"/>
    </row>
    <row r="42" spans="11:12" x14ac:dyDescent="0.15">
      <c r="K42" s="12"/>
      <c r="L42" s="12"/>
    </row>
    <row r="43" spans="11:12" x14ac:dyDescent="0.15">
      <c r="K43" s="12"/>
      <c r="L43" s="12"/>
    </row>
    <row r="44" spans="11:12" x14ac:dyDescent="0.15">
      <c r="K44" s="12"/>
      <c r="L44" s="12"/>
    </row>
    <row r="47" spans="11:12" x14ac:dyDescent="0.15">
      <c r="L47" s="13"/>
    </row>
  </sheetData>
  <phoneticPr fontId="14" type="noConversion"/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dimension ref="J6:AI18"/>
  <sheetViews>
    <sheetView workbookViewId="0"/>
  </sheetViews>
  <sheetFormatPr defaultColWidth="9" defaultRowHeight="13.5" x14ac:dyDescent="0.15"/>
  <sheetData>
    <row r="6" spans="10:35" x14ac:dyDescent="0.15">
      <c r="K6" s="67" t="s">
        <v>73</v>
      </c>
      <c r="L6" s="67" t="s">
        <v>73</v>
      </c>
      <c r="M6" s="67" t="s">
        <v>73</v>
      </c>
      <c r="N6" s="67" t="s">
        <v>73</v>
      </c>
      <c r="O6" s="67" t="s">
        <v>73</v>
      </c>
      <c r="P6" s="67" t="s">
        <v>315</v>
      </c>
      <c r="Q6" s="67" t="s">
        <v>315</v>
      </c>
      <c r="R6" s="67" t="s">
        <v>315</v>
      </c>
      <c r="S6" s="67" t="s">
        <v>315</v>
      </c>
      <c r="T6" s="67" t="s">
        <v>315</v>
      </c>
      <c r="U6" s="67" t="s">
        <v>316</v>
      </c>
      <c r="V6" s="67" t="s">
        <v>316</v>
      </c>
      <c r="W6" s="67" t="s">
        <v>316</v>
      </c>
      <c r="X6" s="67" t="s">
        <v>316</v>
      </c>
      <c r="Y6" s="67" t="s">
        <v>316</v>
      </c>
      <c r="Z6" s="67" t="s">
        <v>317</v>
      </c>
      <c r="AA6" s="67" t="s">
        <v>317</v>
      </c>
      <c r="AB6" s="67" t="s">
        <v>317</v>
      </c>
      <c r="AC6" s="67" t="s">
        <v>317</v>
      </c>
      <c r="AD6" s="67" t="s">
        <v>317</v>
      </c>
      <c r="AE6" s="67" t="s">
        <v>318</v>
      </c>
      <c r="AF6" s="67" t="s">
        <v>318</v>
      </c>
      <c r="AG6" s="67" t="s">
        <v>318</v>
      </c>
      <c r="AH6" s="67" t="s">
        <v>318</v>
      </c>
      <c r="AI6" s="67" t="s">
        <v>318</v>
      </c>
    </row>
    <row r="7" spans="10:35" x14ac:dyDescent="0.15">
      <c r="K7" s="67" t="s">
        <v>319</v>
      </c>
      <c r="L7" s="67" t="s">
        <v>320</v>
      </c>
      <c r="M7" s="67" t="s">
        <v>321</v>
      </c>
      <c r="N7" s="67" t="s">
        <v>322</v>
      </c>
      <c r="O7" s="67" t="s">
        <v>323</v>
      </c>
      <c r="P7" s="67" t="s">
        <v>319</v>
      </c>
      <c r="Q7" s="67" t="s">
        <v>320</v>
      </c>
      <c r="R7" s="67" t="s">
        <v>321</v>
      </c>
      <c r="S7" s="67" t="s">
        <v>322</v>
      </c>
      <c r="T7" s="67" t="s">
        <v>323</v>
      </c>
      <c r="U7" s="67" t="s">
        <v>319</v>
      </c>
      <c r="V7" s="67" t="s">
        <v>320</v>
      </c>
      <c r="W7" s="67" t="s">
        <v>321</v>
      </c>
      <c r="X7" s="67" t="s">
        <v>322</v>
      </c>
      <c r="Y7" s="67" t="s">
        <v>323</v>
      </c>
      <c r="Z7" s="67" t="s">
        <v>319</v>
      </c>
      <c r="AA7" s="67" t="s">
        <v>320</v>
      </c>
      <c r="AB7" s="67" t="s">
        <v>321</v>
      </c>
      <c r="AC7" s="67" t="s">
        <v>322</v>
      </c>
      <c r="AD7" s="67" t="s">
        <v>323</v>
      </c>
      <c r="AE7" s="67" t="s">
        <v>319</v>
      </c>
      <c r="AF7" s="67" t="s">
        <v>320</v>
      </c>
      <c r="AG7" s="67" t="s">
        <v>321</v>
      </c>
      <c r="AH7" s="67" t="s">
        <v>322</v>
      </c>
      <c r="AI7" s="67" t="s">
        <v>323</v>
      </c>
    </row>
    <row r="8" spans="10:35" x14ac:dyDescent="0.15">
      <c r="J8" s="67" t="s">
        <v>238</v>
      </c>
      <c r="AC8">
        <v>10</v>
      </c>
      <c r="AD8">
        <v>10</v>
      </c>
    </row>
    <row r="9" spans="10:35" x14ac:dyDescent="0.15">
      <c r="J9" s="67" t="s">
        <v>240</v>
      </c>
      <c r="K9">
        <v>11.7</v>
      </c>
      <c r="L9">
        <v>23.3</v>
      </c>
      <c r="M9">
        <v>32.700000000000003</v>
      </c>
      <c r="N9">
        <v>32.640028780493601</v>
      </c>
      <c r="O9">
        <v>18.029175240566499</v>
      </c>
      <c r="P9">
        <v>11.7</v>
      </c>
      <c r="Q9">
        <v>23.3</v>
      </c>
      <c r="R9">
        <v>32.700000000000003</v>
      </c>
      <c r="U9">
        <v>11.7</v>
      </c>
      <c r="V9">
        <v>23.3</v>
      </c>
      <c r="W9">
        <v>32.700000000000003</v>
      </c>
      <c r="Z9">
        <v>11.7</v>
      </c>
      <c r="AA9">
        <v>23.3</v>
      </c>
      <c r="AB9">
        <v>32.700000000000003</v>
      </c>
      <c r="AE9">
        <v>11.7</v>
      </c>
      <c r="AF9">
        <v>23.3</v>
      </c>
      <c r="AG9">
        <v>32.700000000000003</v>
      </c>
    </row>
    <row r="10" spans="10:35" x14ac:dyDescent="0.15">
      <c r="J10" s="67" t="s">
        <v>245</v>
      </c>
      <c r="K10">
        <v>111.126424</v>
      </c>
      <c r="L10">
        <v>894</v>
      </c>
      <c r="M10">
        <v>81.233199999999997</v>
      </c>
      <c r="P10">
        <v>111.126424</v>
      </c>
      <c r="Q10">
        <v>894</v>
      </c>
      <c r="R10">
        <v>81.233199999999997</v>
      </c>
      <c r="U10">
        <v>111.126424</v>
      </c>
      <c r="V10">
        <v>894</v>
      </c>
      <c r="W10">
        <v>81.233199999999997</v>
      </c>
      <c r="Z10">
        <v>111.126424</v>
      </c>
      <c r="AA10">
        <v>894</v>
      </c>
      <c r="AB10">
        <v>81.233199999999997</v>
      </c>
      <c r="AE10">
        <v>111.126424</v>
      </c>
      <c r="AF10">
        <v>894</v>
      </c>
      <c r="AG10">
        <v>81.233199999999997</v>
      </c>
    </row>
    <row r="11" spans="10:35" x14ac:dyDescent="0.15">
      <c r="J11" s="67" t="s">
        <v>249</v>
      </c>
      <c r="K11">
        <v>18</v>
      </c>
      <c r="P11">
        <v>18</v>
      </c>
      <c r="U11">
        <v>18</v>
      </c>
      <c r="Z11">
        <v>18</v>
      </c>
      <c r="AE11">
        <v>18</v>
      </c>
    </row>
    <row r="12" spans="10:35" x14ac:dyDescent="0.15">
      <c r="J12" s="67" t="s">
        <v>251</v>
      </c>
      <c r="T12">
        <v>14.5957877562803</v>
      </c>
      <c r="Y12">
        <v>37.989206914748799</v>
      </c>
      <c r="AD12">
        <v>39.814099117552601</v>
      </c>
      <c r="AH12">
        <v>0.36990432512578802</v>
      </c>
      <c r="AI12">
        <v>43.875582895384497</v>
      </c>
    </row>
    <row r="13" spans="10:35" x14ac:dyDescent="0.15">
      <c r="J13" s="67" t="s">
        <v>254</v>
      </c>
      <c r="N13">
        <v>13.144689593984401</v>
      </c>
    </row>
    <row r="14" spans="10:35" x14ac:dyDescent="0.15">
      <c r="J14" s="67" t="s">
        <v>255</v>
      </c>
      <c r="N14">
        <v>1.8319338332219099</v>
      </c>
    </row>
    <row r="15" spans="10:35" x14ac:dyDescent="0.15">
      <c r="J15" s="67" t="s">
        <v>280</v>
      </c>
      <c r="K15">
        <v>554.39837511999997</v>
      </c>
      <c r="L15">
        <v>566.15</v>
      </c>
      <c r="M15">
        <v>566.15</v>
      </c>
      <c r="N15">
        <v>567.638368230369</v>
      </c>
      <c r="O15">
        <v>574.60575634322299</v>
      </c>
      <c r="P15">
        <v>554.39837511999997</v>
      </c>
      <c r="Q15">
        <v>566.15</v>
      </c>
      <c r="R15">
        <v>566.15</v>
      </c>
      <c r="S15">
        <v>494.81202618398203</v>
      </c>
      <c r="T15">
        <v>508.620825845323</v>
      </c>
      <c r="U15">
        <v>554.39837511999997</v>
      </c>
      <c r="V15">
        <v>566.15</v>
      </c>
      <c r="W15">
        <v>566.15</v>
      </c>
      <c r="X15">
        <v>426.51593239053</v>
      </c>
      <c r="Y15">
        <v>450.06505721534398</v>
      </c>
      <c r="Z15">
        <v>554.39837511999997</v>
      </c>
      <c r="AA15">
        <v>566.15</v>
      </c>
      <c r="AB15">
        <v>566.15</v>
      </c>
      <c r="AC15">
        <v>428.713394705361</v>
      </c>
      <c r="AD15">
        <v>455.932853629877</v>
      </c>
      <c r="AE15">
        <v>554.39837511999997</v>
      </c>
      <c r="AF15">
        <v>566.15</v>
      </c>
      <c r="AG15">
        <v>566.15</v>
      </c>
      <c r="AH15">
        <v>400.75148438349402</v>
      </c>
      <c r="AI15">
        <v>423.16772943858501</v>
      </c>
    </row>
    <row r="16" spans="10:35" x14ac:dyDescent="0.15">
      <c r="J16" s="67" t="s">
        <v>257</v>
      </c>
      <c r="K16">
        <v>1388.1</v>
      </c>
      <c r="L16">
        <v>1541.5917721518999</v>
      </c>
      <c r="M16">
        <v>1545.09</v>
      </c>
      <c r="N16">
        <v>1420.9126419069801</v>
      </c>
      <c r="O16">
        <v>1289.0661917754601</v>
      </c>
      <c r="P16">
        <v>1388.1</v>
      </c>
      <c r="Q16">
        <v>1541.5917721518999</v>
      </c>
      <c r="R16">
        <v>1545.09</v>
      </c>
      <c r="U16">
        <v>1388.1</v>
      </c>
      <c r="V16">
        <v>1541.5917721518999</v>
      </c>
      <c r="W16">
        <v>1545.09</v>
      </c>
      <c r="Z16">
        <v>1388.1</v>
      </c>
      <c r="AA16">
        <v>1541.5917721518999</v>
      </c>
      <c r="AB16">
        <v>1545.09</v>
      </c>
      <c r="AE16">
        <v>1388.1</v>
      </c>
      <c r="AF16">
        <v>1541.5917721518999</v>
      </c>
      <c r="AG16">
        <v>1545.09</v>
      </c>
    </row>
    <row r="17" spans="10:33" x14ac:dyDescent="0.15">
      <c r="J17" s="67" t="s">
        <v>261</v>
      </c>
      <c r="X17">
        <v>25.04</v>
      </c>
      <c r="Y17">
        <v>25.04</v>
      </c>
      <c r="AC17">
        <v>48.04</v>
      </c>
      <c r="AD17">
        <v>48.04</v>
      </c>
    </row>
    <row r="18" spans="10:33" x14ac:dyDescent="0.15">
      <c r="J18" s="67" t="s">
        <v>262</v>
      </c>
      <c r="K18">
        <v>10</v>
      </c>
      <c r="L18">
        <v>8.9979999999999993</v>
      </c>
      <c r="M18">
        <v>10</v>
      </c>
      <c r="N18">
        <v>9.6628937724353801</v>
      </c>
      <c r="O18">
        <v>7.2888705497402997</v>
      </c>
      <c r="P18">
        <v>10</v>
      </c>
      <c r="Q18">
        <v>8.9979999999999993</v>
      </c>
      <c r="R18">
        <v>10</v>
      </c>
      <c r="U18">
        <v>10</v>
      </c>
      <c r="V18">
        <v>8.9979999999999993</v>
      </c>
      <c r="W18">
        <v>10</v>
      </c>
      <c r="Z18">
        <v>10</v>
      </c>
      <c r="AA18">
        <v>8.9979999999999993</v>
      </c>
      <c r="AB18">
        <v>10</v>
      </c>
      <c r="AE18">
        <v>10</v>
      </c>
      <c r="AF18">
        <v>8.9979999999999993</v>
      </c>
      <c r="AG18">
        <v>10</v>
      </c>
    </row>
  </sheetData>
  <phoneticPr fontId="14" type="noConversion"/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dimension ref="J6:CP23"/>
  <sheetViews>
    <sheetView workbookViewId="0"/>
  </sheetViews>
  <sheetFormatPr defaultColWidth="9" defaultRowHeight="13.5" x14ac:dyDescent="0.15"/>
  <sheetData>
    <row r="6" spans="10:94" x14ac:dyDescent="0.15">
      <c r="K6" s="67" t="s">
        <v>73</v>
      </c>
      <c r="L6" s="67" t="s">
        <v>73</v>
      </c>
      <c r="M6" s="67" t="s">
        <v>315</v>
      </c>
      <c r="N6" s="67" t="s">
        <v>315</v>
      </c>
      <c r="O6" s="67" t="s">
        <v>316</v>
      </c>
      <c r="P6" s="67" t="s">
        <v>316</v>
      </c>
      <c r="Q6" s="67" t="s">
        <v>317</v>
      </c>
      <c r="R6" s="67" t="s">
        <v>317</v>
      </c>
      <c r="S6" s="67"/>
      <c r="T6" s="67"/>
      <c r="U6" s="67"/>
      <c r="V6" s="67"/>
      <c r="W6" s="67"/>
      <c r="X6" s="67"/>
      <c r="Y6" s="67"/>
      <c r="Z6" s="67"/>
      <c r="AA6" s="67"/>
      <c r="AB6" s="67"/>
      <c r="AC6" s="67"/>
      <c r="AD6" s="67"/>
      <c r="AE6" s="67"/>
      <c r="AF6" s="67"/>
      <c r="AG6" s="67"/>
      <c r="AH6" s="67"/>
      <c r="AI6" s="67"/>
      <c r="AJ6" s="67"/>
      <c r="AK6" s="67"/>
      <c r="AL6" s="67"/>
      <c r="AM6" s="67"/>
      <c r="AN6" s="67"/>
      <c r="AO6" s="67"/>
      <c r="AP6" s="67"/>
      <c r="AQ6" s="67"/>
      <c r="AR6" s="67"/>
      <c r="AS6" s="67"/>
      <c r="AT6" s="67"/>
      <c r="AU6" s="67"/>
      <c r="AV6" s="67"/>
      <c r="AW6" s="67"/>
      <c r="AX6" s="67"/>
      <c r="AY6" s="67"/>
      <c r="AZ6" s="67"/>
      <c r="BA6" s="67"/>
      <c r="BB6" s="67"/>
      <c r="BC6" s="67"/>
      <c r="BD6" s="67"/>
      <c r="BE6" s="67"/>
      <c r="BF6" s="67"/>
      <c r="BG6" s="67"/>
      <c r="BH6" s="67"/>
      <c r="BI6" s="67"/>
      <c r="BJ6" s="67"/>
      <c r="BK6" s="67"/>
      <c r="BL6" s="67"/>
      <c r="BM6" s="67"/>
      <c r="BN6" s="67"/>
      <c r="BO6" s="67"/>
      <c r="BP6" s="67"/>
      <c r="BQ6" s="67"/>
      <c r="BR6" s="67"/>
      <c r="BS6" s="67"/>
      <c r="BT6" s="67"/>
      <c r="BU6" s="67"/>
      <c r="BV6" s="67"/>
      <c r="BW6" s="67"/>
      <c r="BX6" s="67"/>
      <c r="BY6" s="67"/>
      <c r="BZ6" s="67"/>
      <c r="CA6" s="67"/>
      <c r="CB6" s="67"/>
      <c r="CC6" s="67"/>
      <c r="CD6" s="67"/>
      <c r="CE6" s="67"/>
      <c r="CF6" s="67"/>
      <c r="CG6" s="67"/>
      <c r="CH6" s="67"/>
      <c r="CI6" s="67"/>
      <c r="CJ6" s="67"/>
      <c r="CK6" s="67"/>
      <c r="CL6" s="67"/>
      <c r="CM6" s="67"/>
      <c r="CN6" s="67"/>
      <c r="CO6" s="67"/>
      <c r="CP6" s="67"/>
    </row>
    <row r="7" spans="10:94" x14ac:dyDescent="0.15">
      <c r="K7" s="67" t="s">
        <v>76</v>
      </c>
      <c r="L7" s="67" t="s">
        <v>77</v>
      </c>
      <c r="M7" s="67" t="s">
        <v>76</v>
      </c>
      <c r="N7" s="67" t="s">
        <v>77</v>
      </c>
      <c r="O7" s="67" t="s">
        <v>76</v>
      </c>
      <c r="P7" s="67" t="s">
        <v>77</v>
      </c>
      <c r="Q7" s="67" t="s">
        <v>76</v>
      </c>
      <c r="R7" s="67" t="s">
        <v>77</v>
      </c>
      <c r="S7" s="67"/>
      <c r="T7" s="67"/>
      <c r="U7" s="67"/>
      <c r="V7" s="67"/>
      <c r="W7" s="67"/>
      <c r="X7" s="67"/>
      <c r="Y7" s="67"/>
      <c r="Z7" s="67"/>
      <c r="AA7" s="67"/>
      <c r="AB7" s="67"/>
      <c r="AC7" s="67"/>
      <c r="AD7" s="67"/>
      <c r="AE7" s="67"/>
      <c r="AF7" s="67"/>
      <c r="AG7" s="67"/>
      <c r="AH7" s="67"/>
      <c r="AI7" s="67"/>
      <c r="AJ7" s="67"/>
      <c r="AK7" s="67"/>
      <c r="AL7" s="67"/>
      <c r="AM7" s="67"/>
      <c r="AN7" s="67"/>
      <c r="AO7" s="67"/>
      <c r="AP7" s="67"/>
      <c r="AQ7" s="67"/>
      <c r="AR7" s="67"/>
      <c r="AS7" s="67"/>
      <c r="AT7" s="67"/>
      <c r="AU7" s="67"/>
      <c r="AV7" s="67"/>
      <c r="AW7" s="67"/>
      <c r="AX7" s="67"/>
      <c r="AY7" s="67"/>
      <c r="AZ7" s="67"/>
      <c r="BA7" s="67"/>
      <c r="BB7" s="67"/>
      <c r="BC7" s="67"/>
      <c r="BD7" s="67"/>
      <c r="BE7" s="67"/>
      <c r="BF7" s="67"/>
      <c r="BG7" s="67"/>
      <c r="BH7" s="67"/>
      <c r="BI7" s="67"/>
      <c r="BJ7" s="67"/>
      <c r="BK7" s="67"/>
      <c r="BL7" s="67"/>
      <c r="BM7" s="67"/>
      <c r="BN7" s="67"/>
      <c r="BO7" s="67"/>
      <c r="BP7" s="67"/>
      <c r="BQ7" s="67"/>
      <c r="BR7" s="67"/>
      <c r="BS7" s="67"/>
      <c r="BT7" s="67"/>
      <c r="BU7" s="67"/>
      <c r="BV7" s="67"/>
      <c r="BW7" s="67"/>
      <c r="BX7" s="67"/>
      <c r="BY7" s="67"/>
      <c r="BZ7" s="67"/>
      <c r="CA7" s="67"/>
      <c r="CB7" s="67"/>
      <c r="CC7" s="67"/>
      <c r="CD7" s="67"/>
      <c r="CE7" s="67"/>
      <c r="CF7" s="67"/>
      <c r="CG7" s="67"/>
      <c r="CH7" s="67"/>
      <c r="CI7" s="67"/>
      <c r="CJ7" s="67"/>
      <c r="CK7" s="67"/>
      <c r="CL7" s="67"/>
      <c r="CM7" s="67"/>
      <c r="CN7" s="67"/>
      <c r="CO7" s="67"/>
      <c r="CP7" s="67"/>
    </row>
    <row r="8" spans="10:94" x14ac:dyDescent="0.15">
      <c r="J8" s="67" t="s">
        <v>237</v>
      </c>
      <c r="K8">
        <v>836.16399999999999</v>
      </c>
      <c r="L8">
        <v>848.55375781773523</v>
      </c>
      <c r="M8">
        <v>836.16399999999999</v>
      </c>
      <c r="N8">
        <v>859.44311114771813</v>
      </c>
      <c r="O8">
        <v>836.16399999999999</v>
      </c>
      <c r="P8">
        <v>870.60793262678192</v>
      </c>
      <c r="Q8">
        <v>836.16399999999999</v>
      </c>
      <c r="R8">
        <v>851.02071795064126</v>
      </c>
    </row>
    <row r="9" spans="10:94" x14ac:dyDescent="0.15">
      <c r="J9" s="67" t="s">
        <v>238</v>
      </c>
      <c r="K9">
        <v>560</v>
      </c>
      <c r="L9">
        <v>564.199557084925</v>
      </c>
      <c r="M9">
        <v>560</v>
      </c>
      <c r="N9">
        <v>574.19229042465793</v>
      </c>
      <c r="O9">
        <v>560</v>
      </c>
      <c r="P9">
        <v>581.63776862575753</v>
      </c>
      <c r="Q9">
        <v>560</v>
      </c>
      <c r="R9">
        <v>568.57562946576832</v>
      </c>
    </row>
    <row r="10" spans="10:94" x14ac:dyDescent="0.15">
      <c r="J10" s="67" t="s">
        <v>239</v>
      </c>
      <c r="K10">
        <v>1506.175</v>
      </c>
      <c r="L10">
        <v>1545.3298664460706</v>
      </c>
      <c r="M10">
        <v>1506.175</v>
      </c>
      <c r="N10">
        <v>1572.643541268423</v>
      </c>
      <c r="O10">
        <v>1506.175</v>
      </c>
      <c r="P10">
        <v>1592.9704196606149</v>
      </c>
      <c r="Q10">
        <v>1506.175</v>
      </c>
      <c r="R10">
        <v>1557.3093974341405</v>
      </c>
    </row>
    <row r="11" spans="10:94" x14ac:dyDescent="0.15">
      <c r="J11" s="67" t="s">
        <v>240</v>
      </c>
      <c r="K11">
        <v>1015.43</v>
      </c>
      <c r="L11">
        <v>1023.4604626074869</v>
      </c>
      <c r="M11">
        <v>1015.43</v>
      </c>
      <c r="N11">
        <v>1030.0668599369365</v>
      </c>
      <c r="O11">
        <v>1015.43</v>
      </c>
      <c r="P11">
        <v>1030.066859936936</v>
      </c>
      <c r="Q11">
        <v>1015.43</v>
      </c>
      <c r="R11">
        <v>1030.0668599369358</v>
      </c>
    </row>
    <row r="12" spans="10:94" x14ac:dyDescent="0.15">
      <c r="J12" s="67" t="s">
        <v>241</v>
      </c>
      <c r="K12">
        <v>45</v>
      </c>
      <c r="L12">
        <v>45.092673962432116</v>
      </c>
      <c r="M12">
        <v>45</v>
      </c>
      <c r="N12">
        <v>45.893451127163914</v>
      </c>
      <c r="O12">
        <v>45</v>
      </c>
      <c r="P12">
        <v>46.491018734486431</v>
      </c>
      <c r="Q12">
        <v>45</v>
      </c>
      <c r="R12">
        <v>45.442667240424043</v>
      </c>
    </row>
    <row r="13" spans="10:94" x14ac:dyDescent="0.15">
      <c r="J13" s="67" t="s">
        <v>242</v>
      </c>
      <c r="K13">
        <v>25.6</v>
      </c>
      <c r="L13">
        <v>25.41867606581231</v>
      </c>
      <c r="M13">
        <v>25.6</v>
      </c>
      <c r="N13">
        <v>25.870073012646152</v>
      </c>
      <c r="O13">
        <v>25.6</v>
      </c>
      <c r="P13">
        <v>26.206921021495869</v>
      </c>
      <c r="Q13">
        <v>25.6</v>
      </c>
      <c r="R13">
        <v>25.615966777955478</v>
      </c>
    </row>
    <row r="14" spans="10:94" x14ac:dyDescent="0.15">
      <c r="J14" s="67" t="s">
        <v>243</v>
      </c>
      <c r="K14">
        <v>132.74299999999999</v>
      </c>
      <c r="L14">
        <v>174.29281799057341</v>
      </c>
      <c r="M14">
        <v>132.74299999999999</v>
      </c>
      <c r="N14">
        <v>175.41787132617742</v>
      </c>
      <c r="O14">
        <v>132.74299999999999</v>
      </c>
      <c r="P14">
        <v>175.41787132617679</v>
      </c>
      <c r="Q14">
        <v>132.74299999999999</v>
      </c>
      <c r="R14">
        <v>175.41787132617677</v>
      </c>
    </row>
    <row r="15" spans="10:94" x14ac:dyDescent="0.15">
      <c r="J15" s="67" t="s">
        <v>256</v>
      </c>
      <c r="K15">
        <v>4201.43</v>
      </c>
      <c r="L15">
        <v>4214.5385233385468</v>
      </c>
      <c r="M15">
        <v>4201.43</v>
      </c>
      <c r="N15">
        <v>4235.7224283676951</v>
      </c>
      <c r="O15">
        <v>4201.43</v>
      </c>
      <c r="P15">
        <v>4235.7224283676933</v>
      </c>
      <c r="Q15">
        <v>4201.43</v>
      </c>
      <c r="R15">
        <v>4235.7224283676924</v>
      </c>
    </row>
    <row r="16" spans="10:94" x14ac:dyDescent="0.15">
      <c r="J16" s="67" t="s">
        <v>257</v>
      </c>
      <c r="K16">
        <v>21550.023495000001</v>
      </c>
      <c r="L16">
        <v>21811.215467507049</v>
      </c>
      <c r="M16">
        <v>21550.023495000001</v>
      </c>
      <c r="N16">
        <v>22059.024997540499</v>
      </c>
      <c r="O16">
        <v>21550.023495000001</v>
      </c>
      <c r="P16">
        <v>22059.024997540488</v>
      </c>
      <c r="Q16">
        <v>21550.023495000001</v>
      </c>
      <c r="R16">
        <v>22059.024997540491</v>
      </c>
    </row>
    <row r="17" spans="10:18" x14ac:dyDescent="0.15">
      <c r="J17" s="67" t="s">
        <v>258</v>
      </c>
      <c r="K17">
        <v>301.38</v>
      </c>
      <c r="L17">
        <v>225.26822804467906</v>
      </c>
      <c r="M17">
        <v>301.38</v>
      </c>
      <c r="N17">
        <v>224.92339114391618</v>
      </c>
      <c r="O17">
        <v>301.38</v>
      </c>
      <c r="P17">
        <v>224.92339114391604</v>
      </c>
      <c r="Q17">
        <v>301.38</v>
      </c>
      <c r="R17">
        <v>224.92339114391615</v>
      </c>
    </row>
    <row r="18" spans="10:18" x14ac:dyDescent="0.15">
      <c r="J18" s="67" t="s">
        <v>260</v>
      </c>
      <c r="K18">
        <v>49.6</v>
      </c>
      <c r="L18">
        <v>52.235615188001127</v>
      </c>
      <c r="M18">
        <v>49.6</v>
      </c>
      <c r="N18">
        <v>52.207532180517653</v>
      </c>
      <c r="O18">
        <v>49.6</v>
      </c>
      <c r="P18">
        <v>52.207532180517603</v>
      </c>
      <c r="Q18">
        <v>49.6</v>
      </c>
      <c r="R18">
        <v>52.207532180517596</v>
      </c>
    </row>
    <row r="19" spans="10:18" x14ac:dyDescent="0.15">
      <c r="J19" s="67" t="s">
        <v>261</v>
      </c>
      <c r="K19">
        <v>145.65023421319992</v>
      </c>
      <c r="L19">
        <v>235.02972437818235</v>
      </c>
      <c r="M19">
        <v>145.65023421319992</v>
      </c>
      <c r="N19">
        <v>234.66994473928162</v>
      </c>
      <c r="O19">
        <v>145.65023421319992</v>
      </c>
      <c r="P19">
        <v>234.6699447392815</v>
      </c>
      <c r="Q19">
        <v>145.65023421319992</v>
      </c>
      <c r="R19">
        <v>234.66994473928165</v>
      </c>
    </row>
    <row r="20" spans="10:18" x14ac:dyDescent="0.15">
      <c r="J20" s="67" t="s">
        <v>262</v>
      </c>
      <c r="K20">
        <v>147.4994181818</v>
      </c>
      <c r="L20">
        <v>155.43254980286386</v>
      </c>
      <c r="M20">
        <v>147.4994181818</v>
      </c>
      <c r="N20">
        <v>155.19461621046619</v>
      </c>
      <c r="O20">
        <v>147.4994181818</v>
      </c>
      <c r="P20">
        <v>155.19461621046625</v>
      </c>
      <c r="Q20">
        <v>147.4994181818</v>
      </c>
      <c r="R20">
        <v>155.19461621046625</v>
      </c>
    </row>
    <row r="21" spans="10:18" x14ac:dyDescent="0.15">
      <c r="J21" s="67" t="s">
        <v>263</v>
      </c>
      <c r="K21">
        <v>229.096</v>
      </c>
      <c r="L21">
        <v>247.56237540947049</v>
      </c>
      <c r="M21">
        <v>229.096</v>
      </c>
      <c r="N21">
        <v>247.18341099437001</v>
      </c>
      <c r="O21">
        <v>229.096</v>
      </c>
      <c r="P21">
        <v>247.18341099436992</v>
      </c>
      <c r="Q21">
        <v>229.096</v>
      </c>
      <c r="R21">
        <v>247.18341099436992</v>
      </c>
    </row>
    <row r="22" spans="10:18" x14ac:dyDescent="0.15">
      <c r="J22" s="67" t="s">
        <v>264</v>
      </c>
      <c r="K22">
        <v>1639.4229499999999</v>
      </c>
      <c r="L22">
        <v>1707.2452195995568</v>
      </c>
      <c r="M22">
        <v>1639.4229499999999</v>
      </c>
      <c r="N22">
        <v>1704.6317966793367</v>
      </c>
      <c r="O22">
        <v>1639.4229499999999</v>
      </c>
      <c r="P22">
        <v>1704.631796679337</v>
      </c>
      <c r="Q22">
        <v>1639.4229499999999</v>
      </c>
      <c r="R22">
        <v>1704.6317966793358</v>
      </c>
    </row>
    <row r="23" spans="10:18" x14ac:dyDescent="0.15">
      <c r="J23" s="67" t="s">
        <v>265</v>
      </c>
      <c r="K23">
        <v>79.027332431086805</v>
      </c>
      <c r="L23">
        <v>79.798262115962814</v>
      </c>
      <c r="M23">
        <v>79.027332431086805</v>
      </c>
      <c r="N23">
        <v>80.709243869505968</v>
      </c>
      <c r="O23">
        <v>79.027332431086805</v>
      </c>
      <c r="P23">
        <v>81.759654375066233</v>
      </c>
      <c r="Q23">
        <v>79.027332431086805</v>
      </c>
      <c r="R23">
        <v>79.916850423012761</v>
      </c>
    </row>
  </sheetData>
  <phoneticPr fontId="14" type="noConversion"/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dimension ref="J6:CP14"/>
  <sheetViews>
    <sheetView workbookViewId="0"/>
  </sheetViews>
  <sheetFormatPr defaultColWidth="9" defaultRowHeight="13.5" x14ac:dyDescent="0.15"/>
  <sheetData>
    <row r="6" spans="10:94" x14ac:dyDescent="0.15">
      <c r="K6" s="67" t="s">
        <v>73</v>
      </c>
      <c r="L6" s="67" t="s">
        <v>73</v>
      </c>
      <c r="M6" s="67" t="s">
        <v>315</v>
      </c>
      <c r="N6" s="67" t="s">
        <v>315</v>
      </c>
      <c r="O6" s="67" t="s">
        <v>316</v>
      </c>
      <c r="P6" s="67" t="s">
        <v>316</v>
      </c>
      <c r="Q6" s="67" t="s">
        <v>317</v>
      </c>
      <c r="R6" s="67" t="s">
        <v>317</v>
      </c>
      <c r="S6" s="67"/>
      <c r="T6" s="67"/>
      <c r="U6" s="67"/>
      <c r="V6" s="67"/>
      <c r="W6" s="67"/>
      <c r="X6" s="67"/>
      <c r="Y6" s="67"/>
      <c r="Z6" s="67"/>
      <c r="AA6" s="67"/>
      <c r="AB6" s="67"/>
      <c r="AC6" s="67"/>
      <c r="AD6" s="67"/>
      <c r="AE6" s="67"/>
      <c r="AF6" s="67"/>
      <c r="AG6" s="67"/>
      <c r="AH6" s="67"/>
      <c r="AI6" s="67"/>
      <c r="AJ6" s="67"/>
      <c r="AK6" s="67"/>
      <c r="AL6" s="67"/>
      <c r="AM6" s="67"/>
      <c r="AN6" s="67"/>
      <c r="AO6" s="67"/>
      <c r="AP6" s="67"/>
      <c r="AQ6" s="67"/>
      <c r="AR6" s="67"/>
      <c r="AS6" s="67"/>
      <c r="AT6" s="67"/>
      <c r="AU6" s="67"/>
      <c r="AV6" s="67"/>
      <c r="AW6" s="67"/>
      <c r="AX6" s="67"/>
      <c r="AY6" s="67"/>
      <c r="AZ6" s="67"/>
      <c r="BA6" s="67"/>
      <c r="BB6" s="67"/>
      <c r="BC6" s="67"/>
      <c r="BD6" s="67"/>
      <c r="BE6" s="67"/>
      <c r="BF6" s="67"/>
      <c r="BG6" s="67"/>
      <c r="BH6" s="67"/>
      <c r="BI6" s="67"/>
      <c r="BJ6" s="67"/>
      <c r="BK6" s="67"/>
      <c r="BL6" s="67"/>
      <c r="BM6" s="67"/>
      <c r="BN6" s="67"/>
      <c r="BO6" s="67"/>
      <c r="BP6" s="67"/>
      <c r="BQ6" s="67"/>
      <c r="BR6" s="67"/>
      <c r="BS6" s="67"/>
      <c r="BT6" s="67"/>
      <c r="BU6" s="67"/>
      <c r="BV6" s="67"/>
      <c r="BW6" s="67"/>
      <c r="BX6" s="67"/>
      <c r="BY6" s="67"/>
      <c r="BZ6" s="67"/>
      <c r="CA6" s="67"/>
      <c r="CB6" s="67"/>
      <c r="CC6" s="67"/>
      <c r="CD6" s="67"/>
      <c r="CE6" s="67"/>
      <c r="CF6" s="67"/>
      <c r="CG6" s="67"/>
      <c r="CH6" s="67"/>
      <c r="CI6" s="67"/>
      <c r="CJ6" s="67"/>
      <c r="CK6" s="67"/>
      <c r="CL6" s="67"/>
      <c r="CM6" s="67"/>
      <c r="CN6" s="67"/>
      <c r="CO6" s="67"/>
      <c r="CP6" s="67"/>
    </row>
    <row r="7" spans="10:94" x14ac:dyDescent="0.15">
      <c r="K7" s="67" t="s">
        <v>76</v>
      </c>
      <c r="L7" s="67" t="s">
        <v>77</v>
      </c>
      <c r="M7" s="67" t="s">
        <v>76</v>
      </c>
      <c r="N7" s="67" t="s">
        <v>77</v>
      </c>
      <c r="O7" s="67" t="s">
        <v>76</v>
      </c>
      <c r="P7" s="67" t="s">
        <v>77</v>
      </c>
      <c r="Q7" s="67" t="s">
        <v>76</v>
      </c>
      <c r="R7" s="67" t="s">
        <v>77</v>
      </c>
      <c r="S7" s="67"/>
      <c r="T7" s="67"/>
      <c r="U7" s="67"/>
      <c r="V7" s="67"/>
      <c r="W7" s="67"/>
      <c r="X7" s="67"/>
      <c r="Y7" s="67"/>
      <c r="Z7" s="67"/>
      <c r="AA7" s="67"/>
      <c r="AB7" s="67"/>
      <c r="AC7" s="67"/>
      <c r="AD7" s="67"/>
      <c r="AE7" s="67"/>
      <c r="AF7" s="67"/>
      <c r="AG7" s="67"/>
      <c r="AH7" s="67"/>
      <c r="AI7" s="67"/>
      <c r="AJ7" s="67"/>
      <c r="AK7" s="67"/>
      <c r="AL7" s="67"/>
      <c r="AM7" s="67"/>
      <c r="AN7" s="67"/>
      <c r="AO7" s="67"/>
      <c r="AP7" s="67"/>
      <c r="AQ7" s="67"/>
      <c r="AR7" s="67"/>
      <c r="AS7" s="67"/>
      <c r="AT7" s="67"/>
      <c r="AU7" s="67"/>
      <c r="AV7" s="67"/>
      <c r="AW7" s="67"/>
      <c r="AX7" s="67"/>
      <c r="AY7" s="67"/>
      <c r="AZ7" s="67"/>
      <c r="BA7" s="67"/>
      <c r="BB7" s="67"/>
      <c r="BC7" s="67"/>
      <c r="BD7" s="67"/>
      <c r="BE7" s="67"/>
      <c r="BF7" s="67"/>
      <c r="BG7" s="67"/>
      <c r="BH7" s="67"/>
      <c r="BI7" s="67"/>
      <c r="BJ7" s="67"/>
      <c r="BK7" s="67"/>
      <c r="BL7" s="67"/>
      <c r="BM7" s="67"/>
      <c r="BN7" s="67"/>
      <c r="BO7" s="67"/>
      <c r="BP7" s="67"/>
      <c r="BQ7" s="67"/>
      <c r="BR7" s="67"/>
      <c r="BS7" s="67"/>
      <c r="BT7" s="67"/>
      <c r="BU7" s="67"/>
      <c r="BV7" s="67"/>
      <c r="BW7" s="67"/>
      <c r="BX7" s="67"/>
      <c r="BY7" s="67"/>
      <c r="BZ7" s="67"/>
      <c r="CA7" s="67"/>
      <c r="CB7" s="67"/>
      <c r="CC7" s="67"/>
      <c r="CD7" s="67"/>
      <c r="CE7" s="67"/>
      <c r="CF7" s="67"/>
      <c r="CG7" s="67"/>
      <c r="CH7" s="67"/>
      <c r="CI7" s="67"/>
      <c r="CJ7" s="67"/>
      <c r="CK7" s="67"/>
      <c r="CL7" s="67"/>
      <c r="CM7" s="67"/>
      <c r="CN7" s="67"/>
      <c r="CO7" s="67"/>
      <c r="CP7" s="67"/>
    </row>
    <row r="8" spans="10:94" x14ac:dyDescent="0.15">
      <c r="J8" s="67" t="s">
        <v>241</v>
      </c>
      <c r="K8">
        <v>1.8353650000000099</v>
      </c>
      <c r="L8">
        <v>1.8391447899346591</v>
      </c>
      <c r="M8">
        <v>1.8353650000000099</v>
      </c>
      <c r="N8">
        <v>1.87180519840017</v>
      </c>
      <c r="O8">
        <v>1.8353650000000099</v>
      </c>
      <c r="P8">
        <v>1.8961775244360255</v>
      </c>
      <c r="Q8">
        <v>1.8353650000000099</v>
      </c>
      <c r="R8">
        <v>1.8534195768826962</v>
      </c>
    </row>
    <row r="9" spans="10:94" x14ac:dyDescent="0.15">
      <c r="J9" s="67" t="s">
        <v>257</v>
      </c>
      <c r="K9">
        <v>21283.739425151602</v>
      </c>
      <c r="L9">
        <v>21541.703964451113</v>
      </c>
      <c r="M9">
        <v>21283.739425151602</v>
      </c>
      <c r="N9">
        <v>21786.451422175462</v>
      </c>
      <c r="O9">
        <v>21283.739425151602</v>
      </c>
      <c r="P9">
        <v>21786.451422175451</v>
      </c>
      <c r="Q9">
        <v>21283.739425151602</v>
      </c>
      <c r="R9">
        <v>21786.451422175454</v>
      </c>
    </row>
    <row r="10" spans="10:94" x14ac:dyDescent="0.15">
      <c r="J10" s="67" t="s">
        <v>259</v>
      </c>
      <c r="K10">
        <v>113.27</v>
      </c>
      <c r="L10">
        <v>107.60783733561068</v>
      </c>
      <c r="M10">
        <v>113.27</v>
      </c>
      <c r="N10">
        <v>107.44311302696445</v>
      </c>
      <c r="O10">
        <v>113.27</v>
      </c>
      <c r="P10">
        <v>107.44311302696444</v>
      </c>
      <c r="Q10">
        <v>113.27</v>
      </c>
      <c r="R10">
        <v>107.44311302696447</v>
      </c>
    </row>
    <row r="11" spans="10:94" x14ac:dyDescent="0.15">
      <c r="J11" s="67" t="s">
        <v>260</v>
      </c>
      <c r="K11">
        <v>7.7252400000000598</v>
      </c>
      <c r="L11">
        <v>8.1357391910273567</v>
      </c>
      <c r="M11">
        <v>7.7252400000000598</v>
      </c>
      <c r="N11">
        <v>8.1313652399642198</v>
      </c>
      <c r="O11">
        <v>7.7252400000000598</v>
      </c>
      <c r="P11">
        <v>8.1313652399642145</v>
      </c>
      <c r="Q11">
        <v>7.7252400000000598</v>
      </c>
      <c r="R11">
        <v>8.1313652399642109</v>
      </c>
    </row>
    <row r="12" spans="10:94" x14ac:dyDescent="0.15">
      <c r="J12" s="67" t="s">
        <v>262</v>
      </c>
      <c r="K12">
        <v>22.798953742617002</v>
      </c>
      <c r="L12">
        <v>23.671951522623974</v>
      </c>
      <c r="M12">
        <v>22.798953742617002</v>
      </c>
      <c r="N12">
        <v>23.635714888328362</v>
      </c>
      <c r="O12">
        <v>22.798953742617002</v>
      </c>
      <c r="P12">
        <v>23.635714888328366</v>
      </c>
      <c r="Q12">
        <v>22.798953742617002</v>
      </c>
      <c r="R12">
        <v>23.635714888328362</v>
      </c>
    </row>
    <row r="13" spans="10:94" x14ac:dyDescent="0.15">
      <c r="J13" s="67" t="s">
        <v>263</v>
      </c>
      <c r="K13">
        <v>452.60089311595999</v>
      </c>
      <c r="L13">
        <v>489.08297051120456</v>
      </c>
      <c r="M13">
        <v>452.60089311595999</v>
      </c>
      <c r="N13">
        <v>488.33429033899012</v>
      </c>
      <c r="O13">
        <v>452.60089311595999</v>
      </c>
      <c r="P13">
        <v>488.33429033898994</v>
      </c>
      <c r="Q13">
        <v>452.60089311595999</v>
      </c>
      <c r="R13">
        <v>488.33429033898994</v>
      </c>
    </row>
    <row r="14" spans="10:94" x14ac:dyDescent="0.15">
      <c r="J14" s="67"/>
    </row>
  </sheetData>
  <phoneticPr fontId="14" type="noConversion"/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dimension ref="J6:CP24"/>
  <sheetViews>
    <sheetView workbookViewId="0">
      <selection activeCell="A27" sqref="A27:XFD27"/>
    </sheetView>
  </sheetViews>
  <sheetFormatPr defaultColWidth="9" defaultRowHeight="13.5" x14ac:dyDescent="0.15"/>
  <sheetData>
    <row r="6" spans="10:94" x14ac:dyDescent="0.15">
      <c r="K6" s="67" t="s">
        <v>73</v>
      </c>
      <c r="L6" s="67" t="s">
        <v>73</v>
      </c>
      <c r="M6" s="67" t="s">
        <v>315</v>
      </c>
      <c r="N6" s="67" t="s">
        <v>315</v>
      </c>
      <c r="O6" s="67" t="s">
        <v>316</v>
      </c>
      <c r="P6" s="67" t="s">
        <v>316</v>
      </c>
      <c r="Q6" s="67" t="s">
        <v>317</v>
      </c>
      <c r="R6" s="67" t="s">
        <v>317</v>
      </c>
      <c r="S6" s="67"/>
      <c r="T6" s="67"/>
      <c r="U6" s="67"/>
      <c r="V6" s="67"/>
      <c r="W6" s="67"/>
      <c r="X6" s="67"/>
      <c r="Y6" s="67"/>
      <c r="Z6" s="67"/>
      <c r="AA6" s="67"/>
      <c r="AB6" s="67"/>
      <c r="AC6" s="67"/>
      <c r="AD6" s="67"/>
      <c r="AE6" s="67"/>
      <c r="AF6" s="67"/>
      <c r="AG6" s="67"/>
      <c r="AH6" s="67"/>
      <c r="AI6" s="67"/>
      <c r="AJ6" s="67"/>
      <c r="AK6" s="67"/>
      <c r="AL6" s="67"/>
      <c r="AM6" s="67"/>
      <c r="AN6" s="67"/>
      <c r="AO6" s="67"/>
      <c r="AP6" s="67"/>
      <c r="AQ6" s="67"/>
      <c r="AR6" s="67"/>
      <c r="AS6" s="67"/>
      <c r="AT6" s="67"/>
      <c r="AU6" s="67"/>
      <c r="AV6" s="67"/>
      <c r="AW6" s="67"/>
      <c r="AX6" s="67"/>
      <c r="AY6" s="67"/>
      <c r="AZ6" s="67"/>
      <c r="BA6" s="67"/>
      <c r="BB6" s="67"/>
      <c r="BC6" s="67"/>
      <c r="BD6" s="67"/>
      <c r="BE6" s="67"/>
      <c r="BF6" s="67"/>
      <c r="BG6" s="67"/>
      <c r="BH6" s="67"/>
      <c r="BI6" s="67"/>
      <c r="BJ6" s="67"/>
      <c r="BK6" s="67"/>
      <c r="BL6" s="67"/>
      <c r="BM6" s="67"/>
      <c r="BN6" s="67"/>
      <c r="BO6" s="67"/>
      <c r="BP6" s="67"/>
      <c r="BQ6" s="67"/>
      <c r="BR6" s="67"/>
      <c r="BS6" s="67"/>
      <c r="BT6" s="67"/>
      <c r="BU6" s="67"/>
      <c r="BV6" s="67"/>
      <c r="BW6" s="67"/>
      <c r="BX6" s="67"/>
      <c r="BY6" s="67"/>
      <c r="BZ6" s="67"/>
      <c r="CA6" s="67"/>
      <c r="CB6" s="67"/>
      <c r="CC6" s="67"/>
      <c r="CD6" s="67"/>
      <c r="CE6" s="67"/>
      <c r="CF6" s="67"/>
      <c r="CG6" s="67"/>
      <c r="CH6" s="67"/>
      <c r="CI6" s="67"/>
      <c r="CJ6" s="67"/>
      <c r="CK6" s="67"/>
      <c r="CL6" s="67"/>
      <c r="CM6" s="67"/>
      <c r="CN6" s="67"/>
      <c r="CO6" s="67"/>
      <c r="CP6" s="67"/>
    </row>
    <row r="7" spans="10:94" x14ac:dyDescent="0.15">
      <c r="K7" s="67" t="s">
        <v>76</v>
      </c>
      <c r="L7" s="67" t="s">
        <v>77</v>
      </c>
      <c r="M7" s="67" t="s">
        <v>76</v>
      </c>
      <c r="N7" s="67" t="s">
        <v>77</v>
      </c>
      <c r="O7" s="67" t="s">
        <v>76</v>
      </c>
      <c r="P7" s="67" t="s">
        <v>77</v>
      </c>
      <c r="Q7" s="67" t="s">
        <v>76</v>
      </c>
      <c r="R7" s="67" t="s">
        <v>77</v>
      </c>
      <c r="S7" s="67"/>
      <c r="T7" s="67"/>
      <c r="U7" s="67"/>
      <c r="V7" s="67"/>
      <c r="W7" s="67"/>
      <c r="X7" s="67"/>
      <c r="Y7" s="67"/>
      <c r="Z7" s="67"/>
      <c r="AA7" s="67"/>
      <c r="AB7" s="67"/>
      <c r="AC7" s="67"/>
      <c r="AD7" s="67"/>
      <c r="AE7" s="67"/>
      <c r="AF7" s="67"/>
      <c r="AG7" s="67"/>
      <c r="AH7" s="67"/>
      <c r="AI7" s="67"/>
      <c r="AJ7" s="67"/>
      <c r="AK7" s="67"/>
      <c r="AL7" s="67"/>
      <c r="AM7" s="67"/>
      <c r="AN7" s="67"/>
      <c r="AO7" s="67"/>
      <c r="AP7" s="67"/>
      <c r="AQ7" s="67"/>
      <c r="AR7" s="67"/>
      <c r="AS7" s="67"/>
      <c r="AT7" s="67"/>
      <c r="AU7" s="67"/>
      <c r="AV7" s="67"/>
      <c r="AW7" s="67"/>
      <c r="AX7" s="67"/>
      <c r="AY7" s="67"/>
      <c r="AZ7" s="67"/>
      <c r="BA7" s="67"/>
      <c r="BB7" s="67"/>
      <c r="BC7" s="67"/>
      <c r="BD7" s="67"/>
      <c r="BE7" s="67"/>
      <c r="BF7" s="67"/>
      <c r="BG7" s="67"/>
      <c r="BH7" s="67"/>
      <c r="BI7" s="67"/>
      <c r="BJ7" s="67"/>
      <c r="BK7" s="67"/>
      <c r="BL7" s="67"/>
      <c r="BM7" s="67"/>
      <c r="BN7" s="67"/>
      <c r="BO7" s="67"/>
      <c r="BP7" s="67"/>
      <c r="BQ7" s="67"/>
      <c r="BR7" s="67"/>
      <c r="BS7" s="67"/>
      <c r="BT7" s="67"/>
      <c r="BU7" s="67"/>
      <c r="BV7" s="67"/>
      <c r="BW7" s="67"/>
      <c r="BX7" s="67"/>
      <c r="BY7" s="67"/>
      <c r="BZ7" s="67"/>
      <c r="CA7" s="67"/>
      <c r="CB7" s="67"/>
      <c r="CC7" s="67"/>
      <c r="CD7" s="67"/>
      <c r="CE7" s="67"/>
      <c r="CF7" s="67"/>
      <c r="CG7" s="67"/>
      <c r="CH7" s="67"/>
      <c r="CI7" s="67"/>
      <c r="CJ7" s="67"/>
      <c r="CK7" s="67"/>
      <c r="CL7" s="67"/>
      <c r="CM7" s="67"/>
      <c r="CN7" s="67"/>
      <c r="CO7" s="67"/>
      <c r="CP7" s="67"/>
    </row>
    <row r="8" spans="10:94" x14ac:dyDescent="0.15">
      <c r="J8" s="67" t="s">
        <v>237</v>
      </c>
      <c r="K8">
        <v>1914.9559999999999</v>
      </c>
      <c r="L8">
        <v>2309.755786569568</v>
      </c>
      <c r="M8">
        <v>1914.9559999999999</v>
      </c>
      <c r="N8">
        <v>2339.3965095458148</v>
      </c>
      <c r="O8">
        <v>1914.9559999999999</v>
      </c>
      <c r="P8">
        <v>2369.7870543754125</v>
      </c>
      <c r="Q8">
        <v>1914.9559999999999</v>
      </c>
      <c r="R8">
        <v>2316.4708301242272</v>
      </c>
    </row>
    <row r="9" spans="10:94" x14ac:dyDescent="0.15">
      <c r="J9" s="67" t="s">
        <v>238</v>
      </c>
      <c r="K9">
        <v>1241.92</v>
      </c>
      <c r="L9">
        <v>1251.2334177409111</v>
      </c>
      <c r="M9">
        <v>1241.92</v>
      </c>
      <c r="N9">
        <v>1273.3944452217702</v>
      </c>
      <c r="O9">
        <v>1241.92</v>
      </c>
      <c r="P9">
        <v>1289.9063885923231</v>
      </c>
      <c r="Q9">
        <v>1241.92</v>
      </c>
      <c r="R9">
        <v>1260.938295975227</v>
      </c>
    </row>
    <row r="10" spans="10:94" x14ac:dyDescent="0.15">
      <c r="J10" s="67" t="s">
        <v>239</v>
      </c>
      <c r="K10">
        <v>-562.86499999999899</v>
      </c>
      <c r="L10">
        <v>-143.76379313204063</v>
      </c>
      <c r="M10">
        <v>-562.86499999999899</v>
      </c>
      <c r="N10">
        <v>-146.30481533195908</v>
      </c>
      <c r="O10">
        <v>-562.86499999999899</v>
      </c>
      <c r="P10">
        <v>-148.19584792224734</v>
      </c>
      <c r="Q10">
        <v>-562.86499999999899</v>
      </c>
      <c r="R10">
        <v>-144.87826250986257</v>
      </c>
    </row>
    <row r="11" spans="10:94" x14ac:dyDescent="0.15">
      <c r="J11" s="67" t="s">
        <v>241</v>
      </c>
      <c r="K11">
        <v>2.99758699999995</v>
      </c>
      <c r="L11">
        <v>3.0037602947782829</v>
      </c>
      <c r="M11">
        <v>2.99758699999995</v>
      </c>
      <c r="N11">
        <v>3.0571024996426575</v>
      </c>
      <c r="O11">
        <v>2.99758699999995</v>
      </c>
      <c r="P11">
        <v>3.0969082972277922</v>
      </c>
      <c r="Q11">
        <v>2.99758699999995</v>
      </c>
      <c r="R11">
        <v>3.0270744125604163</v>
      </c>
    </row>
    <row r="12" spans="10:94" x14ac:dyDescent="0.15">
      <c r="J12" s="67" t="s">
        <v>242</v>
      </c>
      <c r="K12">
        <v>-10.000000000000099</v>
      </c>
      <c r="L12">
        <v>-9.9291703382080332</v>
      </c>
      <c r="M12">
        <v>-10.000000000000099</v>
      </c>
      <c r="N12">
        <v>-10.105497270565005</v>
      </c>
      <c r="O12">
        <v>-10.000000000000099</v>
      </c>
      <c r="P12">
        <v>-10.237078524021927</v>
      </c>
      <c r="Q12">
        <v>-10.000000000000099</v>
      </c>
      <c r="R12">
        <v>-10.006237022638958</v>
      </c>
    </row>
    <row r="13" spans="10:94" x14ac:dyDescent="0.15">
      <c r="J13" s="67" t="s">
        <v>243</v>
      </c>
      <c r="K13">
        <v>701.35099999999898</v>
      </c>
      <c r="L13">
        <v>262.76624980639059</v>
      </c>
      <c r="M13">
        <v>701.35099999999898</v>
      </c>
      <c r="N13">
        <v>264.46239569029518</v>
      </c>
      <c r="O13">
        <v>701.35099999999898</v>
      </c>
      <c r="P13">
        <v>264.46239569029444</v>
      </c>
      <c r="Q13">
        <v>701.35099999999898</v>
      </c>
      <c r="R13">
        <v>264.46239569029444</v>
      </c>
    </row>
    <row r="14" spans="10:94" x14ac:dyDescent="0.15">
      <c r="J14" s="67" t="s">
        <v>244</v>
      </c>
      <c r="K14">
        <v>0.68999999999994799</v>
      </c>
      <c r="L14">
        <v>0.70003850299546388</v>
      </c>
      <c r="M14">
        <v>0.68999999999994799</v>
      </c>
      <c r="N14">
        <v>0.70474183015463709</v>
      </c>
      <c r="O14">
        <v>0.68999999999994799</v>
      </c>
      <c r="P14">
        <v>0.70474183015463554</v>
      </c>
      <c r="Q14">
        <v>0.68999999999994799</v>
      </c>
      <c r="R14">
        <v>0.70474183015463598</v>
      </c>
    </row>
    <row r="15" spans="10:94" x14ac:dyDescent="0.15">
      <c r="J15" s="67" t="s">
        <v>245</v>
      </c>
      <c r="K15">
        <v>200.91</v>
      </c>
      <c r="L15">
        <v>198.78223943368181</v>
      </c>
      <c r="M15">
        <v>200.91</v>
      </c>
      <c r="N15">
        <v>198.48456001933678</v>
      </c>
      <c r="O15">
        <v>200.91</v>
      </c>
      <c r="P15">
        <v>198.48456001933644</v>
      </c>
      <c r="Q15">
        <v>200.91</v>
      </c>
      <c r="R15">
        <v>198.48456001933647</v>
      </c>
    </row>
    <row r="16" spans="10:94" x14ac:dyDescent="0.15">
      <c r="J16" s="67" t="s">
        <v>246</v>
      </c>
      <c r="K16">
        <v>7.8267000000000699</v>
      </c>
      <c r="L16">
        <v>8.6228722182409125</v>
      </c>
      <c r="M16">
        <v>7.8267000000000699</v>
      </c>
      <c r="N16">
        <v>8.6785325217661224</v>
      </c>
      <c r="O16">
        <v>7.8267000000000699</v>
      </c>
      <c r="P16">
        <v>8.6785325217661171</v>
      </c>
      <c r="Q16">
        <v>7.8267000000000699</v>
      </c>
      <c r="R16">
        <v>8.6785325217661207</v>
      </c>
    </row>
    <row r="17" spans="10:18" x14ac:dyDescent="0.15">
      <c r="J17" s="67" t="s">
        <v>247</v>
      </c>
      <c r="K17">
        <v>-19.240000000000499</v>
      </c>
      <c r="L17">
        <v>-20.446796608865586</v>
      </c>
      <c r="M17">
        <v>-19.240000000000499</v>
      </c>
      <c r="N17">
        <v>-20.621065327216133</v>
      </c>
      <c r="O17">
        <v>-19.240000000000499</v>
      </c>
      <c r="P17">
        <v>-20.621065327216051</v>
      </c>
      <c r="Q17">
        <v>-19.240000000000499</v>
      </c>
      <c r="R17">
        <v>-20.621065327216051</v>
      </c>
    </row>
    <row r="18" spans="10:18" x14ac:dyDescent="0.15">
      <c r="J18" s="67" t="s">
        <v>248</v>
      </c>
      <c r="K18">
        <v>-77.065000000000097</v>
      </c>
      <c r="L18">
        <v>-82.83427600757004</v>
      </c>
      <c r="M18">
        <v>-77.065000000000097</v>
      </c>
      <c r="N18">
        <v>-82.683332647004463</v>
      </c>
      <c r="O18">
        <v>-77.065000000000097</v>
      </c>
      <c r="P18">
        <v>-82.683332647004292</v>
      </c>
      <c r="Q18">
        <v>-77.065000000000097</v>
      </c>
      <c r="R18">
        <v>-82.683332647004391</v>
      </c>
    </row>
    <row r="19" spans="10:18" x14ac:dyDescent="0.15">
      <c r="J19" s="67" t="s">
        <v>249</v>
      </c>
      <c r="K19">
        <v>-9.0599999999998904</v>
      </c>
      <c r="L19">
        <v>-9.3756094173362943</v>
      </c>
      <c r="M19">
        <v>-9.0599999999998904</v>
      </c>
      <c r="N19">
        <v>-9.4361286100942188</v>
      </c>
      <c r="O19">
        <v>-9.0599999999998904</v>
      </c>
      <c r="P19">
        <v>-9.4361286100942152</v>
      </c>
      <c r="Q19">
        <v>-9.0599999999998904</v>
      </c>
      <c r="R19">
        <v>-9.4361286100942188</v>
      </c>
    </row>
    <row r="20" spans="10:18" x14ac:dyDescent="0.15">
      <c r="J20" s="67" t="s">
        <v>250</v>
      </c>
      <c r="K20">
        <v>-0.90999999999994596</v>
      </c>
      <c r="L20">
        <v>-0.96112226362953557</v>
      </c>
      <c r="M20">
        <v>-0.90999999999994596</v>
      </c>
      <c r="N20">
        <v>-0.96667424034175986</v>
      </c>
      <c r="O20">
        <v>-0.90999999999994596</v>
      </c>
      <c r="P20">
        <v>-0.96667424034175908</v>
      </c>
      <c r="Q20">
        <v>-0.90999999999994596</v>
      </c>
      <c r="R20">
        <v>-0.96667424034175908</v>
      </c>
    </row>
    <row r="21" spans="10:18" x14ac:dyDescent="0.15">
      <c r="J21" s="67" t="s">
        <v>251</v>
      </c>
      <c r="K21">
        <v>-4.1859999999999902</v>
      </c>
      <c r="L21">
        <v>-4.2589259611368737</v>
      </c>
      <c r="M21">
        <v>-4.1859999999999902</v>
      </c>
      <c r="N21">
        <v>-4.2525693865486547</v>
      </c>
      <c r="O21">
        <v>-4.1859999999999902</v>
      </c>
      <c r="P21">
        <v>-4.2525693865486494</v>
      </c>
      <c r="Q21">
        <v>-4.1859999999999902</v>
      </c>
      <c r="R21">
        <v>-4.252569386548652</v>
      </c>
    </row>
    <row r="22" spans="10:18" x14ac:dyDescent="0.15">
      <c r="J22" s="67" t="s">
        <v>252</v>
      </c>
      <c r="K22">
        <v>8.1000000000000192</v>
      </c>
      <c r="L22">
        <v>8.4867675752971348</v>
      </c>
      <c r="M22">
        <v>8.1000000000000192</v>
      </c>
      <c r="N22">
        <v>8.5431564442010526</v>
      </c>
      <c r="O22">
        <v>8.1000000000000192</v>
      </c>
      <c r="P22">
        <v>8.5431564442010526</v>
      </c>
      <c r="Q22">
        <v>8.1000000000000192</v>
      </c>
      <c r="R22">
        <v>8.5431564442010526</v>
      </c>
    </row>
    <row r="23" spans="10:18" x14ac:dyDescent="0.15">
      <c r="J23" s="67" t="s">
        <v>253</v>
      </c>
      <c r="K23">
        <v>-16</v>
      </c>
      <c r="L23">
        <v>-16.094212436717758</v>
      </c>
      <c r="M23">
        <v>-16</v>
      </c>
      <c r="N23">
        <v>-16.165363160427383</v>
      </c>
      <c r="O23">
        <v>-16</v>
      </c>
      <c r="P23">
        <v>-16.16536316042739</v>
      </c>
      <c r="Q23">
        <v>-16</v>
      </c>
      <c r="R23">
        <v>-16.165363160427393</v>
      </c>
    </row>
    <row r="24" spans="10:18" x14ac:dyDescent="0.15">
      <c r="J24" s="67" t="s">
        <v>265</v>
      </c>
      <c r="K24">
        <v>-136.67400195995299</v>
      </c>
      <c r="L24">
        <v>-138.00728807781115</v>
      </c>
      <c r="M24">
        <v>-136.67400195995299</v>
      </c>
      <c r="N24">
        <v>-139.58278756816546</v>
      </c>
      <c r="O24">
        <v>-136.67400195995299</v>
      </c>
      <c r="P24">
        <v>-141.39942243460089</v>
      </c>
      <c r="Q24">
        <v>-136.67400195995299</v>
      </c>
      <c r="R24">
        <v>-138.21238089837811</v>
      </c>
    </row>
  </sheetData>
  <phoneticPr fontId="14" type="noConversion"/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dimension ref="J6:CP19"/>
  <sheetViews>
    <sheetView topLeftCell="I1" workbookViewId="0">
      <pane xSplit="2" ySplit="7" topLeftCell="BA8" activePane="bottomRight" state="frozen"/>
      <selection pane="topRight"/>
      <selection pane="bottomLeft"/>
      <selection pane="bottomRight" activeCell="BN13" sqref="BN13"/>
    </sheetView>
  </sheetViews>
  <sheetFormatPr defaultColWidth="9" defaultRowHeight="13.5" x14ac:dyDescent="0.15"/>
  <cols>
    <col min="17" max="17" width="12.625" style="8" customWidth="1"/>
    <col min="47" max="55" width="9" style="4"/>
    <col min="56" max="61" width="9" style="9"/>
    <col min="62" max="62" width="12.625" style="10" customWidth="1"/>
    <col min="63" max="64" width="9" style="9"/>
  </cols>
  <sheetData>
    <row r="6" spans="10:94" x14ac:dyDescent="0.15">
      <c r="K6" s="67" t="s">
        <v>73</v>
      </c>
      <c r="L6" s="67" t="s">
        <v>73</v>
      </c>
      <c r="M6" s="67" t="s">
        <v>315</v>
      </c>
      <c r="N6" s="67" t="s">
        <v>315</v>
      </c>
      <c r="O6" s="67" t="s">
        <v>316</v>
      </c>
      <c r="P6" s="67" t="s">
        <v>316</v>
      </c>
      <c r="Q6" s="81" t="s">
        <v>317</v>
      </c>
      <c r="R6" s="67" t="s">
        <v>317</v>
      </c>
      <c r="S6" s="67"/>
      <c r="T6" s="67"/>
      <c r="U6" s="67"/>
      <c r="V6" s="67"/>
      <c r="W6" s="67"/>
      <c r="X6" s="67"/>
      <c r="Y6" s="67"/>
      <c r="Z6" s="67"/>
      <c r="AA6" s="67"/>
      <c r="AB6" s="67"/>
      <c r="AC6" s="67"/>
      <c r="AD6" s="67"/>
      <c r="AE6" s="67"/>
      <c r="AF6" s="67"/>
      <c r="AG6" s="67"/>
      <c r="AH6" s="67"/>
      <c r="AI6" s="67"/>
      <c r="AJ6" s="67"/>
      <c r="AK6" s="67"/>
      <c r="AL6" s="67"/>
      <c r="AM6" s="67"/>
      <c r="AN6" s="67"/>
      <c r="AO6" s="67"/>
      <c r="AP6" s="67"/>
      <c r="AQ6" s="67"/>
      <c r="AR6" s="67"/>
      <c r="AS6" s="67"/>
      <c r="AT6" s="67"/>
      <c r="AU6" s="69"/>
      <c r="AV6" s="69"/>
      <c r="AW6" s="69"/>
      <c r="AX6" s="69"/>
      <c r="AY6" s="69"/>
      <c r="AZ6" s="69"/>
      <c r="BA6" s="69"/>
      <c r="BB6" s="69"/>
      <c r="BC6" s="69"/>
      <c r="BD6" s="83"/>
      <c r="BE6" s="83"/>
      <c r="BF6" s="83"/>
      <c r="BG6" s="83"/>
      <c r="BH6" s="83"/>
      <c r="BI6" s="83"/>
      <c r="BJ6" s="84"/>
      <c r="BK6" s="83"/>
      <c r="BL6" s="83"/>
      <c r="BM6" s="67"/>
      <c r="BN6" s="67"/>
      <c r="BO6" s="67"/>
      <c r="BP6" s="67"/>
      <c r="BQ6" s="67"/>
      <c r="BR6" s="67"/>
      <c r="BS6" s="67"/>
      <c r="BT6" s="67"/>
      <c r="BU6" s="67"/>
      <c r="BV6" s="67"/>
      <c r="BW6" s="67"/>
      <c r="BX6" s="67"/>
      <c r="BY6" s="67"/>
      <c r="BZ6" s="67"/>
      <c r="CA6" s="67"/>
      <c r="CB6" s="67"/>
      <c r="CC6" s="67"/>
      <c r="CD6" s="67"/>
      <c r="CE6" s="67"/>
      <c r="CF6" s="67"/>
      <c r="CG6" s="67"/>
      <c r="CH6" s="67"/>
      <c r="CI6" s="67"/>
      <c r="CJ6" s="67"/>
      <c r="CK6" s="67"/>
      <c r="CL6" s="67"/>
      <c r="CM6" s="67"/>
      <c r="CN6" s="67"/>
      <c r="CO6" s="67"/>
      <c r="CP6" s="67"/>
    </row>
    <row r="7" spans="10:94" x14ac:dyDescent="0.15">
      <c r="K7" s="67" t="s">
        <v>76</v>
      </c>
      <c r="L7" s="67" t="s">
        <v>77</v>
      </c>
      <c r="M7" s="67" t="s">
        <v>76</v>
      </c>
      <c r="N7" s="67" t="s">
        <v>77</v>
      </c>
      <c r="O7" s="67" t="s">
        <v>76</v>
      </c>
      <c r="P7" s="67" t="s">
        <v>77</v>
      </c>
      <c r="Q7" s="81" t="s">
        <v>76</v>
      </c>
      <c r="R7" s="67" t="s">
        <v>77</v>
      </c>
      <c r="S7" s="67"/>
      <c r="T7" s="67"/>
      <c r="U7" s="67"/>
      <c r="V7" s="67"/>
      <c r="W7" s="67"/>
      <c r="X7" s="67"/>
      <c r="Y7" s="67"/>
      <c r="Z7" s="67"/>
      <c r="AA7" s="67"/>
      <c r="AB7" s="67"/>
      <c r="AC7" s="67"/>
      <c r="AD7" s="67"/>
      <c r="AE7" s="67"/>
      <c r="AF7" s="67"/>
      <c r="AG7" s="67"/>
      <c r="AH7" s="67"/>
      <c r="AI7" s="67"/>
      <c r="AJ7" s="67"/>
      <c r="AK7" s="67"/>
      <c r="AL7" s="67"/>
      <c r="AM7" s="67"/>
      <c r="AN7" s="67"/>
      <c r="AO7" s="67"/>
      <c r="AP7" s="67"/>
      <c r="AQ7" s="67"/>
      <c r="AR7" s="67"/>
      <c r="AS7" s="67"/>
      <c r="AT7" s="67"/>
      <c r="AU7" s="69"/>
      <c r="AV7" s="69"/>
      <c r="AW7" s="69"/>
      <c r="AX7" s="69"/>
      <c r="AY7" s="69"/>
      <c r="AZ7" s="69"/>
      <c r="BA7" s="69"/>
      <c r="BB7" s="69"/>
      <c r="BC7" s="69"/>
      <c r="BD7" s="83"/>
      <c r="BE7" s="83"/>
      <c r="BF7" s="83"/>
      <c r="BG7" s="83"/>
      <c r="BH7" s="83"/>
      <c r="BI7" s="83"/>
      <c r="BJ7" s="84"/>
      <c r="BK7" s="83"/>
      <c r="BL7" s="83"/>
      <c r="BM7" s="67"/>
      <c r="BN7" s="67"/>
      <c r="BO7" s="67"/>
      <c r="BP7" s="67"/>
      <c r="BQ7" s="67"/>
      <c r="BR7" s="67"/>
      <c r="BS7" s="67"/>
      <c r="BT7" s="67"/>
      <c r="BU7" s="67"/>
      <c r="BV7" s="67"/>
      <c r="BW7" s="67"/>
      <c r="BX7" s="67"/>
      <c r="BY7" s="67"/>
      <c r="BZ7" s="67"/>
      <c r="CA7" s="67"/>
      <c r="CB7" s="67"/>
      <c r="CC7" s="67"/>
      <c r="CD7" s="67"/>
      <c r="CE7" s="67"/>
      <c r="CF7" s="67"/>
      <c r="CG7" s="67"/>
      <c r="CH7" s="67"/>
      <c r="CI7" s="67"/>
      <c r="CJ7" s="67"/>
      <c r="CK7" s="67"/>
      <c r="CL7" s="67"/>
      <c r="CM7" s="67"/>
      <c r="CN7" s="67"/>
      <c r="CO7" s="67"/>
      <c r="CP7" s="67"/>
    </row>
    <row r="8" spans="10:94" x14ac:dyDescent="0.15">
      <c r="J8" s="67" t="s">
        <v>237</v>
      </c>
      <c r="N8">
        <v>232.39815092841104</v>
      </c>
      <c r="P8">
        <v>469.82152506591353</v>
      </c>
      <c r="R8">
        <v>53.285583730008</v>
      </c>
    </row>
    <row r="9" spans="10:94" x14ac:dyDescent="0.15">
      <c r="J9" s="67" t="s">
        <v>238</v>
      </c>
      <c r="N9">
        <v>128.0330666641502</v>
      </c>
      <c r="P9">
        <v>289.60986399779921</v>
      </c>
      <c r="R9">
        <v>6.1057309717918997</v>
      </c>
    </row>
    <row r="10" spans="10:94" x14ac:dyDescent="0.15">
      <c r="J10" s="67" t="s">
        <v>239</v>
      </c>
      <c r="N10">
        <v>92.62091925903178</v>
      </c>
      <c r="P10">
        <v>480.59847806262326</v>
      </c>
    </row>
    <row r="11" spans="10:94" x14ac:dyDescent="0.15">
      <c r="J11" s="67" t="s">
        <v>240</v>
      </c>
      <c r="K11">
        <v>99.02</v>
      </c>
      <c r="L11">
        <v>106.2104512851638</v>
      </c>
      <c r="M11">
        <v>99.02</v>
      </c>
      <c r="N11">
        <v>178.11326323536409</v>
      </c>
      <c r="O11">
        <v>99.02</v>
      </c>
      <c r="P11">
        <v>178.11326323535576</v>
      </c>
      <c r="Q11" s="8">
        <v>99.02</v>
      </c>
      <c r="R11">
        <v>178.11326323535286</v>
      </c>
    </row>
    <row r="12" spans="10:94" x14ac:dyDescent="0.15">
      <c r="J12" s="67" t="s">
        <v>244</v>
      </c>
      <c r="K12">
        <v>21.57</v>
      </c>
      <c r="L12">
        <v>20.869961497004397</v>
      </c>
      <c r="M12">
        <v>21.57</v>
      </c>
      <c r="N12">
        <v>20.86525816984522</v>
      </c>
      <c r="O12">
        <v>21.57</v>
      </c>
      <c r="P12">
        <v>20.865258169844992</v>
      </c>
      <c r="Q12" s="8">
        <v>21.57</v>
      </c>
      <c r="R12">
        <v>20.86525816984522</v>
      </c>
    </row>
    <row r="13" spans="10:94" x14ac:dyDescent="0.15">
      <c r="J13" s="67" t="s">
        <v>245</v>
      </c>
      <c r="K13">
        <v>78.089999999999989</v>
      </c>
      <c r="M13">
        <v>78.089999999999989</v>
      </c>
      <c r="O13">
        <v>78.089999999999989</v>
      </c>
      <c r="Q13" s="8">
        <v>78.089999999999989</v>
      </c>
    </row>
    <row r="14" spans="10:94" x14ac:dyDescent="0.15">
      <c r="J14" s="67" t="s">
        <v>249</v>
      </c>
      <c r="L14">
        <v>80.259483364218838</v>
      </c>
      <c r="N14">
        <v>103.22280330356301</v>
      </c>
      <c r="P14">
        <v>103.22280330356554</v>
      </c>
      <c r="R14">
        <v>103.22280330356614</v>
      </c>
    </row>
    <row r="15" spans="10:94" x14ac:dyDescent="0.15">
      <c r="J15" s="67" t="s">
        <v>251</v>
      </c>
      <c r="K15">
        <v>0.186</v>
      </c>
      <c r="L15">
        <v>4.444925961136903</v>
      </c>
      <c r="M15">
        <v>0.186</v>
      </c>
      <c r="N15">
        <v>4.438569386548636</v>
      </c>
      <c r="O15">
        <v>0.186</v>
      </c>
      <c r="P15">
        <v>4.4385693865485791</v>
      </c>
      <c r="Q15" s="8">
        <v>0.186</v>
      </c>
      <c r="R15">
        <v>4.4385693865486928</v>
      </c>
    </row>
    <row r="16" spans="10:94" x14ac:dyDescent="0.15">
      <c r="J16" s="67" t="s">
        <v>255</v>
      </c>
      <c r="L16">
        <v>0.27590582439560762</v>
      </c>
      <c r="N16">
        <v>1.2905789565566579</v>
      </c>
      <c r="P16">
        <v>1.2905789565566579</v>
      </c>
      <c r="R16">
        <v>1.2905789565566579</v>
      </c>
    </row>
    <row r="17" spans="10:18" x14ac:dyDescent="0.15">
      <c r="J17" s="67" t="s">
        <v>257</v>
      </c>
      <c r="K17">
        <v>1522.66321818182</v>
      </c>
      <c r="L17">
        <v>1280.98138234418</v>
      </c>
      <c r="M17">
        <v>1522.66321818182</v>
      </c>
      <c r="N17">
        <v>1838.3977067998735</v>
      </c>
      <c r="O17">
        <v>1522.66321818182</v>
      </c>
      <c r="P17">
        <v>1838.3977067998869</v>
      </c>
      <c r="Q17" s="8">
        <v>1522.66321818182</v>
      </c>
      <c r="R17">
        <v>1838.3977067999072</v>
      </c>
    </row>
    <row r="18" spans="10:18" x14ac:dyDescent="0.15">
      <c r="J18" s="67" t="s">
        <v>261</v>
      </c>
      <c r="K18">
        <v>40.831668699999994</v>
      </c>
      <c r="M18">
        <v>40.831668699999994</v>
      </c>
      <c r="N18">
        <v>12.484397526999601</v>
      </c>
      <c r="O18">
        <v>40.831668699999994</v>
      </c>
      <c r="P18">
        <v>12.484397526998237</v>
      </c>
      <c r="Q18" s="8">
        <v>40.831668699999994</v>
      </c>
      <c r="R18">
        <v>12.484397526999146</v>
      </c>
    </row>
    <row r="19" spans="10:18" x14ac:dyDescent="0.15">
      <c r="J19" s="67" t="s">
        <v>262</v>
      </c>
      <c r="K19">
        <v>19.815003300000001</v>
      </c>
      <c r="L19">
        <v>29.159502154128859</v>
      </c>
      <c r="M19">
        <v>19.815003300000001</v>
      </c>
      <c r="N19">
        <v>30.121882291762631</v>
      </c>
      <c r="O19">
        <v>19.815003300000001</v>
      </c>
      <c r="P19">
        <v>30.121882291763995</v>
      </c>
      <c r="Q19" s="8">
        <v>19.815003300000001</v>
      </c>
      <c r="R19">
        <v>30.121882291763541</v>
      </c>
    </row>
  </sheetData>
  <phoneticPr fontId="14" type="noConversion"/>
  <pageMargins left="0.7" right="0.7" top="0.75" bottom="0.75" header="0.3" footer="0.3"/>
  <pageSetup paperSize="9" orientation="portrait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dimension ref="J6:CP36"/>
  <sheetViews>
    <sheetView workbookViewId="0"/>
  </sheetViews>
  <sheetFormatPr defaultColWidth="9" defaultRowHeight="13.5" x14ac:dyDescent="0.15"/>
  <sheetData>
    <row r="6" spans="10:94" x14ac:dyDescent="0.15">
      <c r="K6" s="67" t="s">
        <v>73</v>
      </c>
      <c r="L6" s="67" t="s">
        <v>73</v>
      </c>
      <c r="M6" s="67" t="s">
        <v>315</v>
      </c>
      <c r="N6" s="67" t="s">
        <v>315</v>
      </c>
      <c r="O6" s="67" t="s">
        <v>316</v>
      </c>
      <c r="P6" s="67" t="s">
        <v>316</v>
      </c>
      <c r="Q6" s="67" t="s">
        <v>317</v>
      </c>
      <c r="R6" s="67" t="s">
        <v>317</v>
      </c>
      <c r="S6" s="67"/>
      <c r="T6" s="67"/>
      <c r="U6" s="67"/>
      <c r="V6" s="67"/>
      <c r="W6" s="67"/>
      <c r="X6" s="67"/>
      <c r="Y6" s="67"/>
      <c r="Z6" s="67"/>
      <c r="AA6" s="67"/>
      <c r="AB6" s="67"/>
      <c r="AC6" s="67"/>
      <c r="AD6" s="67"/>
      <c r="AE6" s="67"/>
      <c r="AF6" s="67"/>
      <c r="AG6" s="67"/>
      <c r="AH6" s="67"/>
      <c r="AI6" s="67"/>
      <c r="AJ6" s="67"/>
      <c r="AK6" s="67"/>
      <c r="AL6" s="67"/>
      <c r="AM6" s="67"/>
      <c r="AN6" s="67"/>
      <c r="AO6" s="67"/>
      <c r="AP6" s="67"/>
      <c r="AQ6" s="67"/>
      <c r="AR6" s="67"/>
      <c r="AS6" s="67"/>
      <c r="AT6" s="67"/>
      <c r="AU6" s="67"/>
      <c r="AV6" s="67"/>
      <c r="AW6" s="67"/>
      <c r="AX6" s="67"/>
      <c r="AY6" s="67"/>
      <c r="AZ6" s="67"/>
      <c r="BA6" s="67"/>
      <c r="BB6" s="67"/>
      <c r="BC6" s="67"/>
      <c r="BD6" s="67"/>
      <c r="BE6" s="67"/>
      <c r="BF6" s="67"/>
      <c r="BG6" s="67"/>
      <c r="BH6" s="67"/>
      <c r="BI6" s="67"/>
      <c r="BJ6" s="67"/>
      <c r="BK6" s="67"/>
      <c r="BL6" s="67"/>
      <c r="BM6" s="67"/>
      <c r="BN6" s="67"/>
      <c r="BO6" s="67"/>
      <c r="BP6" s="67"/>
      <c r="BQ6" s="67"/>
      <c r="BR6" s="67"/>
      <c r="BS6" s="67"/>
      <c r="BT6" s="67"/>
      <c r="BU6" s="67"/>
      <c r="BV6" s="67"/>
      <c r="BW6" s="67"/>
      <c r="BX6" s="67"/>
      <c r="BY6" s="67"/>
      <c r="BZ6" s="67"/>
      <c r="CA6" s="67"/>
      <c r="CB6" s="67"/>
      <c r="CC6" s="67"/>
      <c r="CD6" s="67"/>
      <c r="CE6" s="67"/>
      <c r="CF6" s="67"/>
      <c r="CG6" s="67"/>
      <c r="CH6" s="67"/>
      <c r="CI6" s="67"/>
      <c r="CJ6" s="67"/>
      <c r="CK6" s="67"/>
      <c r="CL6" s="67"/>
      <c r="CM6" s="67"/>
      <c r="CN6" s="67"/>
      <c r="CO6" s="67"/>
      <c r="CP6" s="67"/>
    </row>
    <row r="7" spans="10:94" x14ac:dyDescent="0.15">
      <c r="K7" s="67" t="s">
        <v>76</v>
      </c>
      <c r="L7" s="67" t="s">
        <v>77</v>
      </c>
      <c r="M7" s="67" t="s">
        <v>76</v>
      </c>
      <c r="N7" s="67" t="s">
        <v>77</v>
      </c>
      <c r="O7" s="67" t="s">
        <v>76</v>
      </c>
      <c r="P7" s="67" t="s">
        <v>77</v>
      </c>
      <c r="Q7" s="67" t="s">
        <v>76</v>
      </c>
      <c r="R7" s="67" t="s">
        <v>77</v>
      </c>
      <c r="S7" s="67"/>
      <c r="T7" s="67"/>
      <c r="U7" s="67"/>
      <c r="V7" s="67"/>
      <c r="W7" s="67"/>
      <c r="X7" s="67"/>
      <c r="Y7" s="67"/>
      <c r="Z7" s="67"/>
      <c r="AA7" s="67"/>
      <c r="AB7" s="67"/>
      <c r="AC7" s="67"/>
      <c r="AD7" s="67"/>
      <c r="AE7" s="67"/>
      <c r="AF7" s="67"/>
      <c r="AG7" s="67"/>
      <c r="AH7" s="67"/>
      <c r="AI7" s="67"/>
      <c r="AJ7" s="67"/>
      <c r="AK7" s="67"/>
      <c r="AL7" s="67"/>
      <c r="AM7" s="67"/>
      <c r="AN7" s="67"/>
      <c r="AO7" s="67"/>
      <c r="AP7" s="67"/>
      <c r="AQ7" s="67"/>
      <c r="AR7" s="67"/>
      <c r="AS7" s="67"/>
      <c r="AT7" s="67"/>
      <c r="AU7" s="67"/>
      <c r="AV7" s="67"/>
      <c r="AW7" s="67"/>
      <c r="AX7" s="67"/>
      <c r="AY7" s="67"/>
      <c r="AZ7" s="67"/>
      <c r="BA7" s="67"/>
      <c r="BB7" s="67"/>
      <c r="BC7" s="67"/>
      <c r="BD7" s="67"/>
      <c r="BE7" s="67"/>
      <c r="BF7" s="67"/>
      <c r="BG7" s="67"/>
      <c r="BH7" s="67"/>
      <c r="BI7" s="67"/>
      <c r="BJ7" s="67"/>
      <c r="BK7" s="67"/>
      <c r="BL7" s="67"/>
      <c r="BM7" s="67"/>
      <c r="BN7" s="67"/>
      <c r="BO7" s="67"/>
      <c r="BP7" s="67"/>
      <c r="BQ7" s="67"/>
      <c r="BR7" s="67"/>
      <c r="BS7" s="67"/>
      <c r="BT7" s="67"/>
      <c r="BU7" s="67"/>
      <c r="BV7" s="67"/>
      <c r="BW7" s="67"/>
      <c r="BX7" s="67"/>
      <c r="BY7" s="67"/>
      <c r="BZ7" s="67"/>
      <c r="CA7" s="67"/>
      <c r="CB7" s="67"/>
      <c r="CC7" s="67"/>
      <c r="CD7" s="67"/>
      <c r="CE7" s="67"/>
      <c r="CF7" s="67"/>
      <c r="CG7" s="67"/>
      <c r="CH7" s="67"/>
      <c r="CI7" s="67"/>
      <c r="CJ7" s="67"/>
      <c r="CK7" s="67"/>
      <c r="CL7" s="67"/>
      <c r="CM7" s="67"/>
      <c r="CN7" s="67"/>
      <c r="CO7" s="67"/>
      <c r="CP7" s="67"/>
    </row>
    <row r="8" spans="10:94" x14ac:dyDescent="0.15">
      <c r="J8" s="67" t="s">
        <v>237</v>
      </c>
      <c r="K8">
        <v>21106.959999999999</v>
      </c>
      <c r="L8">
        <v>21382.955550256174</v>
      </c>
      <c r="M8">
        <v>21106.959999999999</v>
      </c>
      <c r="N8">
        <v>21253.679627764544</v>
      </c>
      <c r="O8">
        <v>21106.959999999999</v>
      </c>
      <c r="P8">
        <v>21295.376790603641</v>
      </c>
      <c r="Q8">
        <v>21106.959999999999</v>
      </c>
      <c r="R8">
        <v>21222.232365036023</v>
      </c>
    </row>
    <row r="9" spans="10:94" x14ac:dyDescent="0.15">
      <c r="J9" s="67" t="s">
        <v>238</v>
      </c>
      <c r="K9">
        <v>14391.92</v>
      </c>
      <c r="L9">
        <v>14271.073390942303</v>
      </c>
      <c r="M9">
        <v>14391.92</v>
      </c>
      <c r="N9">
        <v>14234.156666257761</v>
      </c>
      <c r="O9">
        <v>14391.92</v>
      </c>
      <c r="P9">
        <v>14258.812551528476</v>
      </c>
      <c r="Q9">
        <v>14391.92</v>
      </c>
      <c r="R9">
        <v>14215.59526376555</v>
      </c>
    </row>
    <row r="10" spans="10:94" x14ac:dyDescent="0.15">
      <c r="J10" s="67" t="s">
        <v>239</v>
      </c>
      <c r="K10">
        <v>30387.81</v>
      </c>
      <c r="L10">
        <v>31392.089343439889</v>
      </c>
      <c r="M10">
        <v>30387.81</v>
      </c>
      <c r="N10">
        <v>31360.249906109428</v>
      </c>
      <c r="O10">
        <v>30387.81</v>
      </c>
      <c r="P10">
        <v>31378.809915149686</v>
      </c>
      <c r="Q10">
        <v>30387.81</v>
      </c>
      <c r="R10">
        <v>31346.255459902542</v>
      </c>
    </row>
    <row r="11" spans="10:94" x14ac:dyDescent="0.15">
      <c r="J11" s="67" t="s">
        <v>240</v>
      </c>
      <c r="K11">
        <v>9765.02</v>
      </c>
      <c r="L11">
        <v>9821.0224183153259</v>
      </c>
      <c r="M11">
        <v>9765.02</v>
      </c>
      <c r="N11">
        <v>9813.1995069716104</v>
      </c>
      <c r="O11">
        <v>9765.02</v>
      </c>
      <c r="P11">
        <v>9813.1995069716122</v>
      </c>
      <c r="Q11">
        <v>9765.02</v>
      </c>
      <c r="R11">
        <v>9813.199506971614</v>
      </c>
    </row>
    <row r="12" spans="10:94" x14ac:dyDescent="0.15">
      <c r="J12" s="67" t="s">
        <v>241</v>
      </c>
      <c r="K12">
        <v>774.13295199999993</v>
      </c>
      <c r="L12">
        <v>776.71927675409313</v>
      </c>
      <c r="M12">
        <v>774.13295199999993</v>
      </c>
      <c r="N12">
        <v>774.82639675311975</v>
      </c>
      <c r="O12">
        <v>774.13295199999993</v>
      </c>
      <c r="P12">
        <v>775.49155729566655</v>
      </c>
      <c r="Q12">
        <v>774.13295199999993</v>
      </c>
      <c r="R12">
        <v>774.32481041429583</v>
      </c>
    </row>
    <row r="13" spans="10:94" x14ac:dyDescent="0.15">
      <c r="J13" s="67" t="s">
        <v>242</v>
      </c>
      <c r="K13">
        <v>1280</v>
      </c>
      <c r="L13">
        <v>1305.2695267961401</v>
      </c>
      <c r="M13">
        <v>1280</v>
      </c>
      <c r="N13">
        <v>1302.2317991487919</v>
      </c>
      <c r="O13">
        <v>1280</v>
      </c>
      <c r="P13">
        <v>1302.4434542895456</v>
      </c>
      <c r="Q13">
        <v>1280</v>
      </c>
      <c r="R13">
        <v>1302.0724843316254</v>
      </c>
    </row>
    <row r="14" spans="10:94" x14ac:dyDescent="0.15">
      <c r="J14" s="67" t="s">
        <v>243</v>
      </c>
      <c r="K14">
        <v>13267.199999999999</v>
      </c>
      <c r="L14">
        <v>12795.130813053824</v>
      </c>
      <c r="M14">
        <v>13267.199999999999</v>
      </c>
      <c r="N14">
        <v>12776.561623567351</v>
      </c>
      <c r="O14">
        <v>13267.199999999999</v>
      </c>
      <c r="P14">
        <v>12776.561623567319</v>
      </c>
      <c r="Q14">
        <v>13267.199999999999</v>
      </c>
      <c r="R14">
        <v>12776.561623567321</v>
      </c>
    </row>
    <row r="15" spans="10:94" x14ac:dyDescent="0.15">
      <c r="J15" s="67" t="s">
        <v>244</v>
      </c>
      <c r="K15">
        <v>1849.4299999999998</v>
      </c>
      <c r="L15">
        <v>1877.3503850314182</v>
      </c>
      <c r="M15">
        <v>1849.4299999999998</v>
      </c>
      <c r="N15">
        <v>1890.1086030177278</v>
      </c>
      <c r="O15">
        <v>1849.4299999999998</v>
      </c>
      <c r="P15">
        <v>1890.1086030177257</v>
      </c>
      <c r="Q15">
        <v>1849.4299999999998</v>
      </c>
      <c r="R15">
        <v>1890.1086030177262</v>
      </c>
    </row>
    <row r="16" spans="10:94" x14ac:dyDescent="0.15">
      <c r="J16" s="67" t="s">
        <v>245</v>
      </c>
      <c r="K16">
        <v>8021.91</v>
      </c>
      <c r="L16">
        <v>8134.908253633188</v>
      </c>
      <c r="M16">
        <v>8021.91</v>
      </c>
      <c r="N16">
        <v>8122.6091643527589</v>
      </c>
      <c r="O16">
        <v>8021.91</v>
      </c>
      <c r="P16">
        <v>8122.6091643527498</v>
      </c>
      <c r="Q16">
        <v>8021.91</v>
      </c>
      <c r="R16">
        <v>8122.6091643527516</v>
      </c>
    </row>
    <row r="17" spans="10:18" x14ac:dyDescent="0.15">
      <c r="J17" s="67" t="s">
        <v>246</v>
      </c>
      <c r="K17">
        <v>1987.8267000000001</v>
      </c>
      <c r="L17">
        <v>2151.8531686504771</v>
      </c>
      <c r="M17">
        <v>1987.8267000000001</v>
      </c>
      <c r="N17">
        <v>2148.0033637407873</v>
      </c>
      <c r="O17">
        <v>1987.8267000000001</v>
      </c>
      <c r="P17">
        <v>2148.0033637407819</v>
      </c>
      <c r="Q17">
        <v>1987.8267000000001</v>
      </c>
      <c r="R17">
        <v>2148.0033637407842</v>
      </c>
    </row>
    <row r="18" spans="10:18" x14ac:dyDescent="0.15">
      <c r="J18" s="67" t="s">
        <v>247</v>
      </c>
      <c r="K18">
        <v>980.76000000000022</v>
      </c>
      <c r="L18">
        <v>1008.7481483685565</v>
      </c>
      <c r="M18">
        <v>980.76000000000022</v>
      </c>
      <c r="N18">
        <v>1015.5681782110315</v>
      </c>
      <c r="O18">
        <v>980.76000000000022</v>
      </c>
      <c r="P18">
        <v>1015.5681782110302</v>
      </c>
      <c r="Q18">
        <v>980.76000000000022</v>
      </c>
      <c r="R18">
        <v>1015.56817821103</v>
      </c>
    </row>
    <row r="19" spans="10:18" x14ac:dyDescent="0.15">
      <c r="J19" s="67" t="s">
        <v>248</v>
      </c>
      <c r="K19">
        <v>1445.12</v>
      </c>
      <c r="L19">
        <v>1449.7550302565539</v>
      </c>
      <c r="M19">
        <v>1445.12</v>
      </c>
      <c r="N19">
        <v>1447.6174869826575</v>
      </c>
      <c r="O19">
        <v>1445.12</v>
      </c>
      <c r="P19">
        <v>1447.6174869826557</v>
      </c>
      <c r="Q19">
        <v>1445.12</v>
      </c>
      <c r="R19">
        <v>1447.6174869826568</v>
      </c>
    </row>
    <row r="20" spans="10:18" x14ac:dyDescent="0.15">
      <c r="J20" s="67" t="s">
        <v>249</v>
      </c>
      <c r="K20">
        <v>1910.9399999999998</v>
      </c>
      <c r="L20">
        <v>1891.8782260274877</v>
      </c>
      <c r="M20">
        <v>1910.9399999999998</v>
      </c>
      <c r="N20">
        <v>1881.6449780084984</v>
      </c>
      <c r="O20">
        <v>1910.9399999999998</v>
      </c>
      <c r="P20">
        <v>1881.6449780084956</v>
      </c>
      <c r="Q20">
        <v>1910.9399999999998</v>
      </c>
      <c r="R20">
        <v>1881.6449780084959</v>
      </c>
    </row>
    <row r="21" spans="10:18" x14ac:dyDescent="0.15">
      <c r="J21" s="67" t="s">
        <v>250</v>
      </c>
      <c r="K21">
        <v>359.09</v>
      </c>
      <c r="L21">
        <v>376.10593747424912</v>
      </c>
      <c r="M21">
        <v>359.09</v>
      </c>
      <c r="N21">
        <v>378.05272895678075</v>
      </c>
      <c r="O21">
        <v>359.09</v>
      </c>
      <c r="P21">
        <v>378.05272895678081</v>
      </c>
      <c r="Q21">
        <v>359.09</v>
      </c>
      <c r="R21">
        <v>378.05272895678081</v>
      </c>
    </row>
    <row r="22" spans="10:18" x14ac:dyDescent="0.15">
      <c r="J22" s="67" t="s">
        <v>251</v>
      </c>
      <c r="K22">
        <v>397.81400000000002</v>
      </c>
      <c r="L22">
        <v>400.48878940734835</v>
      </c>
      <c r="M22">
        <v>397.81400000000002</v>
      </c>
      <c r="N22">
        <v>399.89077028052458</v>
      </c>
      <c r="O22">
        <v>397.81400000000002</v>
      </c>
      <c r="P22">
        <v>399.89077028052429</v>
      </c>
      <c r="Q22">
        <v>397.81400000000002</v>
      </c>
      <c r="R22">
        <v>399.89077028052441</v>
      </c>
    </row>
    <row r="23" spans="10:18" x14ac:dyDescent="0.15">
      <c r="J23" s="67" t="s">
        <v>252</v>
      </c>
      <c r="K23">
        <v>768.1</v>
      </c>
      <c r="L23">
        <v>817.58307352566919</v>
      </c>
      <c r="M23">
        <v>768.1</v>
      </c>
      <c r="N23">
        <v>815.0406943249651</v>
      </c>
      <c r="O23">
        <v>768.1</v>
      </c>
      <c r="P23">
        <v>815.04069432496487</v>
      </c>
      <c r="Q23">
        <v>768.1</v>
      </c>
      <c r="R23">
        <v>815.04069432496522</v>
      </c>
    </row>
    <row r="24" spans="10:18" x14ac:dyDescent="0.15">
      <c r="J24" s="67" t="s">
        <v>253</v>
      </c>
      <c r="K24">
        <v>1562</v>
      </c>
      <c r="L24">
        <v>1607.8327555108319</v>
      </c>
      <c r="M24">
        <v>1562</v>
      </c>
      <c r="N24">
        <v>1604.1497105238229</v>
      </c>
      <c r="O24">
        <v>1562</v>
      </c>
      <c r="P24">
        <v>1604.1497105238232</v>
      </c>
      <c r="Q24">
        <v>1562</v>
      </c>
      <c r="R24">
        <v>1604.1497105238232</v>
      </c>
    </row>
    <row r="25" spans="10:18" x14ac:dyDescent="0.15">
      <c r="J25" s="67" t="s">
        <v>254</v>
      </c>
      <c r="K25">
        <v>960</v>
      </c>
      <c r="L25">
        <v>977.11868260725657</v>
      </c>
      <c r="M25">
        <v>960</v>
      </c>
      <c r="N25">
        <v>981.90997713315789</v>
      </c>
      <c r="O25">
        <v>960</v>
      </c>
      <c r="P25">
        <v>981.90997713315767</v>
      </c>
      <c r="Q25">
        <v>960</v>
      </c>
      <c r="R25">
        <v>981.90997713315824</v>
      </c>
    </row>
    <row r="26" spans="10:18" x14ac:dyDescent="0.15">
      <c r="J26" s="67" t="s">
        <v>255</v>
      </c>
      <c r="K26">
        <v>156</v>
      </c>
      <c r="L26">
        <v>155.99999999999997</v>
      </c>
      <c r="M26">
        <v>156</v>
      </c>
      <c r="N26">
        <v>156</v>
      </c>
      <c r="O26">
        <v>156</v>
      </c>
      <c r="P26">
        <v>156</v>
      </c>
      <c r="Q26">
        <v>156</v>
      </c>
      <c r="R26">
        <v>155.99999999999997</v>
      </c>
    </row>
    <row r="27" spans="10:18" x14ac:dyDescent="0.15">
      <c r="J27" s="67" t="s">
        <v>256</v>
      </c>
      <c r="K27">
        <v>32330.809999999998</v>
      </c>
      <c r="L27">
        <v>32508.640463352112</v>
      </c>
      <c r="M27">
        <v>32330.809999999998</v>
      </c>
      <c r="N27">
        <v>32689.4716343043</v>
      </c>
      <c r="O27">
        <v>32330.809999999998</v>
      </c>
      <c r="P27">
        <v>32689.4716343043</v>
      </c>
      <c r="Q27">
        <v>32330.809999999998</v>
      </c>
      <c r="R27">
        <v>32689.471634304307</v>
      </c>
    </row>
    <row r="28" spans="10:18" x14ac:dyDescent="0.15">
      <c r="J28" s="67" t="s">
        <v>257</v>
      </c>
      <c r="K28">
        <v>84677.430761818221</v>
      </c>
      <c r="L28">
        <v>85963.880487684015</v>
      </c>
      <c r="M28">
        <v>84677.430761818221</v>
      </c>
      <c r="N28">
        <v>86397.702283362116</v>
      </c>
      <c r="O28">
        <v>84677.430761818221</v>
      </c>
      <c r="P28">
        <v>86397.702283362072</v>
      </c>
      <c r="Q28">
        <v>84677.430761818221</v>
      </c>
      <c r="R28">
        <v>86397.702283362072</v>
      </c>
    </row>
    <row r="29" spans="10:18" x14ac:dyDescent="0.15">
      <c r="J29" s="67" t="s">
        <v>258</v>
      </c>
      <c r="K29">
        <v>6031.0399999999945</v>
      </c>
      <c r="L29">
        <v>5830.0989974094464</v>
      </c>
      <c r="M29">
        <v>6031.0399999999945</v>
      </c>
      <c r="N29">
        <v>6065.3113634779293</v>
      </c>
      <c r="O29">
        <v>6031.0399999999945</v>
      </c>
      <c r="P29">
        <v>6065.3113634779284</v>
      </c>
      <c r="Q29">
        <v>6031.0399999999945</v>
      </c>
      <c r="R29">
        <v>6065.3113634779311</v>
      </c>
    </row>
    <row r="30" spans="10:18" x14ac:dyDescent="0.15">
      <c r="J30" s="67" t="s">
        <v>259</v>
      </c>
      <c r="K30">
        <v>1080.8800000000001</v>
      </c>
      <c r="L30">
        <v>1050.4859007578575</v>
      </c>
      <c r="M30">
        <v>1080.8800000000001</v>
      </c>
      <c r="N30">
        <v>1121.5202613829731</v>
      </c>
      <c r="O30">
        <v>1080.8800000000001</v>
      </c>
      <c r="P30">
        <v>1121.5202613829717</v>
      </c>
      <c r="Q30">
        <v>1080.8800000000001</v>
      </c>
      <c r="R30">
        <v>1121.5202613829711</v>
      </c>
    </row>
    <row r="31" spans="10:18" x14ac:dyDescent="0.15">
      <c r="J31" s="67" t="s">
        <v>260</v>
      </c>
      <c r="K31">
        <v>529.67800000000011</v>
      </c>
      <c r="L31">
        <v>555.71431395573757</v>
      </c>
      <c r="M31">
        <v>529.67800000000011</v>
      </c>
      <c r="N31">
        <v>557.1031720138111</v>
      </c>
      <c r="O31">
        <v>529.67800000000011</v>
      </c>
      <c r="P31">
        <v>557.10317201381019</v>
      </c>
      <c r="Q31">
        <v>529.67800000000011</v>
      </c>
      <c r="R31">
        <v>557.10317201381054</v>
      </c>
    </row>
    <row r="32" spans="10:18" x14ac:dyDescent="0.15">
      <c r="J32" s="67" t="s">
        <v>261</v>
      </c>
      <c r="K32">
        <v>2762.5683313000009</v>
      </c>
      <c r="L32">
        <v>3047.0763112147843</v>
      </c>
      <c r="M32">
        <v>2762.5683313000009</v>
      </c>
      <c r="N32">
        <v>3003.2531138440745</v>
      </c>
      <c r="O32">
        <v>2762.5683313000009</v>
      </c>
      <c r="P32">
        <v>3003.2531138440745</v>
      </c>
      <c r="Q32">
        <v>2762.5683313000009</v>
      </c>
      <c r="R32">
        <v>3003.2531138440759</v>
      </c>
    </row>
    <row r="33" spans="10:18" x14ac:dyDescent="0.15">
      <c r="J33" s="67" t="s">
        <v>262</v>
      </c>
      <c r="K33">
        <v>2953.4849967</v>
      </c>
      <c r="L33">
        <v>3057.9915248972898</v>
      </c>
      <c r="M33">
        <v>2953.4849967</v>
      </c>
      <c r="N33">
        <v>3052.3033847108627</v>
      </c>
      <c r="O33">
        <v>2953.4849967</v>
      </c>
      <c r="P33">
        <v>3052.3033847108627</v>
      </c>
      <c r="Q33">
        <v>2953.4849967</v>
      </c>
      <c r="R33">
        <v>3052.3033847108627</v>
      </c>
    </row>
    <row r="34" spans="10:18" x14ac:dyDescent="0.15">
      <c r="J34" s="67" t="s">
        <v>263</v>
      </c>
      <c r="K34">
        <v>5681.7999999999965</v>
      </c>
      <c r="L34">
        <v>5999.8986342310054</v>
      </c>
      <c r="M34">
        <v>5681.7999999999965</v>
      </c>
      <c r="N34">
        <v>6079.6141438016721</v>
      </c>
      <c r="O34">
        <v>5681.7999999999965</v>
      </c>
      <c r="P34">
        <v>6079.6141438016566</v>
      </c>
      <c r="Q34">
        <v>5681.7999999999965</v>
      </c>
      <c r="R34">
        <v>6079.6141438016612</v>
      </c>
    </row>
    <row r="35" spans="10:18" x14ac:dyDescent="0.15">
      <c r="J35" s="67" t="s">
        <v>264</v>
      </c>
      <c r="K35">
        <v>7906.35</v>
      </c>
      <c r="L35">
        <v>8326.5485683491133</v>
      </c>
      <c r="M35">
        <v>7906.35</v>
      </c>
      <c r="N35">
        <v>8334.222347206327</v>
      </c>
      <c r="O35">
        <v>7906.35</v>
      </c>
      <c r="P35">
        <v>8334.2223472063215</v>
      </c>
      <c r="Q35">
        <v>7906.35</v>
      </c>
      <c r="R35">
        <v>8334.2223472063215</v>
      </c>
    </row>
    <row r="36" spans="10:18" x14ac:dyDescent="0.15">
      <c r="J36" s="67" t="s">
        <v>265</v>
      </c>
      <c r="K36">
        <v>4865.9770479999997</v>
      </c>
      <c r="L36">
        <v>4911.7970377154415</v>
      </c>
      <c r="M36">
        <v>4865.9770479999997</v>
      </c>
      <c r="N36">
        <v>4902.4676510876297</v>
      </c>
      <c r="O36">
        <v>4865.9770479999997</v>
      </c>
      <c r="P36">
        <v>4901.7803317857579</v>
      </c>
      <c r="Q36">
        <v>4865.9770479999997</v>
      </c>
      <c r="R36">
        <v>4902.9904683096538</v>
      </c>
    </row>
  </sheetData>
  <phoneticPr fontId="14" type="noConversion"/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dimension ref="J6:CP36"/>
  <sheetViews>
    <sheetView workbookViewId="0">
      <selection activeCell="G52" sqref="G52"/>
    </sheetView>
  </sheetViews>
  <sheetFormatPr defaultColWidth="9" defaultRowHeight="13.5" x14ac:dyDescent="0.15"/>
  <sheetData>
    <row r="6" spans="10:94" x14ac:dyDescent="0.15">
      <c r="K6" s="67" t="s">
        <v>73</v>
      </c>
      <c r="L6" s="67" t="s">
        <v>73</v>
      </c>
      <c r="M6" s="67" t="s">
        <v>315</v>
      </c>
      <c r="N6" s="67" t="s">
        <v>315</v>
      </c>
      <c r="O6" s="67" t="s">
        <v>316</v>
      </c>
      <c r="P6" s="67" t="s">
        <v>316</v>
      </c>
      <c r="Q6" s="67" t="s">
        <v>317</v>
      </c>
      <c r="R6" s="67" t="s">
        <v>317</v>
      </c>
      <c r="S6" s="67"/>
      <c r="T6" s="67"/>
      <c r="U6" s="67"/>
      <c r="V6" s="67"/>
      <c r="W6" s="67"/>
      <c r="X6" s="67"/>
      <c r="Y6" s="67"/>
      <c r="Z6" s="67"/>
      <c r="AA6" s="67"/>
      <c r="AB6" s="67"/>
      <c r="AC6" s="67"/>
      <c r="AD6" s="67"/>
      <c r="AE6" s="67"/>
      <c r="AF6" s="67"/>
      <c r="AG6" s="67"/>
      <c r="AH6" s="67"/>
      <c r="AI6" s="67"/>
      <c r="AJ6" s="67"/>
      <c r="AK6" s="67"/>
      <c r="AL6" s="67"/>
      <c r="AM6" s="67"/>
      <c r="AN6" s="67"/>
      <c r="AO6" s="67"/>
      <c r="AP6" s="67"/>
      <c r="AQ6" s="67"/>
      <c r="AR6" s="67"/>
      <c r="AS6" s="67"/>
      <c r="AT6" s="67"/>
      <c r="AU6" s="67"/>
      <c r="AV6" s="67"/>
      <c r="AW6" s="67"/>
      <c r="AX6" s="67"/>
      <c r="AY6" s="67"/>
      <c r="AZ6" s="67"/>
      <c r="BA6" s="67"/>
      <c r="BB6" s="67"/>
      <c r="BC6" s="67"/>
      <c r="BD6" s="67"/>
      <c r="BE6" s="67"/>
      <c r="BF6" s="67"/>
      <c r="BG6" s="67"/>
      <c r="BH6" s="67"/>
      <c r="BI6" s="67"/>
      <c r="BJ6" s="67"/>
      <c r="BK6" s="67"/>
      <c r="BL6" s="67"/>
      <c r="BM6" s="67"/>
      <c r="BN6" s="67"/>
      <c r="BO6" s="67"/>
      <c r="BP6" s="67"/>
      <c r="BQ6" s="67"/>
      <c r="BR6" s="67"/>
      <c r="BS6" s="67"/>
      <c r="BT6" s="67"/>
      <c r="BU6" s="67"/>
      <c r="BV6" s="67"/>
      <c r="BW6" s="67"/>
      <c r="BX6" s="67"/>
      <c r="BY6" s="67"/>
      <c r="BZ6" s="67"/>
      <c r="CA6" s="67"/>
      <c r="CB6" s="67"/>
      <c r="CC6" s="67"/>
      <c r="CD6" s="67"/>
      <c r="CE6" s="67"/>
      <c r="CF6" s="67"/>
      <c r="CG6" s="67"/>
      <c r="CH6" s="67"/>
      <c r="CI6" s="67"/>
      <c r="CJ6" s="67"/>
      <c r="CK6" s="67"/>
      <c r="CL6" s="67"/>
      <c r="CM6" s="67"/>
      <c r="CN6" s="67"/>
      <c r="CO6" s="67"/>
      <c r="CP6" s="67"/>
    </row>
    <row r="7" spans="10:94" x14ac:dyDescent="0.15">
      <c r="K7" s="67" t="s">
        <v>76</v>
      </c>
      <c r="L7" s="67" t="s">
        <v>77</v>
      </c>
      <c r="M7" s="67" t="s">
        <v>76</v>
      </c>
      <c r="N7" s="67" t="s">
        <v>77</v>
      </c>
      <c r="O7" s="67" t="s">
        <v>76</v>
      </c>
      <c r="P7" s="67" t="s">
        <v>77</v>
      </c>
      <c r="Q7" s="67" t="s">
        <v>76</v>
      </c>
      <c r="R7" s="67" t="s">
        <v>77</v>
      </c>
      <c r="S7" s="67"/>
      <c r="T7" s="67"/>
      <c r="U7" s="67"/>
      <c r="V7" s="67"/>
      <c r="W7" s="67"/>
      <c r="X7" s="67"/>
      <c r="Y7" s="67"/>
      <c r="Z7" s="67"/>
      <c r="AA7" s="67"/>
      <c r="AB7" s="67"/>
      <c r="AC7" s="67"/>
      <c r="AD7" s="67"/>
      <c r="AE7" s="67"/>
      <c r="AF7" s="67"/>
      <c r="AG7" s="67"/>
      <c r="AH7" s="67"/>
      <c r="AI7" s="67"/>
      <c r="AJ7" s="67"/>
      <c r="AK7" s="67"/>
      <c r="AL7" s="67"/>
      <c r="AM7" s="67"/>
      <c r="AN7" s="67"/>
      <c r="AO7" s="67"/>
      <c r="AP7" s="67"/>
      <c r="AQ7" s="67"/>
      <c r="AR7" s="67"/>
      <c r="AS7" s="67"/>
      <c r="AT7" s="67"/>
      <c r="AU7" s="67"/>
      <c r="AV7" s="67"/>
      <c r="AW7" s="67"/>
      <c r="AX7" s="67"/>
      <c r="AY7" s="67"/>
      <c r="AZ7" s="67"/>
      <c r="BA7" s="67"/>
      <c r="BB7" s="67"/>
      <c r="BC7" s="67"/>
      <c r="BD7" s="67"/>
      <c r="BE7" s="67"/>
      <c r="BF7" s="67"/>
      <c r="BG7" s="67"/>
      <c r="BH7" s="67"/>
      <c r="BI7" s="67"/>
      <c r="BJ7" s="67"/>
      <c r="BK7" s="67"/>
      <c r="BL7" s="67"/>
      <c r="BM7" s="67"/>
      <c r="BN7" s="67"/>
      <c r="BO7" s="67"/>
      <c r="BP7" s="67"/>
      <c r="BQ7" s="67"/>
      <c r="BR7" s="67"/>
      <c r="BS7" s="67"/>
      <c r="BT7" s="67"/>
      <c r="BU7" s="67"/>
      <c r="BV7" s="67"/>
      <c r="BW7" s="67"/>
      <c r="BX7" s="67"/>
      <c r="BY7" s="67"/>
      <c r="BZ7" s="67"/>
      <c r="CA7" s="67"/>
      <c r="CB7" s="67"/>
      <c r="CC7" s="67"/>
      <c r="CD7" s="67"/>
      <c r="CE7" s="67"/>
      <c r="CF7" s="67"/>
      <c r="CG7" s="67"/>
      <c r="CH7" s="67"/>
      <c r="CI7" s="67"/>
      <c r="CJ7" s="67"/>
      <c r="CK7" s="67"/>
      <c r="CL7" s="67"/>
      <c r="CM7" s="67"/>
      <c r="CN7" s="67"/>
      <c r="CO7" s="67"/>
      <c r="CP7" s="67"/>
    </row>
    <row r="8" spans="10:94" x14ac:dyDescent="0.15">
      <c r="J8" s="67" t="s">
        <v>237</v>
      </c>
      <c r="K8">
        <v>2694.96</v>
      </c>
      <c r="L8">
        <v>2425.5110066485659</v>
      </c>
      <c r="M8">
        <v>2694.96</v>
      </c>
      <c r="N8">
        <v>2504.8110716052111</v>
      </c>
      <c r="O8">
        <v>2694.96</v>
      </c>
      <c r="P8">
        <v>2504.8110716052115</v>
      </c>
      <c r="Q8">
        <v>2694.96</v>
      </c>
      <c r="R8">
        <v>2504.8110716052111</v>
      </c>
    </row>
    <row r="9" spans="10:94" x14ac:dyDescent="0.15">
      <c r="J9" s="67" t="s">
        <v>238</v>
      </c>
      <c r="K9">
        <v>2449.34</v>
      </c>
      <c r="L9">
        <v>2197.6435197991859</v>
      </c>
      <c r="M9">
        <v>2449.34</v>
      </c>
      <c r="N9">
        <v>2269.4936468008509</v>
      </c>
      <c r="O9">
        <v>2449.34</v>
      </c>
      <c r="P9">
        <v>2269.4936468008514</v>
      </c>
      <c r="Q9">
        <v>2449.34</v>
      </c>
      <c r="R9">
        <v>2269.4936468008509</v>
      </c>
    </row>
    <row r="10" spans="10:94" x14ac:dyDescent="0.15">
      <c r="J10" s="67" t="s">
        <v>239</v>
      </c>
      <c r="K10">
        <v>2250</v>
      </c>
      <c r="L10">
        <v>2032.4350398407287</v>
      </c>
      <c r="M10">
        <v>2250</v>
      </c>
      <c r="N10">
        <v>2098.8838130014146</v>
      </c>
      <c r="O10">
        <v>2250</v>
      </c>
      <c r="P10">
        <v>2098.8838130014146</v>
      </c>
      <c r="Q10">
        <v>2250</v>
      </c>
      <c r="R10">
        <v>2098.8838130014146</v>
      </c>
    </row>
    <row r="11" spans="10:94" x14ac:dyDescent="0.15">
      <c r="J11" s="67" t="s">
        <v>240</v>
      </c>
      <c r="K11">
        <v>2232.67</v>
      </c>
      <c r="L11">
        <v>2038.2478741850573</v>
      </c>
      <c r="M11">
        <v>2232.67</v>
      </c>
      <c r="N11">
        <v>2104.8866931298376</v>
      </c>
      <c r="O11">
        <v>2232.67</v>
      </c>
      <c r="P11">
        <v>2104.8866931298376</v>
      </c>
      <c r="Q11">
        <v>2232.67</v>
      </c>
      <c r="R11">
        <v>2104.8866931298376</v>
      </c>
    </row>
    <row r="12" spans="10:94" x14ac:dyDescent="0.15">
      <c r="J12" s="67" t="s">
        <v>241</v>
      </c>
      <c r="K12">
        <v>3200</v>
      </c>
      <c r="L12">
        <v>3025.1244260817816</v>
      </c>
      <c r="M12">
        <v>3200</v>
      </c>
      <c r="N12">
        <v>3124.0283530615638</v>
      </c>
      <c r="O12">
        <v>3200</v>
      </c>
      <c r="P12">
        <v>3124.0283530615638</v>
      </c>
      <c r="Q12">
        <v>3200</v>
      </c>
      <c r="R12">
        <v>3124.0283530615638</v>
      </c>
    </row>
    <row r="13" spans="10:94" x14ac:dyDescent="0.15">
      <c r="J13" s="67" t="s">
        <v>242</v>
      </c>
      <c r="K13">
        <v>2430</v>
      </c>
      <c r="L13">
        <v>2262.9786847670916</v>
      </c>
      <c r="M13">
        <v>2430</v>
      </c>
      <c r="N13">
        <v>2336.9648906452094</v>
      </c>
      <c r="O13">
        <v>2430</v>
      </c>
      <c r="P13">
        <v>2336.9648906452094</v>
      </c>
      <c r="Q13">
        <v>2430</v>
      </c>
      <c r="R13">
        <v>2336.9648906452094</v>
      </c>
    </row>
    <row r="14" spans="10:94" x14ac:dyDescent="0.15">
      <c r="J14" s="67" t="s">
        <v>243</v>
      </c>
      <c r="K14">
        <v>4300</v>
      </c>
      <c r="L14">
        <v>3936.7011522715102</v>
      </c>
      <c r="M14">
        <v>4300</v>
      </c>
      <c r="N14">
        <v>4065.4083221150299</v>
      </c>
      <c r="O14">
        <v>4300</v>
      </c>
      <c r="P14">
        <v>4065.4083221150299</v>
      </c>
      <c r="Q14">
        <v>4300</v>
      </c>
      <c r="R14">
        <v>4065.4083221150304</v>
      </c>
    </row>
    <row r="15" spans="10:94" x14ac:dyDescent="0.15">
      <c r="J15" s="67" t="s">
        <v>244</v>
      </c>
      <c r="K15">
        <v>8367.34</v>
      </c>
      <c r="L15">
        <v>7660.399306848255</v>
      </c>
      <c r="M15">
        <v>8367.34</v>
      </c>
      <c r="N15">
        <v>7910.8496906897599</v>
      </c>
      <c r="O15">
        <v>8367.34</v>
      </c>
      <c r="P15">
        <v>7910.8496906897608</v>
      </c>
      <c r="Q15">
        <v>8367.34</v>
      </c>
      <c r="R15">
        <v>7910.8496906897599</v>
      </c>
    </row>
    <row r="16" spans="10:94" x14ac:dyDescent="0.15">
      <c r="J16" s="67" t="s">
        <v>245</v>
      </c>
      <c r="K16">
        <v>3142.71</v>
      </c>
      <c r="L16">
        <v>2877.1883902919071</v>
      </c>
      <c r="M16">
        <v>3142.71</v>
      </c>
      <c r="N16">
        <v>2971.2556716265412</v>
      </c>
      <c r="O16">
        <v>3142.71</v>
      </c>
      <c r="P16">
        <v>2971.2556716265412</v>
      </c>
      <c r="Q16">
        <v>3142.71</v>
      </c>
      <c r="R16">
        <v>2971.2556716265417</v>
      </c>
    </row>
    <row r="17" spans="10:18" x14ac:dyDescent="0.15">
      <c r="J17" s="67" t="s">
        <v>246</v>
      </c>
      <c r="K17">
        <v>5015.6499999999996</v>
      </c>
      <c r="L17">
        <v>4419.3461719577645</v>
      </c>
      <c r="M17">
        <v>5015.6499999999996</v>
      </c>
      <c r="N17">
        <v>4563.8330192825279</v>
      </c>
      <c r="O17">
        <v>5015.6499999999996</v>
      </c>
      <c r="P17">
        <v>4563.8330192825279</v>
      </c>
      <c r="Q17">
        <v>5015.6499999999996</v>
      </c>
      <c r="R17">
        <v>4563.8330192825279</v>
      </c>
    </row>
    <row r="18" spans="10:18" x14ac:dyDescent="0.15">
      <c r="J18" s="67" t="s">
        <v>247</v>
      </c>
      <c r="K18">
        <v>9356.83</v>
      </c>
      <c r="L18">
        <v>8244.4091677369033</v>
      </c>
      <c r="M18">
        <v>9356.83</v>
      </c>
      <c r="N18">
        <v>8513.9532682330973</v>
      </c>
      <c r="O18">
        <v>9356.83</v>
      </c>
      <c r="P18">
        <v>8513.9532682330992</v>
      </c>
      <c r="Q18">
        <v>9356.83</v>
      </c>
      <c r="R18">
        <v>8513.9532682330992</v>
      </c>
    </row>
    <row r="19" spans="10:18" x14ac:dyDescent="0.15">
      <c r="J19" s="67" t="s">
        <v>248</v>
      </c>
      <c r="K19">
        <v>2481.67</v>
      </c>
      <c r="L19">
        <v>2186.6276184666845</v>
      </c>
      <c r="M19">
        <v>2481.67</v>
      </c>
      <c r="N19">
        <v>2258.1175897366988</v>
      </c>
      <c r="O19">
        <v>2481.67</v>
      </c>
      <c r="P19">
        <v>2258.1175897366993</v>
      </c>
      <c r="Q19">
        <v>2481.67</v>
      </c>
      <c r="R19">
        <v>2258.1175897366988</v>
      </c>
    </row>
    <row r="20" spans="10:18" x14ac:dyDescent="0.15">
      <c r="J20" s="67" t="s">
        <v>249</v>
      </c>
      <c r="K20">
        <v>1056.8</v>
      </c>
      <c r="L20">
        <v>992.13631251432741</v>
      </c>
      <c r="M20">
        <v>1056.8</v>
      </c>
      <c r="N20">
        <v>1024.5733840479447</v>
      </c>
      <c r="O20">
        <v>1056.8</v>
      </c>
      <c r="P20">
        <v>1024.5733840479447</v>
      </c>
      <c r="Q20">
        <v>1056.8</v>
      </c>
      <c r="R20">
        <v>1024.5733840479447</v>
      </c>
    </row>
    <row r="21" spans="10:18" x14ac:dyDescent="0.15">
      <c r="J21" s="67" t="s">
        <v>250</v>
      </c>
      <c r="K21">
        <v>15121.25</v>
      </c>
      <c r="L21">
        <v>14196.007963292266</v>
      </c>
      <c r="M21">
        <v>15121.25</v>
      </c>
      <c r="N21">
        <v>14660.134636198884</v>
      </c>
      <c r="O21">
        <v>15121.25</v>
      </c>
      <c r="P21">
        <v>14660.134636198885</v>
      </c>
      <c r="Q21">
        <v>15121.25</v>
      </c>
      <c r="R21">
        <v>14660.134636198884</v>
      </c>
    </row>
    <row r="22" spans="10:18" x14ac:dyDescent="0.15">
      <c r="J22" s="67" t="s">
        <v>251</v>
      </c>
      <c r="K22">
        <v>3227.07818930041</v>
      </c>
      <c r="L22">
        <v>3029.6190905828162</v>
      </c>
      <c r="M22">
        <v>3227.07818930041</v>
      </c>
      <c r="N22">
        <v>3128.669966880047</v>
      </c>
      <c r="O22">
        <v>3227.07818930041</v>
      </c>
      <c r="P22">
        <v>3128.669966880047</v>
      </c>
      <c r="Q22">
        <v>3227.07818930041</v>
      </c>
      <c r="R22">
        <v>3128.669966880047</v>
      </c>
    </row>
    <row r="23" spans="10:18" x14ac:dyDescent="0.15">
      <c r="J23" s="67" t="s">
        <v>252</v>
      </c>
      <c r="K23">
        <v>14423.2</v>
      </c>
      <c r="L23">
        <v>13559.409049922982</v>
      </c>
      <c r="M23">
        <v>14423.2</v>
      </c>
      <c r="N23">
        <v>14002.722650844707</v>
      </c>
      <c r="O23">
        <v>14423.2</v>
      </c>
      <c r="P23">
        <v>14002.722650844707</v>
      </c>
      <c r="Q23">
        <v>14423.2</v>
      </c>
      <c r="R23">
        <v>14002.722650844707</v>
      </c>
    </row>
    <row r="24" spans="10:18" x14ac:dyDescent="0.15">
      <c r="J24" s="67" t="s">
        <v>253</v>
      </c>
      <c r="K24">
        <v>5993</v>
      </c>
      <c r="L24">
        <v>5846.4865240253584</v>
      </c>
      <c r="M24">
        <v>5993</v>
      </c>
      <c r="N24">
        <v>6037.6325381446641</v>
      </c>
      <c r="O24">
        <v>5993</v>
      </c>
      <c r="P24">
        <v>6037.6325381446641</v>
      </c>
      <c r="Q24">
        <v>5993</v>
      </c>
      <c r="R24">
        <v>6037.6325381446641</v>
      </c>
    </row>
    <row r="25" spans="10:18" x14ac:dyDescent="0.15">
      <c r="J25" s="67" t="s">
        <v>254</v>
      </c>
      <c r="K25">
        <v>502</v>
      </c>
      <c r="L25">
        <v>511.58653540904521</v>
      </c>
      <c r="M25">
        <v>502</v>
      </c>
      <c r="N25">
        <v>526.32828572717722</v>
      </c>
      <c r="O25">
        <v>502</v>
      </c>
      <c r="P25">
        <v>526.3282857271771</v>
      </c>
      <c r="Q25">
        <v>502</v>
      </c>
      <c r="R25">
        <v>526.32828572717722</v>
      </c>
    </row>
    <row r="26" spans="10:18" x14ac:dyDescent="0.15">
      <c r="J26" s="67" t="s">
        <v>255</v>
      </c>
      <c r="K26">
        <v>598</v>
      </c>
      <c r="L26">
        <v>583.38043406760619</v>
      </c>
      <c r="M26">
        <v>598</v>
      </c>
      <c r="N26">
        <v>602.45357213591012</v>
      </c>
      <c r="O26">
        <v>598</v>
      </c>
      <c r="P26">
        <v>602.45357213591012</v>
      </c>
      <c r="Q26">
        <v>598</v>
      </c>
      <c r="R26">
        <v>602.45357213591012</v>
      </c>
    </row>
    <row r="27" spans="10:18" x14ac:dyDescent="0.15">
      <c r="J27" s="67" t="s">
        <v>256</v>
      </c>
      <c r="K27">
        <v>2133.73</v>
      </c>
      <c r="L27">
        <v>2035.5379969290311</v>
      </c>
      <c r="M27">
        <v>2133.73</v>
      </c>
      <c r="N27">
        <v>2102.0882186908534</v>
      </c>
      <c r="O27">
        <v>2133.73</v>
      </c>
      <c r="P27">
        <v>2102.0882186908516</v>
      </c>
      <c r="Q27">
        <v>2133.73</v>
      </c>
      <c r="R27">
        <v>2102.0882186908516</v>
      </c>
    </row>
    <row r="28" spans="10:18" x14ac:dyDescent="0.15">
      <c r="J28" s="67" t="s">
        <v>257</v>
      </c>
      <c r="K28">
        <v>2753.01897216</v>
      </c>
      <c r="L28">
        <v>2556.8433443553522</v>
      </c>
      <c r="M28">
        <v>2753.01897216</v>
      </c>
      <c r="N28">
        <v>2640.4372108583589</v>
      </c>
      <c r="O28">
        <v>2753.01897216</v>
      </c>
      <c r="P28">
        <v>2640.4372108583589</v>
      </c>
      <c r="Q28">
        <v>2753.01897216</v>
      </c>
      <c r="R28">
        <v>2640.4372108583589</v>
      </c>
    </row>
    <row r="29" spans="10:18" x14ac:dyDescent="0.15">
      <c r="J29" s="67" t="s">
        <v>258</v>
      </c>
      <c r="K29">
        <v>15040</v>
      </c>
      <c r="L29">
        <v>15335.48689689091</v>
      </c>
      <c r="M29">
        <v>15040</v>
      </c>
      <c r="N29">
        <v>15836.867885776061</v>
      </c>
      <c r="O29">
        <v>15040</v>
      </c>
      <c r="P29">
        <v>15836.867885776066</v>
      </c>
      <c r="Q29">
        <v>15040</v>
      </c>
      <c r="R29">
        <v>15836.867885776071</v>
      </c>
    </row>
    <row r="30" spans="10:18" x14ac:dyDescent="0.15">
      <c r="J30" s="67" t="s">
        <v>259</v>
      </c>
      <c r="K30">
        <v>24870</v>
      </c>
      <c r="L30">
        <v>25926.17872657819</v>
      </c>
      <c r="M30">
        <v>24870</v>
      </c>
      <c r="N30">
        <v>26773.813576084012</v>
      </c>
      <c r="O30">
        <v>24870</v>
      </c>
      <c r="P30">
        <v>26773.813576084023</v>
      </c>
      <c r="Q30">
        <v>24870</v>
      </c>
      <c r="R30">
        <v>26773.813576084031</v>
      </c>
    </row>
    <row r="31" spans="10:18" x14ac:dyDescent="0.15">
      <c r="J31" s="67" t="s">
        <v>260</v>
      </c>
      <c r="K31">
        <v>19356.21</v>
      </c>
      <c r="L31">
        <v>20060.768263617352</v>
      </c>
      <c r="M31">
        <v>19356.21</v>
      </c>
      <c r="N31">
        <v>20716.63839656028</v>
      </c>
      <c r="O31">
        <v>19356.21</v>
      </c>
      <c r="P31">
        <v>20716.638396560284</v>
      </c>
      <c r="Q31">
        <v>19356.21</v>
      </c>
      <c r="R31">
        <v>20716.638396560284</v>
      </c>
    </row>
    <row r="32" spans="10:18" x14ac:dyDescent="0.15">
      <c r="J32" s="67" t="s">
        <v>261</v>
      </c>
      <c r="K32">
        <v>10364.0575101546</v>
      </c>
      <c r="L32">
        <v>10600.439165226386</v>
      </c>
      <c r="M32">
        <v>10364.0575101546</v>
      </c>
      <c r="N32">
        <v>10947.011706875235</v>
      </c>
      <c r="O32">
        <v>10364.0575101546</v>
      </c>
      <c r="P32">
        <v>10947.011706875233</v>
      </c>
      <c r="Q32">
        <v>10364.0575101546</v>
      </c>
      <c r="R32">
        <v>10947.011706875235</v>
      </c>
    </row>
    <row r="33" spans="10:18" x14ac:dyDescent="0.15">
      <c r="J33" s="67" t="s">
        <v>262</v>
      </c>
      <c r="K33">
        <v>7036.27</v>
      </c>
      <c r="L33">
        <v>7257.335492367295</v>
      </c>
      <c r="M33">
        <v>7036.27</v>
      </c>
      <c r="N33">
        <v>7494.6080400405044</v>
      </c>
      <c r="O33">
        <v>7036.27</v>
      </c>
      <c r="P33">
        <v>7494.6080400405044</v>
      </c>
      <c r="Q33">
        <v>7036.27</v>
      </c>
      <c r="R33">
        <v>7494.6080400405044</v>
      </c>
    </row>
    <row r="34" spans="10:18" x14ac:dyDescent="0.15">
      <c r="J34" s="67" t="s">
        <v>263</v>
      </c>
      <c r="K34">
        <v>3180</v>
      </c>
      <c r="L34">
        <v>3346.9560904388482</v>
      </c>
      <c r="M34">
        <v>3180</v>
      </c>
      <c r="N34">
        <v>3456.3820360030218</v>
      </c>
      <c r="O34">
        <v>3180</v>
      </c>
      <c r="P34">
        <v>3456.3820360030281</v>
      </c>
      <c r="Q34">
        <v>3180</v>
      </c>
      <c r="R34">
        <v>3456.382036003029</v>
      </c>
    </row>
    <row r="35" spans="10:18" x14ac:dyDescent="0.15">
      <c r="J35" s="67" t="s">
        <v>264</v>
      </c>
      <c r="K35">
        <v>23412.244215794501</v>
      </c>
      <c r="L35">
        <v>24268.014711327734</v>
      </c>
      <c r="M35">
        <v>23412.244215794501</v>
      </c>
      <c r="N35">
        <v>25061.437267523972</v>
      </c>
      <c r="O35">
        <v>23412.244215794501</v>
      </c>
      <c r="P35">
        <v>25061.437267523979</v>
      </c>
      <c r="Q35">
        <v>23412.244215794501</v>
      </c>
      <c r="R35">
        <v>25061.437267523972</v>
      </c>
    </row>
    <row r="36" spans="10:18" x14ac:dyDescent="0.15">
      <c r="J36" s="67" t="s">
        <v>265</v>
      </c>
      <c r="K36">
        <v>1000</v>
      </c>
      <c r="L36">
        <v>952.56924306473354</v>
      </c>
      <c r="M36">
        <v>1000</v>
      </c>
      <c r="N36">
        <v>983.71270217239351</v>
      </c>
      <c r="O36">
        <v>1000</v>
      </c>
      <c r="P36">
        <v>983.71270217239351</v>
      </c>
      <c r="Q36">
        <v>1000</v>
      </c>
      <c r="R36">
        <v>983.71270217239362</v>
      </c>
    </row>
  </sheetData>
  <phoneticPr fontId="14" type="noConversion"/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dimension ref="C6:CP36"/>
  <sheetViews>
    <sheetView workbookViewId="0">
      <selection activeCell="L19" sqref="L19:L22"/>
    </sheetView>
  </sheetViews>
  <sheetFormatPr defaultColWidth="9" defaultRowHeight="13.5" x14ac:dyDescent="0.15"/>
  <sheetData>
    <row r="6" spans="3:94" x14ac:dyDescent="0.15">
      <c r="D6" s="67" t="s">
        <v>73</v>
      </c>
      <c r="E6" s="67" t="s">
        <v>73</v>
      </c>
      <c r="K6" s="67" t="s">
        <v>73</v>
      </c>
      <c r="L6" s="67" t="s">
        <v>73</v>
      </c>
      <c r="M6" s="67" t="s">
        <v>315</v>
      </c>
      <c r="N6" s="67" t="s">
        <v>315</v>
      </c>
      <c r="O6" s="67" t="s">
        <v>316</v>
      </c>
      <c r="P6" s="67" t="s">
        <v>316</v>
      </c>
      <c r="Q6" s="67" t="s">
        <v>317</v>
      </c>
      <c r="R6" s="67" t="s">
        <v>317</v>
      </c>
      <c r="S6" s="67"/>
      <c r="T6" s="67"/>
      <c r="U6" s="67"/>
      <c r="V6" s="67"/>
      <c r="W6" s="67"/>
      <c r="X6" s="67"/>
      <c r="Y6" s="67"/>
      <c r="Z6" s="67"/>
      <c r="AA6" s="67"/>
      <c r="AB6" s="67"/>
      <c r="AC6" s="67"/>
      <c r="AD6" s="67"/>
      <c r="AE6" s="67"/>
      <c r="AF6" s="67"/>
      <c r="AG6" s="67"/>
      <c r="AH6" s="67"/>
      <c r="AI6" s="67"/>
      <c r="AJ6" s="67"/>
      <c r="AK6" s="67"/>
      <c r="AL6" s="67"/>
      <c r="AM6" s="67"/>
      <c r="AN6" s="67"/>
      <c r="AO6" s="67"/>
      <c r="AP6" s="67"/>
      <c r="AQ6" s="67"/>
      <c r="AR6" s="67"/>
      <c r="AS6" s="67"/>
      <c r="AT6" s="67"/>
      <c r="AU6" s="67"/>
      <c r="AV6" s="67"/>
      <c r="AW6" s="67"/>
      <c r="AX6" s="67"/>
      <c r="AY6" s="67"/>
      <c r="AZ6" s="67"/>
      <c r="BA6" s="67"/>
      <c r="BB6" s="67"/>
      <c r="BC6" s="67"/>
      <c r="BD6" s="67"/>
      <c r="BE6" s="67"/>
      <c r="BF6" s="67"/>
      <c r="BG6" s="67"/>
      <c r="BH6" s="67"/>
      <c r="BI6" s="67"/>
      <c r="BJ6" s="67"/>
      <c r="BK6" s="67"/>
      <c r="BL6" s="67"/>
      <c r="BM6" s="67"/>
      <c r="BN6" s="67"/>
      <c r="BO6" s="67"/>
      <c r="BP6" s="67"/>
      <c r="BQ6" s="67"/>
      <c r="BR6" s="67"/>
      <c r="BS6" s="67"/>
      <c r="BT6" s="67"/>
      <c r="BU6" s="67"/>
      <c r="BV6" s="67"/>
      <c r="BW6" s="67"/>
      <c r="BX6" s="67"/>
      <c r="BY6" s="67"/>
      <c r="BZ6" s="67"/>
      <c r="CA6" s="67"/>
      <c r="CB6" s="67"/>
      <c r="CC6" s="67"/>
      <c r="CD6" s="67"/>
      <c r="CE6" s="67"/>
      <c r="CF6" s="67"/>
      <c r="CG6" s="67"/>
      <c r="CH6" s="67"/>
      <c r="CI6" s="67"/>
      <c r="CJ6" s="67"/>
      <c r="CK6" s="67"/>
      <c r="CL6" s="67"/>
      <c r="CM6" s="67"/>
      <c r="CN6" s="67"/>
      <c r="CO6" s="67"/>
      <c r="CP6" s="67"/>
    </row>
    <row r="7" spans="3:94" x14ac:dyDescent="0.15">
      <c r="D7" s="67" t="s">
        <v>323</v>
      </c>
      <c r="E7" s="67" t="s">
        <v>75</v>
      </c>
      <c r="K7" s="67" t="s">
        <v>76</v>
      </c>
      <c r="L7" s="67" t="s">
        <v>77</v>
      </c>
      <c r="M7" s="67" t="s">
        <v>76</v>
      </c>
      <c r="N7" s="67" t="s">
        <v>77</v>
      </c>
      <c r="O7" s="67" t="s">
        <v>76</v>
      </c>
      <c r="P7" s="67" t="s">
        <v>77</v>
      </c>
      <c r="Q7" s="67" t="s">
        <v>76</v>
      </c>
      <c r="R7" s="67" t="s">
        <v>77</v>
      </c>
      <c r="S7" s="67"/>
      <c r="T7" s="67"/>
      <c r="U7" s="67"/>
      <c r="V7" s="67"/>
      <c r="W7" s="67"/>
      <c r="X7" s="67"/>
      <c r="Y7" s="67"/>
      <c r="Z7" s="67"/>
      <c r="AA7" s="67"/>
      <c r="AB7" s="67"/>
      <c r="AC7" s="67"/>
      <c r="AD7" s="67"/>
      <c r="AE7" s="67"/>
      <c r="AF7" s="67"/>
      <c r="AG7" s="67"/>
      <c r="AH7" s="67"/>
      <c r="AI7" s="67"/>
      <c r="AJ7" s="67"/>
      <c r="AK7" s="67"/>
      <c r="AL7" s="67"/>
      <c r="AM7" s="67"/>
      <c r="AN7" s="67"/>
      <c r="AO7" s="67"/>
      <c r="AP7" s="67"/>
      <c r="AQ7" s="67"/>
      <c r="AR7" s="67"/>
      <c r="AS7" s="67"/>
      <c r="AT7" s="67"/>
      <c r="AU7" s="67"/>
      <c r="AV7" s="67"/>
      <c r="AW7" s="67"/>
      <c r="AX7" s="67"/>
      <c r="AY7" s="67"/>
      <c r="AZ7" s="67"/>
      <c r="BA7" s="67"/>
      <c r="BB7" s="67"/>
      <c r="BC7" s="67"/>
      <c r="BD7" s="67"/>
      <c r="BE7" s="67"/>
      <c r="BF7" s="67"/>
      <c r="BG7" s="67"/>
      <c r="BH7" s="67"/>
      <c r="BI7" s="67"/>
      <c r="BJ7" s="67"/>
      <c r="BK7" s="67"/>
      <c r="BL7" s="67"/>
      <c r="BM7" s="67"/>
      <c r="BN7" s="67"/>
      <c r="BO7" s="67"/>
      <c r="BP7" s="67"/>
      <c r="BQ7" s="67"/>
      <c r="BR7" s="67"/>
      <c r="BS7" s="67"/>
      <c r="BT7" s="67"/>
      <c r="BU7" s="67"/>
      <c r="BV7" s="67"/>
      <c r="BW7" s="67"/>
      <c r="BX7" s="67"/>
      <c r="BY7" s="67"/>
      <c r="BZ7" s="67"/>
      <c r="CA7" s="67"/>
      <c r="CB7" s="67"/>
      <c r="CC7" s="67"/>
      <c r="CD7" s="67"/>
      <c r="CE7" s="67"/>
      <c r="CF7" s="67"/>
      <c r="CG7" s="67"/>
      <c r="CH7" s="67"/>
      <c r="CI7" s="67"/>
      <c r="CJ7" s="67"/>
      <c r="CK7" s="67"/>
      <c r="CL7" s="67"/>
      <c r="CM7" s="67"/>
      <c r="CN7" s="67"/>
      <c r="CO7" s="67"/>
      <c r="CP7" s="67"/>
    </row>
    <row r="8" spans="3:94" x14ac:dyDescent="0.15">
      <c r="C8" s="67" t="s">
        <v>237</v>
      </c>
      <c r="D8">
        <v>20760.900000000001</v>
      </c>
      <c r="E8">
        <v>20832.07</v>
      </c>
      <c r="J8" s="67" t="s">
        <v>237</v>
      </c>
      <c r="K8">
        <v>142</v>
      </c>
      <c r="L8">
        <v>141.64915500342804</v>
      </c>
      <c r="M8">
        <v>142</v>
      </c>
      <c r="N8">
        <v>141.76251059541679</v>
      </c>
      <c r="O8">
        <v>142</v>
      </c>
      <c r="P8">
        <v>141.90430712583864</v>
      </c>
      <c r="Q8">
        <v>142</v>
      </c>
      <c r="R8">
        <v>141.66332048553622</v>
      </c>
    </row>
    <row r="9" spans="3:94" x14ac:dyDescent="0.15">
      <c r="C9" s="67" t="s">
        <v>238</v>
      </c>
      <c r="D9">
        <v>14848.41</v>
      </c>
      <c r="E9">
        <v>15116.16</v>
      </c>
      <c r="J9" s="67" t="s">
        <v>238</v>
      </c>
      <c r="K9">
        <v>700</v>
      </c>
      <c r="L9">
        <v>697.73775477646029</v>
      </c>
      <c r="M9">
        <v>700</v>
      </c>
      <c r="N9">
        <v>698.29612362972807</v>
      </c>
      <c r="O9">
        <v>700</v>
      </c>
      <c r="P9">
        <v>698.99458732878293</v>
      </c>
      <c r="Q9">
        <v>700</v>
      </c>
      <c r="R9">
        <v>697.80753134294469</v>
      </c>
    </row>
    <row r="10" spans="3:94" x14ac:dyDescent="0.15">
      <c r="C10" s="67" t="s">
        <v>239</v>
      </c>
      <c r="D10">
        <v>31596.1</v>
      </c>
      <c r="E10">
        <v>30855.599999999999</v>
      </c>
      <c r="J10" s="67" t="s">
        <v>239</v>
      </c>
      <c r="K10">
        <v>124.5</v>
      </c>
      <c r="L10">
        <v>124.03419001224992</v>
      </c>
      <c r="M10">
        <v>124.5</v>
      </c>
      <c r="N10">
        <v>124.1334491220931</v>
      </c>
      <c r="O10">
        <v>124.5</v>
      </c>
      <c r="P10">
        <v>124.25761236046198</v>
      </c>
      <c r="Q10">
        <v>124.5</v>
      </c>
      <c r="R10">
        <v>124.04659392739777</v>
      </c>
    </row>
    <row r="11" spans="3:94" x14ac:dyDescent="0.15">
      <c r="C11" s="67" t="s">
        <v>240</v>
      </c>
      <c r="D11">
        <v>9150</v>
      </c>
      <c r="E11">
        <v>9500</v>
      </c>
      <c r="J11" s="67" t="s">
        <v>240</v>
      </c>
      <c r="K11">
        <v>884.79</v>
      </c>
      <c r="L11">
        <v>885.81796629889232</v>
      </c>
      <c r="M11">
        <v>884.79</v>
      </c>
      <c r="N11">
        <v>885.81796629889197</v>
      </c>
      <c r="O11">
        <v>884.79</v>
      </c>
      <c r="P11">
        <v>885.81796629889197</v>
      </c>
      <c r="Q11">
        <v>884.79</v>
      </c>
      <c r="R11">
        <v>885.81796629889197</v>
      </c>
    </row>
    <row r="12" spans="3:94" x14ac:dyDescent="0.15">
      <c r="C12" s="67" t="s">
        <v>241</v>
      </c>
      <c r="D12">
        <v>803.8</v>
      </c>
      <c r="E12">
        <v>1179.5</v>
      </c>
      <c r="J12" s="67" t="s">
        <v>241</v>
      </c>
      <c r="K12">
        <v>3.4</v>
      </c>
      <c r="L12">
        <v>3.4112624383627308</v>
      </c>
      <c r="M12">
        <v>3.4</v>
      </c>
      <c r="N12">
        <v>3.4139923217363415</v>
      </c>
      <c r="O12">
        <v>3.4</v>
      </c>
      <c r="P12">
        <v>3.4174071333397493</v>
      </c>
      <c r="Q12">
        <v>3.4</v>
      </c>
      <c r="R12">
        <v>3.411603578251889</v>
      </c>
    </row>
    <row r="13" spans="3:94" x14ac:dyDescent="0.15">
      <c r="C13" s="67" t="s">
        <v>242</v>
      </c>
      <c r="D13">
        <v>1789.8</v>
      </c>
      <c r="E13">
        <v>1624</v>
      </c>
      <c r="J13" s="67" t="s">
        <v>242</v>
      </c>
      <c r="K13">
        <v>6.4</v>
      </c>
      <c r="L13">
        <v>6.3817456292996351</v>
      </c>
      <c r="M13">
        <v>6.4</v>
      </c>
      <c r="N13">
        <v>6.3868526597913675</v>
      </c>
      <c r="O13">
        <v>6.4</v>
      </c>
      <c r="P13">
        <v>6.3932410451527106</v>
      </c>
      <c r="Q13">
        <v>6.4</v>
      </c>
      <c r="R13">
        <v>6.3823838293900552</v>
      </c>
    </row>
    <row r="14" spans="3:94" x14ac:dyDescent="0.15">
      <c r="C14" s="67" t="s">
        <v>243</v>
      </c>
      <c r="D14">
        <v>2084.17</v>
      </c>
      <c r="E14">
        <v>2065</v>
      </c>
      <c r="J14" s="67" t="s">
        <v>243</v>
      </c>
      <c r="K14">
        <v>83.105999999999995</v>
      </c>
      <c r="L14">
        <v>91.285279156953564</v>
      </c>
      <c r="M14">
        <v>83.105999999999995</v>
      </c>
      <c r="N14">
        <v>91.285279156953649</v>
      </c>
      <c r="O14">
        <v>83.105999999999995</v>
      </c>
      <c r="P14">
        <v>91.285279156953621</v>
      </c>
      <c r="Q14">
        <v>83.105999999999995</v>
      </c>
      <c r="R14">
        <v>91.285279156953621</v>
      </c>
    </row>
    <row r="15" spans="3:94" x14ac:dyDescent="0.15">
      <c r="C15" s="67" t="s">
        <v>244</v>
      </c>
      <c r="D15">
        <v>1587.5</v>
      </c>
      <c r="E15">
        <v>1817</v>
      </c>
      <c r="J15" s="67" t="s">
        <v>265</v>
      </c>
      <c r="K15">
        <v>79.027332431086805</v>
      </c>
      <c r="L15">
        <v>78.808221504132632</v>
      </c>
      <c r="M15">
        <v>79.027332431086805</v>
      </c>
      <c r="N15">
        <v>78.886128105001873</v>
      </c>
      <c r="O15">
        <v>79.027332431086805</v>
      </c>
      <c r="P15">
        <v>78.965033164010265</v>
      </c>
      <c r="Q15">
        <v>79.027332431086805</v>
      </c>
      <c r="R15">
        <v>78.830932103732422</v>
      </c>
    </row>
    <row r="16" spans="3:94" x14ac:dyDescent="0.15">
      <c r="C16" s="67" t="s">
        <v>245</v>
      </c>
      <c r="D16">
        <v>7932.5</v>
      </c>
      <c r="E16">
        <v>7729.4</v>
      </c>
    </row>
    <row r="17" spans="3:5" x14ac:dyDescent="0.15">
      <c r="C17" s="67" t="s">
        <v>246</v>
      </c>
      <c r="D17">
        <v>2151.5500000000002</v>
      </c>
      <c r="E17">
        <v>1880</v>
      </c>
    </row>
    <row r="18" spans="3:5" x14ac:dyDescent="0.15">
      <c r="C18" s="67" t="s">
        <v>247</v>
      </c>
      <c r="D18">
        <v>926.3</v>
      </c>
      <c r="E18">
        <v>935.5</v>
      </c>
    </row>
    <row r="19" spans="3:5" x14ac:dyDescent="0.15">
      <c r="C19" s="67" t="s">
        <v>248</v>
      </c>
      <c r="D19">
        <v>1351.5</v>
      </c>
      <c r="E19">
        <v>1449.7</v>
      </c>
    </row>
    <row r="20" spans="3:5" x14ac:dyDescent="0.15">
      <c r="C20" s="67" t="s">
        <v>249</v>
      </c>
      <c r="D20">
        <v>1880</v>
      </c>
      <c r="E20">
        <v>1961.49</v>
      </c>
    </row>
    <row r="21" spans="3:5" x14ac:dyDescent="0.15">
      <c r="C21" s="67" t="s">
        <v>250</v>
      </c>
      <c r="D21">
        <v>345.2</v>
      </c>
      <c r="E21">
        <v>344.45</v>
      </c>
    </row>
    <row r="22" spans="3:5" x14ac:dyDescent="0.15">
      <c r="C22" s="67" t="s">
        <v>251</v>
      </c>
      <c r="D22">
        <v>391.74</v>
      </c>
      <c r="E22">
        <v>407.3</v>
      </c>
    </row>
    <row r="23" spans="3:5" x14ac:dyDescent="0.15">
      <c r="C23" s="67" t="s">
        <v>252</v>
      </c>
      <c r="D23">
        <v>752.8</v>
      </c>
      <c r="E23">
        <v>783.4</v>
      </c>
    </row>
    <row r="24" spans="3:5" x14ac:dyDescent="0.15">
      <c r="C24" s="67" t="s">
        <v>253</v>
      </c>
      <c r="D24">
        <v>1267.0999999999999</v>
      </c>
      <c r="E24">
        <v>1456</v>
      </c>
    </row>
    <row r="25" spans="3:5" x14ac:dyDescent="0.15">
      <c r="C25" s="67" t="s">
        <v>254</v>
      </c>
      <c r="D25">
        <v>789</v>
      </c>
      <c r="E25">
        <v>882</v>
      </c>
    </row>
    <row r="26" spans="3:5" x14ac:dyDescent="0.15">
      <c r="C26" s="67" t="s">
        <v>255</v>
      </c>
      <c r="D26">
        <v>108</v>
      </c>
      <c r="E26">
        <v>114</v>
      </c>
    </row>
    <row r="27" spans="3:5" x14ac:dyDescent="0.15">
      <c r="C27" s="67" t="s">
        <v>256</v>
      </c>
      <c r="D27">
        <v>33109.9</v>
      </c>
      <c r="E27">
        <v>34609.86</v>
      </c>
    </row>
    <row r="28" spans="3:5" x14ac:dyDescent="0.15">
      <c r="C28" s="67" t="s">
        <v>257</v>
      </c>
      <c r="D28">
        <v>82868.11</v>
      </c>
      <c r="E28">
        <v>83696.791100000002</v>
      </c>
    </row>
    <row r="29" spans="3:5" x14ac:dyDescent="0.15">
      <c r="C29" s="67" t="s">
        <v>258</v>
      </c>
      <c r="D29">
        <v>5946.32</v>
      </c>
      <c r="E29">
        <v>5810.23</v>
      </c>
    </row>
    <row r="30" spans="3:5" x14ac:dyDescent="0.15">
      <c r="C30" s="67" t="s">
        <v>259</v>
      </c>
      <c r="D30">
        <v>1026.73</v>
      </c>
      <c r="E30">
        <v>1066.4100000000001</v>
      </c>
    </row>
    <row r="31" spans="3:5" x14ac:dyDescent="0.15">
      <c r="C31" s="67" t="s">
        <v>260</v>
      </c>
      <c r="D31">
        <v>574.24</v>
      </c>
      <c r="E31">
        <v>554.53</v>
      </c>
    </row>
    <row r="32" spans="3:5" x14ac:dyDescent="0.15">
      <c r="C32" s="67" t="s">
        <v>261</v>
      </c>
      <c r="D32">
        <v>2684.0192315221202</v>
      </c>
      <c r="E32">
        <v>2658.02930387177</v>
      </c>
    </row>
    <row r="33" spans="3:5" x14ac:dyDescent="0.15">
      <c r="C33" s="67" t="s">
        <v>262</v>
      </c>
      <c r="D33">
        <v>3028.55</v>
      </c>
      <c r="E33">
        <v>3049.8</v>
      </c>
    </row>
    <row r="34" spans="3:5" x14ac:dyDescent="0.15">
      <c r="C34" s="67" t="s">
        <v>263</v>
      </c>
      <c r="D34">
        <v>5891.13</v>
      </c>
      <c r="E34">
        <v>5595.0086899999997</v>
      </c>
    </row>
    <row r="35" spans="3:5" x14ac:dyDescent="0.15">
      <c r="C35" s="67" t="s">
        <v>264</v>
      </c>
      <c r="D35">
        <v>7419.52</v>
      </c>
      <c r="E35">
        <v>7638.4</v>
      </c>
    </row>
    <row r="36" spans="3:5" x14ac:dyDescent="0.15">
      <c r="C36" s="67" t="s">
        <v>265</v>
      </c>
      <c r="D36">
        <v>4124.6000000000004</v>
      </c>
      <c r="E36">
        <v>4007.67</v>
      </c>
    </row>
  </sheetData>
  <phoneticPr fontId="14" type="noConversion"/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dimension ref="J6:CP29"/>
  <sheetViews>
    <sheetView topLeftCell="H1" workbookViewId="0">
      <pane xSplit="3" ySplit="7" topLeftCell="K11" activePane="bottomRight" state="frozen"/>
      <selection pane="topRight"/>
      <selection pane="bottomLeft"/>
      <selection pane="bottomRight" activeCell="L6" sqref="L6"/>
    </sheetView>
  </sheetViews>
  <sheetFormatPr defaultColWidth="9" defaultRowHeight="13.5" x14ac:dyDescent="0.15"/>
  <cols>
    <col min="47" max="52" width="9" style="4"/>
    <col min="53" max="53" width="12.625" style="7" customWidth="1"/>
    <col min="54" max="55" width="9" style="4"/>
  </cols>
  <sheetData>
    <row r="6" spans="10:94" x14ac:dyDescent="0.15">
      <c r="K6" s="67" t="s">
        <v>73</v>
      </c>
      <c r="L6" s="67" t="s">
        <v>73</v>
      </c>
      <c r="M6" s="67" t="s">
        <v>315</v>
      </c>
      <c r="N6" s="67" t="s">
        <v>315</v>
      </c>
      <c r="O6" s="67" t="s">
        <v>316</v>
      </c>
      <c r="P6" s="67" t="s">
        <v>316</v>
      </c>
      <c r="Q6" s="67" t="s">
        <v>317</v>
      </c>
      <c r="R6" s="67" t="s">
        <v>317</v>
      </c>
      <c r="S6" s="67"/>
      <c r="T6" s="67"/>
      <c r="U6" s="67"/>
      <c r="V6" s="67"/>
      <c r="W6" s="67"/>
      <c r="X6" s="67"/>
      <c r="Y6" s="67"/>
      <c r="Z6" s="67"/>
      <c r="AA6" s="67"/>
      <c r="AB6" s="67"/>
      <c r="AC6" s="67"/>
      <c r="AD6" s="67"/>
      <c r="AE6" s="67"/>
      <c r="AF6" s="67"/>
      <c r="AG6" s="67"/>
      <c r="AH6" s="67"/>
      <c r="AI6" s="67"/>
      <c r="AJ6" s="67"/>
      <c r="AK6" s="67"/>
      <c r="AL6" s="67"/>
      <c r="AM6" s="67"/>
      <c r="AN6" s="67"/>
      <c r="AO6" s="67"/>
      <c r="AP6" s="67"/>
      <c r="AQ6" s="67"/>
      <c r="AR6" s="67"/>
      <c r="AS6" s="67"/>
      <c r="AT6" s="67"/>
      <c r="AU6" s="69"/>
      <c r="AV6" s="69"/>
      <c r="AW6" s="69"/>
      <c r="AX6" s="69"/>
      <c r="AY6" s="69"/>
      <c r="AZ6" s="69"/>
      <c r="BA6" s="82"/>
      <c r="BB6" s="69"/>
      <c r="BC6" s="69"/>
      <c r="BD6" s="67"/>
      <c r="BE6" s="67"/>
      <c r="BF6" s="67"/>
      <c r="BG6" s="67"/>
      <c r="BH6" s="67"/>
      <c r="BI6" s="67"/>
      <c r="BJ6" s="67"/>
      <c r="BK6" s="67"/>
      <c r="BL6" s="67"/>
      <c r="BM6" s="67"/>
      <c r="BN6" s="67"/>
      <c r="BO6" s="67"/>
      <c r="BP6" s="67"/>
      <c r="BQ6" s="67"/>
      <c r="BR6" s="67"/>
      <c r="BS6" s="67"/>
      <c r="BT6" s="67"/>
      <c r="BU6" s="67"/>
      <c r="BV6" s="67"/>
      <c r="BW6" s="67"/>
      <c r="BX6" s="67"/>
      <c r="BY6" s="67"/>
      <c r="BZ6" s="67"/>
      <c r="CA6" s="67"/>
      <c r="CB6" s="67"/>
      <c r="CC6" s="67"/>
      <c r="CD6" s="67"/>
      <c r="CE6" s="67"/>
      <c r="CF6" s="67"/>
      <c r="CG6" s="67"/>
      <c r="CH6" s="67"/>
      <c r="CI6" s="67"/>
      <c r="CJ6" s="67"/>
      <c r="CK6" s="67"/>
      <c r="CL6" s="67"/>
      <c r="CM6" s="67"/>
      <c r="CN6" s="67"/>
      <c r="CO6" s="67"/>
      <c r="CP6" s="67"/>
    </row>
    <row r="7" spans="10:94" x14ac:dyDescent="0.15">
      <c r="K7" s="67" t="s">
        <v>76</v>
      </c>
      <c r="L7" s="67" t="s">
        <v>77</v>
      </c>
      <c r="M7" s="67" t="s">
        <v>76</v>
      </c>
      <c r="N7" s="67" t="s">
        <v>77</v>
      </c>
      <c r="O7" s="67" t="s">
        <v>76</v>
      </c>
      <c r="P7" s="67" t="s">
        <v>77</v>
      </c>
      <c r="Q7" s="67" t="s">
        <v>76</v>
      </c>
      <c r="R7" s="67" t="s">
        <v>77</v>
      </c>
      <c r="S7" s="67"/>
      <c r="T7" s="67"/>
      <c r="U7" s="67"/>
      <c r="V7" s="67"/>
      <c r="W7" s="67"/>
      <c r="X7" s="67"/>
      <c r="Y7" s="67"/>
      <c r="Z7" s="67"/>
      <c r="AA7" s="67"/>
      <c r="AB7" s="67"/>
      <c r="AC7" s="67"/>
      <c r="AD7" s="67"/>
      <c r="AE7" s="67"/>
      <c r="AF7" s="67"/>
      <c r="AG7" s="67"/>
      <c r="AH7" s="67"/>
      <c r="AI7" s="67"/>
      <c r="AJ7" s="67"/>
      <c r="AK7" s="67"/>
      <c r="AL7" s="67"/>
      <c r="AM7" s="67"/>
      <c r="AN7" s="67"/>
      <c r="AO7" s="67"/>
      <c r="AP7" s="67"/>
      <c r="AQ7" s="67"/>
      <c r="AR7" s="67"/>
      <c r="AS7" s="67"/>
      <c r="AT7" s="67"/>
      <c r="AU7" s="69"/>
      <c r="AV7" s="69"/>
      <c r="AW7" s="69"/>
      <c r="AX7" s="69"/>
      <c r="AY7" s="69"/>
      <c r="AZ7" s="69"/>
      <c r="BA7" s="82"/>
      <c r="BB7" s="69"/>
      <c r="BC7" s="69"/>
      <c r="BD7" s="67"/>
      <c r="BE7" s="67"/>
      <c r="BF7" s="67"/>
      <c r="BG7" s="67"/>
      <c r="BH7" s="67"/>
      <c r="BI7" s="67"/>
      <c r="BJ7" s="67"/>
      <c r="BK7" s="67"/>
      <c r="BL7" s="67"/>
      <c r="BM7" s="67"/>
      <c r="BN7" s="67"/>
      <c r="BO7" s="67"/>
      <c r="BP7" s="67"/>
      <c r="BQ7" s="67"/>
      <c r="BR7" s="67"/>
      <c r="BS7" s="67"/>
      <c r="BT7" s="67"/>
      <c r="BU7" s="67"/>
      <c r="BV7" s="67"/>
      <c r="BW7" s="67"/>
      <c r="BX7" s="67"/>
      <c r="BY7" s="67"/>
      <c r="BZ7" s="67"/>
      <c r="CA7" s="67"/>
      <c r="CB7" s="67"/>
      <c r="CC7" s="67"/>
      <c r="CD7" s="67"/>
      <c r="CE7" s="67"/>
      <c r="CF7" s="67"/>
      <c r="CG7" s="67"/>
      <c r="CH7" s="67"/>
      <c r="CI7" s="67"/>
      <c r="CJ7" s="67"/>
      <c r="CK7" s="67"/>
      <c r="CL7" s="67"/>
      <c r="CM7" s="67"/>
      <c r="CN7" s="67"/>
      <c r="CO7" s="67"/>
      <c r="CP7" s="67"/>
    </row>
    <row r="8" spans="10:94" x14ac:dyDescent="0.15">
      <c r="J8" s="67" t="s">
        <v>237</v>
      </c>
      <c r="K8">
        <v>303.24608849110894</v>
      </c>
      <c r="L8">
        <v>292.22153818350154</v>
      </c>
      <c r="M8">
        <v>303.24608849110894</v>
      </c>
      <c r="N8">
        <v>289.05156857066777</v>
      </c>
      <c r="O8">
        <v>303.24608849110894</v>
      </c>
      <c r="P8">
        <v>289.05156857066788</v>
      </c>
      <c r="Q8">
        <v>303.24608849110894</v>
      </c>
      <c r="R8">
        <v>289.051568570668</v>
      </c>
    </row>
    <row r="9" spans="10:94" x14ac:dyDescent="0.15">
      <c r="J9" s="67" t="s">
        <v>238</v>
      </c>
      <c r="K9">
        <v>172.58700213159577</v>
      </c>
      <c r="L9">
        <v>165.93089512951346</v>
      </c>
      <c r="M9">
        <v>172.58700213159577</v>
      </c>
      <c r="N9">
        <v>164.70155535377668</v>
      </c>
      <c r="O9">
        <v>172.58700213159577</v>
      </c>
      <c r="P9">
        <v>164.70155535377671</v>
      </c>
      <c r="Q9">
        <v>172.58700213159577</v>
      </c>
      <c r="R9">
        <v>164.70155535377671</v>
      </c>
    </row>
    <row r="10" spans="10:94" x14ac:dyDescent="0.15">
      <c r="J10" s="67" t="s">
        <v>239</v>
      </c>
      <c r="K10">
        <v>37.442603852278395</v>
      </c>
      <c r="L10">
        <v>36.978392748525778</v>
      </c>
      <c r="M10">
        <v>37.442603852278395</v>
      </c>
      <c r="N10">
        <v>36.966498311900274</v>
      </c>
      <c r="O10">
        <v>37.442603852278395</v>
      </c>
      <c r="P10">
        <v>36.966498311900253</v>
      </c>
      <c r="Q10">
        <v>37.442603852278395</v>
      </c>
      <c r="R10">
        <v>36.966498311900274</v>
      </c>
    </row>
    <row r="11" spans="10:94" x14ac:dyDescent="0.15">
      <c r="J11" s="67" t="s">
        <v>240</v>
      </c>
      <c r="K11">
        <v>122.6994128239163</v>
      </c>
      <c r="L11">
        <v>122.29354993267087</v>
      </c>
      <c r="M11">
        <v>122.6994128239163</v>
      </c>
      <c r="N11">
        <v>122.09699225488346</v>
      </c>
      <c r="O11">
        <v>122.6994128239163</v>
      </c>
      <c r="P11">
        <v>122.09699225488349</v>
      </c>
      <c r="Q11">
        <v>122.6994128239163</v>
      </c>
      <c r="R11">
        <v>122.09699225488356</v>
      </c>
    </row>
    <row r="12" spans="10:94" x14ac:dyDescent="0.15">
      <c r="J12" s="67" t="s">
        <v>241</v>
      </c>
      <c r="K12">
        <v>7.8005424692246654</v>
      </c>
      <c r="L12">
        <v>7.8847375036995366</v>
      </c>
      <c r="M12">
        <v>7.8005424692246654</v>
      </c>
      <c r="N12">
        <v>7.8394627492172422</v>
      </c>
      <c r="O12">
        <v>7.8005424692246654</v>
      </c>
      <c r="P12">
        <v>7.8394627492172457</v>
      </c>
      <c r="Q12">
        <v>7.8005424692246654</v>
      </c>
      <c r="R12">
        <v>7.8394627492172431</v>
      </c>
    </row>
    <row r="13" spans="10:94" x14ac:dyDescent="0.15">
      <c r="J13" s="67" t="s">
        <v>242</v>
      </c>
      <c r="K13">
        <v>0.74885207704556789</v>
      </c>
      <c r="L13">
        <v>0.73889202690861089</v>
      </c>
      <c r="M13">
        <v>0.74885207704556789</v>
      </c>
      <c r="N13">
        <v>0.73770443442294997</v>
      </c>
      <c r="O13">
        <v>0.74885207704556789</v>
      </c>
      <c r="P13">
        <v>0.73770443442295108</v>
      </c>
      <c r="Q13">
        <v>0.74885207704556789</v>
      </c>
      <c r="R13">
        <v>0.73770443442295119</v>
      </c>
    </row>
    <row r="14" spans="10:94" x14ac:dyDescent="0.15">
      <c r="J14" s="67" t="s">
        <v>243</v>
      </c>
      <c r="K14">
        <v>33.152305494204832</v>
      </c>
      <c r="L14">
        <v>34.070998216702115</v>
      </c>
      <c r="M14">
        <v>33.152305494204832</v>
      </c>
      <c r="N14">
        <v>33.960471682199007</v>
      </c>
      <c r="O14">
        <v>33.152305494204832</v>
      </c>
      <c r="P14">
        <v>33.960471682198992</v>
      </c>
      <c r="Q14">
        <v>33.152305494204832</v>
      </c>
      <c r="R14">
        <v>33.960471682198992</v>
      </c>
    </row>
    <row r="15" spans="10:94" x14ac:dyDescent="0.15">
      <c r="J15" s="67" t="s">
        <v>244</v>
      </c>
      <c r="K15">
        <v>36.052937211386016</v>
      </c>
      <c r="L15">
        <v>36.968211475450438</v>
      </c>
      <c r="M15">
        <v>36.052937211386016</v>
      </c>
      <c r="N15">
        <v>37.219443479242145</v>
      </c>
      <c r="O15">
        <v>36.052937211386016</v>
      </c>
      <c r="P15">
        <v>37.219443479242116</v>
      </c>
      <c r="Q15">
        <v>36.052937211386016</v>
      </c>
      <c r="R15">
        <v>37.21944347924213</v>
      </c>
    </row>
    <row r="16" spans="10:94" x14ac:dyDescent="0.15">
      <c r="J16" s="67" t="s">
        <v>247</v>
      </c>
      <c r="K16">
        <v>19.501356173061669</v>
      </c>
      <c r="L16">
        <v>20.27415306520642</v>
      </c>
      <c r="M16">
        <v>19.501356173061669</v>
      </c>
      <c r="N16">
        <v>20.411934036924119</v>
      </c>
      <c r="O16">
        <v>19.501356173061669</v>
      </c>
      <c r="P16">
        <v>20.411934036924109</v>
      </c>
      <c r="Q16">
        <v>19.501356173061669</v>
      </c>
      <c r="R16">
        <v>20.411934036924109</v>
      </c>
    </row>
    <row r="17" spans="10:18" x14ac:dyDescent="0.15">
      <c r="J17" s="67" t="s">
        <v>249</v>
      </c>
      <c r="K17">
        <v>16.283632404506491</v>
      </c>
      <c r="L17">
        <v>17.811495679221942</v>
      </c>
      <c r="M17">
        <v>16.283632404506491</v>
      </c>
      <c r="N17">
        <v>17.640418029937521</v>
      </c>
      <c r="O17">
        <v>16.283632404506491</v>
      </c>
      <c r="P17">
        <v>17.640418029937507</v>
      </c>
      <c r="Q17">
        <v>16.283632404506491</v>
      </c>
      <c r="R17">
        <v>17.640418029937521</v>
      </c>
    </row>
    <row r="18" spans="10:18" x14ac:dyDescent="0.15">
      <c r="J18" s="67" t="s">
        <v>250</v>
      </c>
      <c r="K18">
        <v>7.0204882223021992</v>
      </c>
      <c r="L18">
        <v>7.4278593402348969</v>
      </c>
      <c r="M18">
        <v>7.0204882223021992</v>
      </c>
      <c r="N18">
        <v>7.4663186334151934</v>
      </c>
      <c r="O18">
        <v>7.0204882223021992</v>
      </c>
      <c r="P18">
        <v>7.4663186334151987</v>
      </c>
      <c r="Q18">
        <v>7.0204882223021992</v>
      </c>
      <c r="R18">
        <v>7.4663186334151996</v>
      </c>
    </row>
    <row r="19" spans="10:18" x14ac:dyDescent="0.15">
      <c r="J19" s="67" t="s">
        <v>253</v>
      </c>
      <c r="K19">
        <v>13.847913018491088</v>
      </c>
      <c r="L19">
        <v>14.060801869141244</v>
      </c>
      <c r="M19">
        <v>13.847913018491088</v>
      </c>
      <c r="N19">
        <v>14.047237878326682</v>
      </c>
      <c r="O19">
        <v>13.847913018491088</v>
      </c>
      <c r="P19">
        <v>14.047237878326685</v>
      </c>
      <c r="Q19">
        <v>13.847913018491088</v>
      </c>
      <c r="R19">
        <v>14.04723787832669</v>
      </c>
    </row>
    <row r="20" spans="10:18" x14ac:dyDescent="0.15">
      <c r="J20" s="67" t="s">
        <v>256</v>
      </c>
      <c r="K20">
        <v>367.96094892429051</v>
      </c>
      <c r="L20">
        <v>373.32094278958471</v>
      </c>
      <c r="M20">
        <v>367.96094892429051</v>
      </c>
      <c r="N20">
        <v>377.05698442347773</v>
      </c>
      <c r="O20">
        <v>367.96094892429051</v>
      </c>
      <c r="P20">
        <v>377.05698442347762</v>
      </c>
      <c r="Q20">
        <v>367.96094892429051</v>
      </c>
      <c r="R20">
        <v>377.05698442347773</v>
      </c>
    </row>
    <row r="21" spans="10:18" x14ac:dyDescent="0.15">
      <c r="J21" s="67" t="s">
        <v>257</v>
      </c>
      <c r="K21">
        <v>365.96644385392045</v>
      </c>
      <c r="L21">
        <v>372.17071463228075</v>
      </c>
      <c r="M21">
        <v>365.96644385392045</v>
      </c>
      <c r="N21">
        <v>372.51438382558774</v>
      </c>
      <c r="O21">
        <v>365.96644385392045</v>
      </c>
      <c r="P21">
        <v>372.51438382558774</v>
      </c>
      <c r="Q21">
        <v>365.96644385392045</v>
      </c>
      <c r="R21">
        <v>372.51438382558774</v>
      </c>
    </row>
    <row r="22" spans="10:18" x14ac:dyDescent="0.15">
      <c r="J22" s="67" t="s">
        <v>258</v>
      </c>
      <c r="K22">
        <v>89.95975602633348</v>
      </c>
      <c r="L22">
        <v>87.664528761004945</v>
      </c>
      <c r="M22">
        <v>89.95975602633348</v>
      </c>
      <c r="N22">
        <v>92.377836070971227</v>
      </c>
      <c r="O22">
        <v>89.95975602633348</v>
      </c>
      <c r="P22">
        <v>92.377836070971242</v>
      </c>
      <c r="Q22">
        <v>89.95975602633348</v>
      </c>
      <c r="R22">
        <v>92.377836070971313</v>
      </c>
    </row>
    <row r="23" spans="10:18" x14ac:dyDescent="0.15">
      <c r="J23" s="67" t="s">
        <v>259</v>
      </c>
      <c r="K23">
        <v>18.869707246616198</v>
      </c>
      <c r="L23">
        <v>18.573793306055737</v>
      </c>
      <c r="M23">
        <v>18.869707246616198</v>
      </c>
      <c r="N23">
        <v>19.97634697491522</v>
      </c>
      <c r="O23">
        <v>18.869707246616198</v>
      </c>
      <c r="P23">
        <v>19.976346974915213</v>
      </c>
      <c r="Q23">
        <v>18.869707246616198</v>
      </c>
      <c r="R23">
        <v>19.976346974915195</v>
      </c>
    </row>
    <row r="24" spans="10:18" x14ac:dyDescent="0.15">
      <c r="J24" s="67" t="s">
        <v>260</v>
      </c>
      <c r="K24">
        <v>9.2115194120887143</v>
      </c>
      <c r="L24">
        <v>9.7577810999167589</v>
      </c>
      <c r="M24">
        <v>9.2115194120887143</v>
      </c>
      <c r="N24">
        <v>9.7857796422157257</v>
      </c>
      <c r="O24">
        <v>9.2115194120887143</v>
      </c>
      <c r="P24">
        <v>9.7857796422157168</v>
      </c>
      <c r="Q24">
        <v>9.2115194120887143</v>
      </c>
      <c r="R24">
        <v>9.7857796422157239</v>
      </c>
    </row>
    <row r="25" spans="10:18" x14ac:dyDescent="0.15">
      <c r="J25" s="67" t="s">
        <v>261</v>
      </c>
      <c r="K25">
        <v>51.033451887020455</v>
      </c>
      <c r="L25">
        <v>55.39462004379282</v>
      </c>
      <c r="M25">
        <v>51.033451887020455</v>
      </c>
      <c r="N25">
        <v>54.538432410796787</v>
      </c>
      <c r="O25">
        <v>51.033451887020455</v>
      </c>
      <c r="P25">
        <v>54.538432410796808</v>
      </c>
      <c r="Q25">
        <v>51.033451887020455</v>
      </c>
      <c r="R25">
        <v>54.538432410796851</v>
      </c>
    </row>
    <row r="26" spans="10:18" x14ac:dyDescent="0.15">
      <c r="J26" s="67" t="s">
        <v>262</v>
      </c>
      <c r="K26">
        <v>44.876520825449511</v>
      </c>
      <c r="L26">
        <v>46.128647131577203</v>
      </c>
      <c r="M26">
        <v>44.876520825449511</v>
      </c>
      <c r="N26">
        <v>46.055987994097904</v>
      </c>
      <c r="O26">
        <v>44.876520825449511</v>
      </c>
      <c r="P26">
        <v>46.055987994097926</v>
      </c>
      <c r="Q26">
        <v>44.876520825449511</v>
      </c>
      <c r="R26">
        <v>46.055987994097912</v>
      </c>
    </row>
    <row r="27" spans="10:18" x14ac:dyDescent="0.15">
      <c r="J27" s="67" t="s">
        <v>263</v>
      </c>
      <c r="K27">
        <v>57.327099169723894</v>
      </c>
      <c r="L27">
        <v>61.438249589343172</v>
      </c>
      <c r="M27">
        <v>57.327099169723894</v>
      </c>
      <c r="N27">
        <v>63.166463442280616</v>
      </c>
      <c r="O27">
        <v>57.327099169723894</v>
      </c>
      <c r="P27">
        <v>63.166463442280488</v>
      </c>
      <c r="Q27">
        <v>57.327099169723894</v>
      </c>
      <c r="R27">
        <v>63.166463442280545</v>
      </c>
    </row>
    <row r="28" spans="10:18" x14ac:dyDescent="0.15">
      <c r="J28" s="67" t="s">
        <v>264</v>
      </c>
      <c r="K28">
        <v>69.799589437948498</v>
      </c>
      <c r="L28">
        <v>72.392106740251222</v>
      </c>
      <c r="M28">
        <v>69.799589437948498</v>
      </c>
      <c r="N28">
        <v>72.781053057421175</v>
      </c>
      <c r="O28">
        <v>69.799589437948498</v>
      </c>
      <c r="P28">
        <v>72.781053057421175</v>
      </c>
      <c r="Q28">
        <v>69.799589437948498</v>
      </c>
      <c r="R28">
        <v>72.781053057421133</v>
      </c>
    </row>
    <row r="29" spans="10:18" x14ac:dyDescent="0.15">
      <c r="J29" s="67" t="s">
        <v>265</v>
      </c>
      <c r="K29">
        <v>2.4225342227670921</v>
      </c>
      <c r="L29">
        <v>2.3969209868940289</v>
      </c>
      <c r="M29">
        <v>2.4225342227670921</v>
      </c>
      <c r="N29">
        <v>2.3937614975969019</v>
      </c>
      <c r="O29">
        <v>2.4225342227670921</v>
      </c>
      <c r="P29">
        <v>2.3937614975969037</v>
      </c>
      <c r="Q29">
        <v>2.4225342227670921</v>
      </c>
      <c r="R29">
        <v>2.3937614975969046</v>
      </c>
    </row>
  </sheetData>
  <phoneticPr fontId="14" type="noConversion"/>
  <pageMargins left="0.7" right="0.7" top="0.75" bottom="0.75" header="0.3" footer="0.3"/>
  <pageSetup paperSize="9" orientation="portrait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0-000000000000}">
  <dimension ref="J6:BV10"/>
  <sheetViews>
    <sheetView tabSelected="1" workbookViewId="0">
      <selection activeCell="AD44" sqref="AD44"/>
    </sheetView>
  </sheetViews>
  <sheetFormatPr defaultColWidth="9" defaultRowHeight="13.5" x14ac:dyDescent="0.15"/>
  <sheetData>
    <row r="6" spans="10:74" x14ac:dyDescent="0.15">
      <c r="K6" s="67" t="s">
        <v>73</v>
      </c>
      <c r="L6" s="67" t="s">
        <v>73</v>
      </c>
      <c r="M6" s="67" t="s">
        <v>315</v>
      </c>
      <c r="N6" s="67" t="s">
        <v>315</v>
      </c>
      <c r="O6" s="67" t="s">
        <v>316</v>
      </c>
      <c r="P6" s="67" t="s">
        <v>316</v>
      </c>
      <c r="Q6" s="67" t="s">
        <v>317</v>
      </c>
      <c r="R6" s="67" t="s">
        <v>317</v>
      </c>
      <c r="S6" s="67"/>
      <c r="T6" s="67"/>
      <c r="U6" s="67"/>
      <c r="V6" s="67"/>
      <c r="W6" s="67"/>
      <c r="X6" s="67"/>
      <c r="Y6" s="67"/>
      <c r="Z6" s="67"/>
      <c r="AA6" s="67"/>
      <c r="AB6" s="67"/>
      <c r="AC6" s="67"/>
      <c r="AD6" s="67"/>
      <c r="AE6" s="67"/>
      <c r="AF6" s="67"/>
      <c r="AG6" s="67"/>
      <c r="AH6" s="67"/>
      <c r="AI6" s="67"/>
      <c r="AJ6" s="67"/>
      <c r="AK6" s="67"/>
      <c r="AL6" s="67"/>
      <c r="AM6" s="67"/>
      <c r="AN6" s="67"/>
      <c r="AO6" s="67"/>
      <c r="AP6" s="67"/>
      <c r="AQ6" s="67"/>
      <c r="AR6" s="67"/>
      <c r="AS6" s="67"/>
      <c r="AT6" s="67"/>
      <c r="AU6" s="67"/>
      <c r="AV6" s="67"/>
      <c r="AW6" s="67"/>
      <c r="AX6" s="67"/>
      <c r="AY6" s="67"/>
      <c r="AZ6" s="67"/>
      <c r="BA6" s="67"/>
      <c r="BB6" s="67"/>
      <c r="BC6" s="67"/>
      <c r="BD6" s="67"/>
      <c r="BE6" s="67"/>
      <c r="BF6" s="67"/>
      <c r="BG6" s="67"/>
      <c r="BH6" s="67"/>
      <c r="BI6" s="67"/>
      <c r="BJ6" s="67"/>
      <c r="BK6" s="67"/>
      <c r="BL6" s="67"/>
      <c r="BM6" s="67"/>
      <c r="BN6" s="67"/>
      <c r="BO6" s="67"/>
      <c r="BP6" s="67"/>
      <c r="BQ6" s="67"/>
      <c r="BR6" s="67"/>
      <c r="BS6" s="67"/>
      <c r="BT6" s="67"/>
      <c r="BU6" s="67"/>
      <c r="BV6" s="67"/>
    </row>
    <row r="7" spans="10:74" x14ac:dyDescent="0.15">
      <c r="K7" s="67" t="s">
        <v>76</v>
      </c>
      <c r="L7" s="67" t="s">
        <v>77</v>
      </c>
      <c r="M7" s="67" t="s">
        <v>76</v>
      </c>
      <c r="N7" s="67" t="s">
        <v>77</v>
      </c>
      <c r="O7" s="67" t="s">
        <v>76</v>
      </c>
      <c r="P7" s="67" t="s">
        <v>77</v>
      </c>
      <c r="Q7" s="67" t="s">
        <v>76</v>
      </c>
      <c r="R7" s="67" t="s">
        <v>77</v>
      </c>
      <c r="S7" s="67"/>
      <c r="T7" s="67"/>
      <c r="U7" s="67"/>
      <c r="V7" s="67"/>
      <c r="W7" s="67"/>
      <c r="X7" s="67"/>
      <c r="Y7" s="67"/>
      <c r="Z7" s="67"/>
      <c r="AA7" s="67"/>
      <c r="AB7" s="67"/>
      <c r="AC7" s="67"/>
      <c r="AD7" s="67"/>
      <c r="AE7" s="67"/>
      <c r="AF7" s="67"/>
      <c r="AG7" s="67"/>
      <c r="AH7" s="67"/>
      <c r="AI7" s="67"/>
      <c r="AJ7" s="67"/>
      <c r="AK7" s="67"/>
      <c r="AL7" s="67"/>
      <c r="AM7" s="67"/>
      <c r="AN7" s="67"/>
      <c r="AO7" s="67"/>
      <c r="AP7" s="67"/>
      <c r="AQ7" s="67"/>
      <c r="AR7" s="67"/>
      <c r="AS7" s="67"/>
      <c r="AT7" s="67"/>
      <c r="AU7" s="67"/>
      <c r="AV7" s="67"/>
      <c r="AW7" s="67"/>
      <c r="AX7" s="67"/>
      <c r="AY7" s="67"/>
      <c r="AZ7" s="67"/>
      <c r="BA7" s="67"/>
      <c r="BB7" s="67"/>
      <c r="BC7" s="67"/>
      <c r="BD7" s="67"/>
      <c r="BE7" s="67"/>
      <c r="BF7" s="67"/>
      <c r="BG7" s="67"/>
      <c r="BH7" s="67"/>
      <c r="BI7" s="67"/>
      <c r="BJ7" s="67"/>
      <c r="BK7" s="67"/>
      <c r="BL7" s="67"/>
      <c r="BM7" s="67"/>
      <c r="BN7" s="67"/>
      <c r="BO7" s="67"/>
      <c r="BP7" s="67"/>
      <c r="BQ7" s="67"/>
      <c r="BR7" s="67"/>
      <c r="BS7" s="67"/>
      <c r="BT7" s="67"/>
      <c r="BU7" s="67"/>
      <c r="BV7" s="67"/>
    </row>
    <row r="8" spans="10:74" x14ac:dyDescent="0.15">
      <c r="J8" s="67" t="s">
        <v>243</v>
      </c>
      <c r="K8">
        <v>10650</v>
      </c>
      <c r="L8">
        <v>10537.209944595646</v>
      </c>
      <c r="M8">
        <v>10650</v>
      </c>
      <c r="N8">
        <v>10521.430313105056</v>
      </c>
      <c r="O8">
        <v>10650</v>
      </c>
      <c r="P8">
        <v>10521.430313105038</v>
      </c>
      <c r="Q8">
        <v>10650</v>
      </c>
      <c r="R8">
        <v>10521.430313105038</v>
      </c>
    </row>
    <row r="9" spans="10:74" x14ac:dyDescent="0.15">
      <c r="J9" s="67" t="s">
        <v>246</v>
      </c>
      <c r="K9">
        <v>1980</v>
      </c>
      <c r="L9">
        <v>2143.2302964322362</v>
      </c>
      <c r="M9">
        <v>1980</v>
      </c>
      <c r="N9">
        <v>2139.3248312190212</v>
      </c>
      <c r="O9">
        <v>1980</v>
      </c>
      <c r="P9">
        <v>2139.3248312190171</v>
      </c>
      <c r="Q9">
        <v>1980</v>
      </c>
      <c r="R9">
        <v>2139.3248312190194</v>
      </c>
    </row>
    <row r="10" spans="10:74" x14ac:dyDescent="0.15">
      <c r="J10" s="67" t="s">
        <v>249</v>
      </c>
      <c r="K10">
        <v>980</v>
      </c>
      <c r="L10">
        <v>997.07296749024033</v>
      </c>
      <c r="M10">
        <v>980</v>
      </c>
      <c r="N10">
        <v>995.5848062154065</v>
      </c>
      <c r="O10">
        <v>980</v>
      </c>
      <c r="P10">
        <v>995.58480621540548</v>
      </c>
      <c r="Q10">
        <v>980</v>
      </c>
      <c r="R10">
        <v>995.58480621540582</v>
      </c>
    </row>
  </sheetData>
  <phoneticPr fontId="14" type="noConversion"/>
  <pageMargins left="0.75" right="0.75" top="1" bottom="1" header="0.5" footer="0.5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0-000000000000}">
  <dimension ref="A1:O31"/>
  <sheetViews>
    <sheetView workbookViewId="0">
      <selection activeCell="I39" sqref="I39"/>
    </sheetView>
  </sheetViews>
  <sheetFormatPr defaultColWidth="9" defaultRowHeight="13.5" x14ac:dyDescent="0.15"/>
  <sheetData>
    <row r="1" spans="1:15" x14ac:dyDescent="0.15">
      <c r="A1" s="85" t="s">
        <v>324</v>
      </c>
      <c r="B1" s="85"/>
      <c r="C1" s="85"/>
      <c r="D1" s="85"/>
      <c r="E1" s="85"/>
      <c r="F1" s="85"/>
      <c r="G1" s="85"/>
      <c r="H1" s="2"/>
    </row>
    <row r="2" spans="1:15" x14ac:dyDescent="0.15">
      <c r="A2" s="1" t="s">
        <v>325</v>
      </c>
      <c r="B2" s="1" t="s">
        <v>268</v>
      </c>
      <c r="C2" s="1" t="s">
        <v>141</v>
      </c>
      <c r="D2" s="1" t="s">
        <v>143</v>
      </c>
      <c r="E2" s="1" t="s">
        <v>145</v>
      </c>
      <c r="F2" s="1" t="s">
        <v>269</v>
      </c>
      <c r="G2" s="1" t="s">
        <v>326</v>
      </c>
      <c r="H2" s="2"/>
    </row>
    <row r="3" spans="1:15" x14ac:dyDescent="0.15">
      <c r="A3" s="1"/>
      <c r="B3" s="1"/>
      <c r="C3" s="1" t="s">
        <v>142</v>
      </c>
      <c r="D3" s="1" t="s">
        <v>144</v>
      </c>
      <c r="E3" s="1" t="s">
        <v>327</v>
      </c>
      <c r="F3" s="1"/>
      <c r="G3" s="1"/>
      <c r="H3" s="2"/>
      <c r="K3" s="1" t="str">
        <f>B2</f>
        <v>能量</v>
      </c>
      <c r="L3" s="1" t="str">
        <f t="shared" ref="L3:O3" si="0">C2</f>
        <v>蛋白质</v>
      </c>
      <c r="M3" s="1" t="str">
        <f t="shared" si="0"/>
        <v>脂肪</v>
      </c>
      <c r="N3" s="1" t="str">
        <f t="shared" si="0"/>
        <v>碳水化合物</v>
      </c>
      <c r="O3" s="3" t="str">
        <f t="shared" si="0"/>
        <v>可食比例</v>
      </c>
    </row>
    <row r="4" spans="1:15" x14ac:dyDescent="0.15">
      <c r="A4" s="1"/>
      <c r="B4" s="1" t="s">
        <v>328</v>
      </c>
      <c r="C4" s="1" t="s">
        <v>329</v>
      </c>
      <c r="D4" s="1" t="s">
        <v>329</v>
      </c>
      <c r="E4" s="1" t="s">
        <v>329</v>
      </c>
      <c r="F4" s="1" t="s">
        <v>330</v>
      </c>
      <c r="G4" s="1"/>
      <c r="H4" s="2"/>
      <c r="I4" t="s">
        <v>237</v>
      </c>
      <c r="J4" t="s">
        <v>331</v>
      </c>
      <c r="K4">
        <f t="shared" ref="K4:N5" si="1">B6*0.7</f>
        <v>242.9</v>
      </c>
      <c r="L4">
        <f t="shared" si="1"/>
        <v>5.18</v>
      </c>
      <c r="M4">
        <f t="shared" si="1"/>
        <v>0.56000000000000005</v>
      </c>
      <c r="N4">
        <f t="shared" si="1"/>
        <v>54.53</v>
      </c>
      <c r="O4" s="4">
        <v>70</v>
      </c>
    </row>
    <row r="5" spans="1:15" x14ac:dyDescent="0.15">
      <c r="A5" s="5" t="s">
        <v>332</v>
      </c>
      <c r="B5" s="5"/>
      <c r="C5" s="5"/>
      <c r="D5" s="5"/>
      <c r="E5" s="5"/>
      <c r="F5" s="5"/>
      <c r="G5" s="1" t="s">
        <v>326</v>
      </c>
      <c r="H5" s="2"/>
      <c r="I5" t="s">
        <v>238</v>
      </c>
      <c r="J5" t="s">
        <v>271</v>
      </c>
      <c r="K5">
        <f t="shared" si="1"/>
        <v>244.3</v>
      </c>
      <c r="L5">
        <f t="shared" si="1"/>
        <v>7.84</v>
      </c>
      <c r="M5">
        <f t="shared" si="1"/>
        <v>1.05</v>
      </c>
      <c r="N5">
        <f t="shared" si="1"/>
        <v>51.52</v>
      </c>
      <c r="O5" s="4">
        <v>70</v>
      </c>
    </row>
    <row r="6" spans="1:15" x14ac:dyDescent="0.15">
      <c r="A6" s="5" t="s">
        <v>331</v>
      </c>
      <c r="B6" s="5">
        <v>347</v>
      </c>
      <c r="C6" s="5">
        <v>7.4</v>
      </c>
      <c r="D6" s="5">
        <v>0.8</v>
      </c>
      <c r="E6" s="5">
        <v>77.900000000000006</v>
      </c>
      <c r="F6" s="5">
        <v>70</v>
      </c>
      <c r="G6" s="5" t="s">
        <v>333</v>
      </c>
      <c r="H6" s="2"/>
      <c r="I6" t="s">
        <v>239</v>
      </c>
      <c r="J6" t="s">
        <v>272</v>
      </c>
      <c r="K6" s="6">
        <v>112</v>
      </c>
      <c r="L6" s="6">
        <v>16.5</v>
      </c>
      <c r="M6" s="6">
        <v>7.1</v>
      </c>
      <c r="N6" s="6">
        <v>71</v>
      </c>
      <c r="O6" s="6">
        <v>46</v>
      </c>
    </row>
    <row r="7" spans="1:15" x14ac:dyDescent="0.15">
      <c r="A7" s="5" t="s">
        <v>271</v>
      </c>
      <c r="B7" s="5">
        <v>349</v>
      </c>
      <c r="C7" s="5">
        <v>11.2</v>
      </c>
      <c r="D7" s="5">
        <v>1.5</v>
      </c>
      <c r="E7" s="5">
        <v>73.599999999999994</v>
      </c>
      <c r="F7" s="5">
        <v>80</v>
      </c>
      <c r="G7" s="5" t="s">
        <v>334</v>
      </c>
      <c r="H7" s="2"/>
      <c r="I7" t="s">
        <v>243</v>
      </c>
      <c r="J7" t="s">
        <v>274</v>
      </c>
      <c r="K7" s="6">
        <v>390</v>
      </c>
      <c r="L7" s="6">
        <v>35</v>
      </c>
      <c r="M7" s="6">
        <v>16</v>
      </c>
      <c r="N7" s="6">
        <v>34.200000000000003</v>
      </c>
      <c r="O7" s="6">
        <v>100</v>
      </c>
    </row>
    <row r="8" spans="1:15" x14ac:dyDescent="0.15">
      <c r="A8" s="5" t="s">
        <v>335</v>
      </c>
      <c r="B8" s="5"/>
      <c r="C8" s="5"/>
      <c r="D8" s="5"/>
      <c r="E8" s="5"/>
      <c r="F8" s="5"/>
      <c r="G8" s="5"/>
      <c r="H8" s="2"/>
      <c r="I8" t="s">
        <v>242</v>
      </c>
      <c r="J8" t="s">
        <v>273</v>
      </c>
      <c r="K8">
        <f>B31</f>
        <v>228.9</v>
      </c>
      <c r="L8">
        <f t="shared" ref="L8:O8" si="2">C31</f>
        <v>2.36</v>
      </c>
      <c r="M8">
        <f t="shared" si="2"/>
        <v>0.21</v>
      </c>
      <c r="N8">
        <f t="shared" si="2"/>
        <v>58.49</v>
      </c>
      <c r="O8">
        <f t="shared" si="2"/>
        <v>94</v>
      </c>
    </row>
    <row r="9" spans="1:15" x14ac:dyDescent="0.15">
      <c r="A9" s="5" t="s">
        <v>336</v>
      </c>
      <c r="B9" s="5">
        <v>899</v>
      </c>
      <c r="C9" s="5">
        <v>0</v>
      </c>
      <c r="D9" s="5">
        <v>99.9</v>
      </c>
      <c r="E9" s="5">
        <v>0</v>
      </c>
      <c r="F9" s="5">
        <v>100</v>
      </c>
      <c r="G9" s="5" t="s">
        <v>337</v>
      </c>
      <c r="H9" s="2"/>
      <c r="I9" t="s">
        <v>338</v>
      </c>
      <c r="J9" t="s">
        <v>71</v>
      </c>
    </row>
    <row r="10" spans="1:15" x14ac:dyDescent="0.15">
      <c r="A10" s="5" t="s">
        <v>339</v>
      </c>
      <c r="B10" s="5">
        <v>862</v>
      </c>
      <c r="C10" s="5">
        <v>0</v>
      </c>
      <c r="D10" s="5">
        <v>94.15</v>
      </c>
      <c r="E10" s="5">
        <v>3.7</v>
      </c>
      <c r="F10" s="5">
        <v>100</v>
      </c>
      <c r="G10" s="5" t="s">
        <v>337</v>
      </c>
      <c r="H10" s="2"/>
      <c r="I10" t="s">
        <v>244</v>
      </c>
      <c r="J10" t="s">
        <v>275</v>
      </c>
      <c r="K10">
        <f>B9</f>
        <v>899</v>
      </c>
      <c r="L10">
        <f t="shared" ref="L10:O10" si="3">C9</f>
        <v>0</v>
      </c>
      <c r="M10">
        <f t="shared" si="3"/>
        <v>99.9</v>
      </c>
      <c r="N10">
        <f t="shared" si="3"/>
        <v>0</v>
      </c>
      <c r="O10">
        <f t="shared" si="3"/>
        <v>100</v>
      </c>
    </row>
    <row r="11" spans="1:15" x14ac:dyDescent="0.15">
      <c r="A11" s="5" t="s">
        <v>340</v>
      </c>
      <c r="B11" s="5"/>
      <c r="C11" s="5"/>
      <c r="D11" s="5"/>
      <c r="E11" s="5"/>
      <c r="F11" s="5"/>
      <c r="G11" s="5"/>
      <c r="H11" s="2"/>
      <c r="I11" t="s">
        <v>247</v>
      </c>
      <c r="J11" t="s">
        <v>276</v>
      </c>
      <c r="K11">
        <f>B9</f>
        <v>899</v>
      </c>
      <c r="L11">
        <f t="shared" ref="L11:O11" si="4">C9</f>
        <v>0</v>
      </c>
      <c r="M11">
        <f t="shared" si="4"/>
        <v>99.9</v>
      </c>
      <c r="N11">
        <f t="shared" si="4"/>
        <v>0</v>
      </c>
      <c r="O11">
        <f t="shared" si="4"/>
        <v>100</v>
      </c>
    </row>
    <row r="12" spans="1:15" x14ac:dyDescent="0.15">
      <c r="A12" s="5" t="s">
        <v>341</v>
      </c>
      <c r="B12" s="5">
        <v>143</v>
      </c>
      <c r="C12" s="5">
        <v>20.3</v>
      </c>
      <c r="D12" s="5">
        <v>6.2</v>
      </c>
      <c r="E12" s="5">
        <v>1.5</v>
      </c>
      <c r="F12" s="5">
        <v>100</v>
      </c>
      <c r="G12" s="5" t="s">
        <v>342</v>
      </c>
      <c r="H12" s="2"/>
      <c r="I12" t="s">
        <v>249</v>
      </c>
      <c r="J12" t="s">
        <v>277</v>
      </c>
    </row>
    <row r="13" spans="1:15" x14ac:dyDescent="0.15">
      <c r="A13" s="5" t="s">
        <v>343</v>
      </c>
      <c r="B13" s="5">
        <v>106</v>
      </c>
      <c r="C13" s="5">
        <v>20.2</v>
      </c>
      <c r="D13" s="5">
        <v>2.2999999999999998</v>
      </c>
      <c r="E13" s="5">
        <v>1.2</v>
      </c>
      <c r="F13" s="5">
        <v>99</v>
      </c>
      <c r="G13" s="5" t="s">
        <v>344</v>
      </c>
      <c r="H13" s="2"/>
      <c r="I13" t="s">
        <v>250</v>
      </c>
      <c r="J13" t="s">
        <v>278</v>
      </c>
      <c r="K13">
        <f>B9</f>
        <v>899</v>
      </c>
      <c r="L13">
        <f t="shared" ref="L13:O13" si="5">C9</f>
        <v>0</v>
      </c>
      <c r="M13">
        <f t="shared" si="5"/>
        <v>99.9</v>
      </c>
      <c r="N13">
        <f t="shared" si="5"/>
        <v>0</v>
      </c>
      <c r="O13">
        <f t="shared" si="5"/>
        <v>100</v>
      </c>
    </row>
    <row r="14" spans="1:15" x14ac:dyDescent="0.15">
      <c r="A14" s="5" t="s">
        <v>285</v>
      </c>
      <c r="B14" s="5">
        <v>203</v>
      </c>
      <c r="C14" s="5">
        <v>19</v>
      </c>
      <c r="D14" s="5">
        <v>14.1</v>
      </c>
      <c r="E14" s="5">
        <v>0</v>
      </c>
      <c r="F14" s="5">
        <v>90</v>
      </c>
      <c r="G14" s="5" t="s">
        <v>345</v>
      </c>
      <c r="H14" s="2"/>
      <c r="I14" t="s">
        <v>346</v>
      </c>
      <c r="J14" t="s">
        <v>336</v>
      </c>
    </row>
    <row r="15" spans="1:15" x14ac:dyDescent="0.15">
      <c r="A15" s="5" t="s">
        <v>347</v>
      </c>
      <c r="B15" s="5"/>
      <c r="C15" s="5"/>
      <c r="D15" s="5"/>
      <c r="E15" s="5"/>
      <c r="F15" s="5"/>
      <c r="G15" s="5"/>
      <c r="H15" s="2"/>
      <c r="I15" t="s">
        <v>253</v>
      </c>
      <c r="J15" t="s">
        <v>279</v>
      </c>
      <c r="K15" s="6">
        <v>400</v>
      </c>
      <c r="N15">
        <v>99.9</v>
      </c>
      <c r="O15">
        <v>100</v>
      </c>
    </row>
    <row r="16" spans="1:15" x14ac:dyDescent="0.15">
      <c r="A16" s="5" t="s">
        <v>348</v>
      </c>
      <c r="B16" s="5">
        <v>167</v>
      </c>
      <c r="C16" s="5">
        <v>19.3</v>
      </c>
      <c r="D16" s="5">
        <v>9.4</v>
      </c>
      <c r="E16" s="5">
        <v>1.3</v>
      </c>
      <c r="F16" s="5">
        <v>66</v>
      </c>
      <c r="G16" s="5" t="s">
        <v>349</v>
      </c>
      <c r="H16" s="2"/>
      <c r="I16" t="s">
        <v>256</v>
      </c>
      <c r="J16" s="4" t="s">
        <v>281</v>
      </c>
      <c r="K16" s="4">
        <f>B30</f>
        <v>53.889000000000003</v>
      </c>
      <c r="L16" s="4">
        <f>C30</f>
        <v>0.81699999999999995</v>
      </c>
      <c r="M16" s="4">
        <f>D30</f>
        <v>0.183</v>
      </c>
      <c r="N16" s="4">
        <f>E30</f>
        <v>12.922000000000001</v>
      </c>
      <c r="O16" s="4">
        <f>F30</f>
        <v>82</v>
      </c>
    </row>
    <row r="17" spans="1:15" x14ac:dyDescent="0.15">
      <c r="A17" s="5" t="s">
        <v>350</v>
      </c>
      <c r="B17" s="5">
        <v>240</v>
      </c>
      <c r="C17" s="5">
        <v>15.5</v>
      </c>
      <c r="D17" s="5">
        <v>19.7</v>
      </c>
      <c r="E17" s="5">
        <v>0.2</v>
      </c>
      <c r="F17" s="5">
        <v>68</v>
      </c>
      <c r="G17" s="5" t="s">
        <v>351</v>
      </c>
      <c r="H17" s="2"/>
      <c r="I17" t="s">
        <v>257</v>
      </c>
      <c r="J17" t="s">
        <v>282</v>
      </c>
      <c r="K17">
        <f>B29</f>
        <v>31.347999999999999</v>
      </c>
      <c r="L17">
        <f t="shared" ref="L17:O17" si="6">C29</f>
        <v>1.746</v>
      </c>
      <c r="M17">
        <f t="shared" si="6"/>
        <v>0.26700000000000002</v>
      </c>
      <c r="N17">
        <f t="shared" si="6"/>
        <v>6.2519999999999998</v>
      </c>
      <c r="O17">
        <f t="shared" si="6"/>
        <v>87</v>
      </c>
    </row>
    <row r="18" spans="1:15" x14ac:dyDescent="0.15">
      <c r="A18" s="5" t="s">
        <v>352</v>
      </c>
      <c r="B18" s="5"/>
      <c r="C18" s="5"/>
      <c r="D18" s="5"/>
      <c r="E18" s="5"/>
      <c r="F18" s="5"/>
      <c r="G18" s="5"/>
      <c r="H18" s="2"/>
      <c r="I18" t="s">
        <v>258</v>
      </c>
      <c r="J18" t="s">
        <v>283</v>
      </c>
      <c r="K18">
        <f>B12</f>
        <v>143</v>
      </c>
      <c r="L18">
        <f t="shared" ref="L18:O20" si="7">C12</f>
        <v>20.3</v>
      </c>
      <c r="M18">
        <f t="shared" si="7"/>
        <v>6.2</v>
      </c>
      <c r="N18">
        <f t="shared" si="7"/>
        <v>1.5</v>
      </c>
      <c r="O18">
        <f t="shared" si="7"/>
        <v>100</v>
      </c>
    </row>
    <row r="19" spans="1:15" x14ac:dyDescent="0.15">
      <c r="A19" s="5" t="s">
        <v>287</v>
      </c>
      <c r="B19" s="5">
        <v>144</v>
      </c>
      <c r="C19" s="5">
        <v>13.3</v>
      </c>
      <c r="D19" s="5">
        <v>8.8000000000000007</v>
      </c>
      <c r="E19" s="5">
        <v>2.8</v>
      </c>
      <c r="F19" s="5">
        <v>88</v>
      </c>
      <c r="G19" s="5" t="s">
        <v>353</v>
      </c>
      <c r="H19" s="2"/>
      <c r="I19" t="s">
        <v>259</v>
      </c>
      <c r="J19" t="s">
        <v>284</v>
      </c>
      <c r="K19">
        <f t="shared" ref="K19:K20" si="8">B13</f>
        <v>106</v>
      </c>
      <c r="L19">
        <f t="shared" si="7"/>
        <v>20.2</v>
      </c>
      <c r="M19">
        <f t="shared" si="7"/>
        <v>2.2999999999999998</v>
      </c>
      <c r="N19">
        <f t="shared" si="7"/>
        <v>1.2</v>
      </c>
      <c r="O19">
        <f t="shared" si="7"/>
        <v>99</v>
      </c>
    </row>
    <row r="20" spans="1:15" x14ac:dyDescent="0.15">
      <c r="A20" s="5" t="s">
        <v>354</v>
      </c>
      <c r="B20" s="5">
        <v>180</v>
      </c>
      <c r="C20" s="5">
        <v>12.6</v>
      </c>
      <c r="D20" s="5">
        <v>13</v>
      </c>
      <c r="E20" s="5">
        <v>3.1</v>
      </c>
      <c r="F20" s="5">
        <v>87</v>
      </c>
      <c r="G20" s="5" t="s">
        <v>355</v>
      </c>
      <c r="H20" s="2"/>
      <c r="I20" t="s">
        <v>260</v>
      </c>
      <c r="J20" t="s">
        <v>285</v>
      </c>
      <c r="K20">
        <f t="shared" si="8"/>
        <v>203</v>
      </c>
      <c r="L20">
        <f t="shared" si="7"/>
        <v>19</v>
      </c>
      <c r="M20">
        <f t="shared" si="7"/>
        <v>14.1</v>
      </c>
      <c r="N20">
        <f t="shared" si="7"/>
        <v>0</v>
      </c>
      <c r="O20">
        <f t="shared" si="7"/>
        <v>90</v>
      </c>
    </row>
    <row r="21" spans="1:15" x14ac:dyDescent="0.15">
      <c r="A21" s="5" t="s">
        <v>356</v>
      </c>
      <c r="B21" s="5"/>
      <c r="C21" s="5"/>
      <c r="D21" s="5"/>
      <c r="E21" s="5"/>
      <c r="F21" s="5"/>
      <c r="G21" s="5"/>
      <c r="H21" s="2"/>
      <c r="I21" t="s">
        <v>261</v>
      </c>
      <c r="J21" t="s">
        <v>286</v>
      </c>
      <c r="K21">
        <f>B16</f>
        <v>167</v>
      </c>
      <c r="L21">
        <f t="shared" ref="L21:O21" si="9">C16</f>
        <v>19.3</v>
      </c>
      <c r="M21">
        <f t="shared" si="9"/>
        <v>9.4</v>
      </c>
      <c r="N21">
        <f t="shared" si="9"/>
        <v>1.3</v>
      </c>
      <c r="O21">
        <f t="shared" si="9"/>
        <v>66</v>
      </c>
    </row>
    <row r="22" spans="1:15" x14ac:dyDescent="0.15">
      <c r="A22" s="5" t="s">
        <v>357</v>
      </c>
      <c r="B22" s="5">
        <v>103</v>
      </c>
      <c r="C22" s="5">
        <v>16.600000000000001</v>
      </c>
      <c r="D22" s="5">
        <v>3.3</v>
      </c>
      <c r="E22" s="5">
        <v>1.6</v>
      </c>
      <c r="F22" s="5">
        <v>59</v>
      </c>
      <c r="G22" s="5" t="s">
        <v>358</v>
      </c>
      <c r="H22" s="2"/>
      <c r="I22" t="s">
        <v>262</v>
      </c>
      <c r="J22" t="s">
        <v>287</v>
      </c>
      <c r="K22">
        <f>B19</f>
        <v>144</v>
      </c>
      <c r="L22">
        <f t="shared" ref="L22:O22" si="10">C19</f>
        <v>13.3</v>
      </c>
      <c r="M22">
        <f t="shared" si="10"/>
        <v>8.8000000000000007</v>
      </c>
      <c r="N22">
        <f t="shared" si="10"/>
        <v>2.8</v>
      </c>
      <c r="O22">
        <f t="shared" si="10"/>
        <v>88</v>
      </c>
    </row>
    <row r="23" spans="1:15" x14ac:dyDescent="0.15">
      <c r="A23" s="5" t="s">
        <v>359</v>
      </c>
      <c r="B23" s="5">
        <v>81</v>
      </c>
      <c r="C23" s="5">
        <v>17.3</v>
      </c>
      <c r="D23" s="5">
        <v>0.4</v>
      </c>
      <c r="E23" s="5">
        <v>2</v>
      </c>
      <c r="F23" s="5">
        <v>57</v>
      </c>
      <c r="G23" s="5" t="s">
        <v>360</v>
      </c>
      <c r="H23" s="2"/>
      <c r="I23" t="s">
        <v>263</v>
      </c>
      <c r="J23" t="s">
        <v>288</v>
      </c>
      <c r="K23">
        <f>B25</f>
        <v>54</v>
      </c>
      <c r="L23">
        <f t="shared" ref="L23:O23" si="11">C25</f>
        <v>3</v>
      </c>
      <c r="M23">
        <f t="shared" si="11"/>
        <v>3.2</v>
      </c>
      <c r="N23">
        <f t="shared" si="11"/>
        <v>3.4</v>
      </c>
      <c r="O23">
        <f t="shared" si="11"/>
        <v>100</v>
      </c>
    </row>
    <row r="24" spans="1:15" x14ac:dyDescent="0.15">
      <c r="A24" s="5" t="s">
        <v>361</v>
      </c>
      <c r="B24" s="5"/>
      <c r="C24" s="5"/>
      <c r="D24" s="5"/>
      <c r="E24" s="5"/>
      <c r="F24" s="5"/>
      <c r="G24" s="5"/>
      <c r="H24" s="2"/>
      <c r="I24" t="s">
        <v>264</v>
      </c>
      <c r="J24" t="s">
        <v>289</v>
      </c>
      <c r="K24">
        <f>B22</f>
        <v>103</v>
      </c>
      <c r="L24">
        <f t="shared" ref="L24:O24" si="12">C22</f>
        <v>16.600000000000001</v>
      </c>
      <c r="M24">
        <f t="shared" si="12"/>
        <v>3.3</v>
      </c>
      <c r="N24">
        <f t="shared" si="12"/>
        <v>1.6</v>
      </c>
      <c r="O24">
        <f t="shared" si="12"/>
        <v>59</v>
      </c>
    </row>
    <row r="25" spans="1:15" x14ac:dyDescent="0.15">
      <c r="A25" s="5" t="s">
        <v>362</v>
      </c>
      <c r="B25" s="5">
        <v>54</v>
      </c>
      <c r="C25" s="5">
        <v>3</v>
      </c>
      <c r="D25" s="5">
        <v>3.2</v>
      </c>
      <c r="E25" s="5">
        <v>3.4</v>
      </c>
      <c r="F25" s="5">
        <v>100</v>
      </c>
      <c r="G25" s="5" t="s">
        <v>363</v>
      </c>
      <c r="H25" s="2"/>
    </row>
    <row r="26" spans="1:15" x14ac:dyDescent="0.15">
      <c r="A26" s="5" t="s">
        <v>364</v>
      </c>
      <c r="B26" s="5">
        <v>484</v>
      </c>
      <c r="C26" s="5">
        <v>19.899999999999999</v>
      </c>
      <c r="D26" s="5">
        <v>22.7</v>
      </c>
      <c r="E26" s="5">
        <v>49.9</v>
      </c>
      <c r="F26" s="5">
        <v>100</v>
      </c>
      <c r="G26" s="5" t="s">
        <v>365</v>
      </c>
      <c r="H26" s="2"/>
    </row>
    <row r="27" spans="1:15" x14ac:dyDescent="0.15">
      <c r="A27" s="5" t="s">
        <v>366</v>
      </c>
      <c r="B27" s="5">
        <v>72</v>
      </c>
      <c r="C27" s="5">
        <v>2.5</v>
      </c>
      <c r="D27" s="5">
        <v>2.7</v>
      </c>
      <c r="E27" s="5">
        <v>9.3000000000000007</v>
      </c>
      <c r="F27" s="5">
        <v>100</v>
      </c>
      <c r="G27" s="5" t="s">
        <v>367</v>
      </c>
      <c r="H27" s="2"/>
    </row>
    <row r="28" spans="1:15" x14ac:dyDescent="0.15">
      <c r="A28" s="5" t="s">
        <v>368</v>
      </c>
      <c r="B28" s="5"/>
      <c r="C28" s="5"/>
      <c r="D28" s="5"/>
      <c r="E28" s="5"/>
      <c r="F28" s="5"/>
      <c r="G28" s="5"/>
      <c r="H28" s="2"/>
    </row>
    <row r="29" spans="1:15" x14ac:dyDescent="0.15">
      <c r="A29" s="5" t="s">
        <v>369</v>
      </c>
      <c r="B29" s="5">
        <v>31.347999999999999</v>
      </c>
      <c r="C29" s="5">
        <v>1.746</v>
      </c>
      <c r="D29" s="5">
        <v>0.26700000000000002</v>
      </c>
      <c r="E29" s="5">
        <v>6.2519999999999998</v>
      </c>
      <c r="F29" s="5">
        <v>87</v>
      </c>
      <c r="G29" s="5" t="s">
        <v>370</v>
      </c>
      <c r="H29" s="2"/>
    </row>
    <row r="30" spans="1:15" x14ac:dyDescent="0.15">
      <c r="A30" s="5" t="s">
        <v>371</v>
      </c>
      <c r="B30" s="5">
        <v>53.889000000000003</v>
      </c>
      <c r="C30" s="5">
        <v>0.81699999999999995</v>
      </c>
      <c r="D30" s="5">
        <v>0.183</v>
      </c>
      <c r="E30" s="5">
        <v>12.922000000000001</v>
      </c>
      <c r="F30" s="5">
        <v>82</v>
      </c>
      <c r="G30" s="5" t="s">
        <v>372</v>
      </c>
      <c r="H30" s="2"/>
    </row>
    <row r="31" spans="1:15" x14ac:dyDescent="0.15">
      <c r="A31" s="5" t="s">
        <v>373</v>
      </c>
      <c r="B31" s="5">
        <v>228.9</v>
      </c>
      <c r="C31" s="5">
        <v>2.36</v>
      </c>
      <c r="D31" s="5">
        <v>0.21</v>
      </c>
      <c r="E31" s="5">
        <v>58.49</v>
      </c>
      <c r="F31" s="5">
        <v>94</v>
      </c>
      <c r="G31" s="5"/>
      <c r="H31" s="2"/>
    </row>
  </sheetData>
  <mergeCells count="1">
    <mergeCell ref="A1:G1"/>
  </mergeCells>
  <phoneticPr fontId="1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64</vt:i4>
      </vt:variant>
      <vt:variant>
        <vt:lpstr>命名范围</vt:lpstr>
      </vt:variant>
      <vt:variant>
        <vt:i4>1</vt:i4>
      </vt:variant>
    </vt:vector>
  </HeadingPairs>
  <TitlesOfParts>
    <vt:vector size="65" baseType="lpstr">
      <vt:lpstr>INDEX</vt:lpstr>
      <vt:lpstr>结果整理</vt:lpstr>
      <vt:lpstr>结果</vt:lpstr>
      <vt:lpstr>KOULX</vt:lpstr>
      <vt:lpstr>GUWUX</vt:lpstr>
      <vt:lpstr>LISHX</vt:lpstr>
      <vt:lpstr>PGDPX</vt:lpstr>
      <vt:lpstr>CO2EX</vt:lpstr>
      <vt:lpstr>POPUX</vt:lpstr>
      <vt:lpstr>ENGYX</vt:lpstr>
      <vt:lpstr>RICEX</vt:lpstr>
      <vt:lpstr>WHEAX</vt:lpstr>
      <vt:lpstr>MAIZX</vt:lpstr>
      <vt:lpstr>BARLX</vt:lpstr>
      <vt:lpstr>POTAX</vt:lpstr>
      <vt:lpstr>SOYSX</vt:lpstr>
      <vt:lpstr>SOYOX</vt:lpstr>
      <vt:lpstr>SOYMX</vt:lpstr>
      <vt:lpstr>RAPSX</vt:lpstr>
      <vt:lpstr>RAPOX</vt:lpstr>
      <vt:lpstr>RAPMX</vt:lpstr>
      <vt:lpstr>GRDSX</vt:lpstr>
      <vt:lpstr>GRDOX</vt:lpstr>
      <vt:lpstr>GRDMX</vt:lpstr>
      <vt:lpstr>COTTX</vt:lpstr>
      <vt:lpstr>SUGAX</vt:lpstr>
      <vt:lpstr>VEGTX</vt:lpstr>
      <vt:lpstr>SORGX</vt:lpstr>
      <vt:lpstr>OTGRX</vt:lpstr>
      <vt:lpstr>FRTOX</vt:lpstr>
      <vt:lpstr>BEEFX</vt:lpstr>
      <vt:lpstr>CATBX</vt:lpstr>
      <vt:lpstr>CATOX</vt:lpstr>
      <vt:lpstr>CATTX</vt:lpstr>
      <vt:lpstr>PORKX</vt:lpstr>
      <vt:lpstr>PIGBX</vt:lpstr>
      <vt:lpstr>PIGOX</vt:lpstr>
      <vt:lpstr>PIGTX</vt:lpstr>
      <vt:lpstr>SHGMX</vt:lpstr>
      <vt:lpstr>CHKMX</vt:lpstr>
      <vt:lpstr>EGGSX</vt:lpstr>
      <vt:lpstr>MILKX</vt:lpstr>
      <vt:lpstr>FISHX</vt:lpstr>
      <vt:lpstr>TOSLX</vt:lpstr>
      <vt:lpstr>PRODX</vt:lpstr>
      <vt:lpstr>AREAX</vt:lpstr>
      <vt:lpstr>YILDX</vt:lpstr>
      <vt:lpstr>NIMPX</vt:lpstr>
      <vt:lpstr>TODMX</vt:lpstr>
      <vt:lpstr>FOODX</vt:lpstr>
      <vt:lpstr>PFODX</vt:lpstr>
      <vt:lpstr>FEEDX</vt:lpstr>
      <vt:lpstr>PROCX</vt:lpstr>
      <vt:lpstr>SEED</vt:lpstr>
      <vt:lpstr>WASTX</vt:lpstr>
      <vt:lpstr>OTHEX</vt:lpstr>
      <vt:lpstr>STOCX</vt:lpstr>
      <vt:lpstr>NEXPX</vt:lpstr>
      <vt:lpstr>DOMDX</vt:lpstr>
      <vt:lpstr>PRICX</vt:lpstr>
      <vt:lpstr>SEEDX</vt:lpstr>
      <vt:lpstr>DFODX</vt:lpstr>
      <vt:lpstr>CRSHX</vt:lpstr>
      <vt:lpstr>能量</vt:lpstr>
      <vt:lpstr>INDEX!新建文本文档</vt:lpstr>
    </vt:vector>
  </TitlesOfParts>
  <Company>IFPRI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XDIAO</dc:creator>
  <cp:lastModifiedBy>Xinru Han</cp:lastModifiedBy>
  <dcterms:created xsi:type="dcterms:W3CDTF">2008-05-18T14:28:00Z</dcterms:created>
  <dcterms:modified xsi:type="dcterms:W3CDTF">2026-04-13T06:46:13Z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34B5160D4CE54437BBAC2671A176220B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